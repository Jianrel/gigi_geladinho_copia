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a806d4c9f5d61a/Documentos/gigi geladinhos/"/>
    </mc:Choice>
  </mc:AlternateContent>
  <xr:revisionPtr revIDLastSave="15" documentId="11_F1B81C011EAA1BC8F582A1CACD8B06D7F74D9A0D" xr6:coauthVersionLast="47" xr6:coauthVersionMax="47" xr10:uidLastSave="{CE994911-B13E-41DE-A711-698C5E5E3F0A}"/>
  <bookViews>
    <workbookView xWindow="-120" yWindow="-120" windowWidth="29040" windowHeight="15720" xr2:uid="{00000000-000D-0000-FFFF-FFFF00000000}"/>
  </bookViews>
  <sheets>
    <sheet name="MAIO26" sheetId="1" r:id="rId1"/>
    <sheet name="ABRIL26" sheetId="2" r:id="rId2"/>
    <sheet name="MARÇO26" sheetId="3" r:id="rId3"/>
    <sheet name="FEVEREIRO26" sheetId="4" r:id="rId4"/>
    <sheet name="JANEIRO26" sheetId="5" r:id="rId5"/>
    <sheet name="CONTROLE DE GAST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G3" i="1"/>
  <c r="H3" i="1"/>
  <c r="I3" i="1"/>
  <c r="B4" i="1"/>
  <c r="G4" i="1"/>
  <c r="B5" i="1"/>
  <c r="G5" i="1"/>
  <c r="B6" i="1"/>
  <c r="G6" i="1"/>
  <c r="I6" i="1" s="1"/>
  <c r="H6" i="1"/>
  <c r="B7" i="1"/>
  <c r="G7" i="1"/>
  <c r="B8" i="1"/>
  <c r="G8" i="1"/>
  <c r="H8" i="1"/>
  <c r="I8" i="1"/>
  <c r="B9" i="1"/>
  <c r="G9" i="1"/>
  <c r="B10" i="1"/>
  <c r="G10" i="1"/>
  <c r="H10" i="1"/>
  <c r="I10" i="1"/>
  <c r="B11" i="1"/>
  <c r="G11" i="1"/>
  <c r="H11" i="1" s="1"/>
  <c r="I11" i="1"/>
  <c r="B12" i="1"/>
  <c r="G12" i="1"/>
  <c r="H12" i="1"/>
  <c r="I12" i="1"/>
  <c r="B13" i="1"/>
  <c r="G13" i="1"/>
  <c r="H13" i="1" s="1"/>
  <c r="I13" i="1"/>
  <c r="B14" i="1"/>
  <c r="G14" i="1"/>
  <c r="H14" i="1"/>
  <c r="I14" i="1"/>
  <c r="B15" i="1"/>
  <c r="G15" i="1"/>
  <c r="H15" i="1" s="1"/>
  <c r="I15" i="1"/>
  <c r="B16" i="1"/>
  <c r="G16" i="1"/>
  <c r="B17" i="1"/>
  <c r="G17" i="1"/>
  <c r="H17" i="1"/>
  <c r="I17" i="1"/>
  <c r="B18" i="1"/>
  <c r="G18" i="1"/>
  <c r="B19" i="1"/>
  <c r="G19" i="1"/>
  <c r="H19" i="1"/>
  <c r="I19" i="1"/>
  <c r="B20" i="1"/>
  <c r="G20" i="1"/>
  <c r="H20" i="1" s="1"/>
  <c r="I20" i="1"/>
  <c r="B21" i="1"/>
  <c r="G21" i="1"/>
  <c r="H21" i="1"/>
  <c r="I21" i="1"/>
  <c r="B22" i="1"/>
  <c r="G22" i="1"/>
  <c r="H22" i="1" s="1"/>
  <c r="I22" i="1"/>
  <c r="B23" i="1"/>
  <c r="G23" i="1"/>
  <c r="H23" i="1" s="1"/>
  <c r="I23" i="1"/>
  <c r="B24" i="1"/>
  <c r="G24" i="1"/>
  <c r="B25" i="1"/>
  <c r="G25" i="1"/>
  <c r="H25" i="1"/>
  <c r="I25" i="1"/>
  <c r="B26" i="1"/>
  <c r="C26" i="1"/>
  <c r="D26" i="1"/>
  <c r="E26" i="1"/>
  <c r="F26" i="1"/>
  <c r="G26" i="1"/>
  <c r="D389" i="6"/>
  <c r="H389" i="6" s="1"/>
  <c r="D388" i="6"/>
  <c r="H388" i="6" s="1"/>
  <c r="M387" i="6"/>
  <c r="D387" i="6"/>
  <c r="H387" i="6" s="1"/>
  <c r="D386" i="6"/>
  <c r="H386" i="6" s="1"/>
  <c r="D385" i="6"/>
  <c r="H385" i="6" s="1"/>
  <c r="D384" i="6"/>
  <c r="H384" i="6" s="1"/>
  <c r="D383" i="6"/>
  <c r="H383" i="6" s="1"/>
  <c r="D382" i="6"/>
  <c r="H382" i="6" s="1"/>
  <c r="H390" i="6" s="1"/>
  <c r="J387" i="6" s="1"/>
  <c r="D376" i="6"/>
  <c r="H376" i="6" s="1"/>
  <c r="D375" i="6"/>
  <c r="H375" i="6" s="1"/>
  <c r="D374" i="6"/>
  <c r="H374" i="6" s="1"/>
  <c r="D373" i="6"/>
  <c r="H373" i="6" s="1"/>
  <c r="M372" i="6"/>
  <c r="D372" i="6"/>
  <c r="H372" i="6" s="1"/>
  <c r="D371" i="6"/>
  <c r="H371" i="6" s="1"/>
  <c r="D369" i="6"/>
  <c r="H369" i="6" s="1"/>
  <c r="D368" i="6"/>
  <c r="H368" i="6" s="1"/>
  <c r="D367" i="6"/>
  <c r="H367" i="6" s="1"/>
  <c r="D366" i="6"/>
  <c r="H366" i="6" s="1"/>
  <c r="D365" i="6"/>
  <c r="H365" i="6" s="1"/>
  <c r="D364" i="6"/>
  <c r="H364" i="6" s="1"/>
  <c r="H378" i="6" s="1"/>
  <c r="J372" i="6" s="1"/>
  <c r="D355" i="6"/>
  <c r="H355" i="6" s="1"/>
  <c r="D354" i="6"/>
  <c r="H354" i="6" s="1"/>
  <c r="D353" i="6"/>
  <c r="H353" i="6" s="1"/>
  <c r="D352" i="6"/>
  <c r="H352" i="6" s="1"/>
  <c r="D351" i="6"/>
  <c r="H351" i="6" s="1"/>
  <c r="M350" i="6"/>
  <c r="D350" i="6"/>
  <c r="H350" i="6" s="1"/>
  <c r="D349" i="6"/>
  <c r="H349" i="6" s="1"/>
  <c r="D348" i="6"/>
  <c r="H348" i="6" s="1"/>
  <c r="D347" i="6"/>
  <c r="H347" i="6" s="1"/>
  <c r="D346" i="6"/>
  <c r="H346" i="6" s="1"/>
  <c r="D345" i="6"/>
  <c r="H345" i="6" s="1"/>
  <c r="D344" i="6"/>
  <c r="H344" i="6" s="1"/>
  <c r="H356" i="6" s="1"/>
  <c r="J350" i="6" s="1"/>
  <c r="D336" i="6"/>
  <c r="H336" i="6" s="1"/>
  <c r="D335" i="6"/>
  <c r="H335" i="6" s="1"/>
  <c r="D334" i="6"/>
  <c r="H334" i="6" s="1"/>
  <c r="D333" i="6"/>
  <c r="H333" i="6" s="1"/>
  <c r="D332" i="6"/>
  <c r="H332" i="6" s="1"/>
  <c r="M331" i="6"/>
  <c r="D331" i="6"/>
  <c r="H331" i="6" s="1"/>
  <c r="D330" i="6"/>
  <c r="H330" i="6" s="1"/>
  <c r="D329" i="6"/>
  <c r="H329" i="6" s="1"/>
  <c r="D328" i="6"/>
  <c r="H328" i="6" s="1"/>
  <c r="D327" i="6"/>
  <c r="H327" i="6" s="1"/>
  <c r="H337" i="6" s="1"/>
  <c r="J331" i="6" s="1"/>
  <c r="D320" i="6"/>
  <c r="H320" i="6" s="1"/>
  <c r="D319" i="6"/>
  <c r="H319" i="6" s="1"/>
  <c r="D318" i="6"/>
  <c r="H318" i="6" s="1"/>
  <c r="D317" i="6"/>
  <c r="H317" i="6" s="1"/>
  <c r="M316" i="6"/>
  <c r="D316" i="6"/>
  <c r="H316" i="6" s="1"/>
  <c r="D315" i="6"/>
  <c r="H315" i="6" s="1"/>
  <c r="D314" i="6"/>
  <c r="H314" i="6" s="1"/>
  <c r="D313" i="6"/>
  <c r="H313" i="6" s="1"/>
  <c r="D312" i="6"/>
  <c r="H312" i="6" s="1"/>
  <c r="D311" i="6"/>
  <c r="H311" i="6" s="1"/>
  <c r="D310" i="6"/>
  <c r="H310" i="6" s="1"/>
  <c r="H321" i="6" s="1"/>
  <c r="J316" i="6" s="1"/>
  <c r="D302" i="6"/>
  <c r="H302" i="6" s="1"/>
  <c r="D301" i="6"/>
  <c r="H301" i="6" s="1"/>
  <c r="D300" i="6"/>
  <c r="H300" i="6" s="1"/>
  <c r="D299" i="6"/>
  <c r="H299" i="6" s="1"/>
  <c r="M298" i="6"/>
  <c r="D298" i="6"/>
  <c r="H298" i="6" s="1"/>
  <c r="D297" i="6"/>
  <c r="H297" i="6" s="1"/>
  <c r="D296" i="6"/>
  <c r="H296" i="6" s="1"/>
  <c r="D295" i="6"/>
  <c r="H295" i="6" s="1"/>
  <c r="D294" i="6"/>
  <c r="H294" i="6" s="1"/>
  <c r="H303" i="6" s="1"/>
  <c r="J298" i="6" s="1"/>
  <c r="D286" i="6"/>
  <c r="H286" i="6" s="1"/>
  <c r="D285" i="6"/>
  <c r="H285" i="6" s="1"/>
  <c r="D284" i="6"/>
  <c r="H284" i="6" s="1"/>
  <c r="M282" i="6"/>
  <c r="D282" i="6"/>
  <c r="H282" i="6" s="1"/>
  <c r="D281" i="6"/>
  <c r="H281" i="6" s="1"/>
  <c r="D280" i="6"/>
  <c r="H280" i="6" s="1"/>
  <c r="D279" i="6"/>
  <c r="H279" i="6" s="1"/>
  <c r="D278" i="6"/>
  <c r="H278" i="6" s="1"/>
  <c r="D277" i="6"/>
  <c r="H277" i="6" s="1"/>
  <c r="H287" i="6" s="1"/>
  <c r="J282" i="6" s="1"/>
  <c r="D269" i="6"/>
  <c r="H269" i="6" s="1"/>
  <c r="D268" i="6"/>
  <c r="H268" i="6" s="1"/>
  <c r="D267" i="6"/>
  <c r="H267" i="6" s="1"/>
  <c r="D266" i="6"/>
  <c r="H266" i="6" s="1"/>
  <c r="M265" i="6"/>
  <c r="D265" i="6"/>
  <c r="H265" i="6" s="1"/>
  <c r="D264" i="6"/>
  <c r="H264" i="6" s="1"/>
  <c r="D263" i="6"/>
  <c r="H263" i="6" s="1"/>
  <c r="D262" i="6"/>
  <c r="H262" i="6" s="1"/>
  <c r="D261" i="6"/>
  <c r="H261" i="6" s="1"/>
  <c r="H270" i="6" s="1"/>
  <c r="J265" i="6" s="1"/>
  <c r="D252" i="6"/>
  <c r="H252" i="6" s="1"/>
  <c r="D251" i="6"/>
  <c r="H251" i="6" s="1"/>
  <c r="D250" i="6"/>
  <c r="H250" i="6" s="1"/>
  <c r="D249" i="6"/>
  <c r="H249" i="6" s="1"/>
  <c r="M248" i="6"/>
  <c r="D248" i="6"/>
  <c r="H248" i="6" s="1"/>
  <c r="D247" i="6"/>
  <c r="H247" i="6" s="1"/>
  <c r="D246" i="6"/>
  <c r="H246" i="6" s="1"/>
  <c r="D245" i="6"/>
  <c r="H245" i="6" s="1"/>
  <c r="D244" i="6"/>
  <c r="H244" i="6" s="1"/>
  <c r="H253" i="6" s="1"/>
  <c r="J248" i="6" s="1"/>
  <c r="D236" i="6"/>
  <c r="H236" i="6" s="1"/>
  <c r="D235" i="6"/>
  <c r="H235" i="6" s="1"/>
  <c r="D234" i="6"/>
  <c r="H234" i="6" s="1"/>
  <c r="M233" i="6"/>
  <c r="D233" i="6"/>
  <c r="H233" i="6" s="1"/>
  <c r="D232" i="6"/>
  <c r="H232" i="6" s="1"/>
  <c r="D231" i="6"/>
  <c r="H231" i="6" s="1"/>
  <c r="D230" i="6"/>
  <c r="H230" i="6" s="1"/>
  <c r="D229" i="6"/>
  <c r="H229" i="6" s="1"/>
  <c r="H237" i="6" s="1"/>
  <c r="J233" i="6" s="1"/>
  <c r="D224" i="6"/>
  <c r="H224" i="6" s="1"/>
  <c r="D223" i="6"/>
  <c r="H223" i="6" s="1"/>
  <c r="D222" i="6"/>
  <c r="H222" i="6" s="1"/>
  <c r="D221" i="6"/>
  <c r="H221" i="6" s="1"/>
  <c r="M220" i="6"/>
  <c r="D220" i="6"/>
  <c r="H220" i="6" s="1"/>
  <c r="D219" i="6"/>
  <c r="H219" i="6" s="1"/>
  <c r="D218" i="6"/>
  <c r="H218" i="6" s="1"/>
  <c r="D217" i="6"/>
  <c r="H217" i="6" s="1"/>
  <c r="D216" i="6"/>
  <c r="H216" i="6" s="1"/>
  <c r="D215" i="6"/>
  <c r="H215" i="6" s="1"/>
  <c r="H225" i="6" s="1"/>
  <c r="J220" i="6" s="1"/>
  <c r="D208" i="6"/>
  <c r="H208" i="6" s="1"/>
  <c r="D207" i="6"/>
  <c r="H207" i="6" s="1"/>
  <c r="D206" i="6"/>
  <c r="H206" i="6" s="1"/>
  <c r="D205" i="6"/>
  <c r="H205" i="6" s="1"/>
  <c r="M204" i="6"/>
  <c r="D204" i="6"/>
  <c r="H204" i="6" s="1"/>
  <c r="D203" i="6"/>
  <c r="H203" i="6" s="1"/>
  <c r="D202" i="6"/>
  <c r="H202" i="6" s="1"/>
  <c r="D201" i="6"/>
  <c r="H201" i="6" s="1"/>
  <c r="D200" i="6"/>
  <c r="H200" i="6" s="1"/>
  <c r="H209" i="6" s="1"/>
  <c r="J204" i="6" s="1"/>
  <c r="D193" i="6"/>
  <c r="H193" i="6" s="1"/>
  <c r="D192" i="6"/>
  <c r="H192" i="6" s="1"/>
  <c r="D191" i="6"/>
  <c r="H191" i="6" s="1"/>
  <c r="D190" i="6"/>
  <c r="H190" i="6" s="1"/>
  <c r="D189" i="6"/>
  <c r="H189" i="6" s="1"/>
  <c r="M188" i="6"/>
  <c r="D188" i="6"/>
  <c r="H188" i="6" s="1"/>
  <c r="D187" i="6"/>
  <c r="H187" i="6" s="1"/>
  <c r="D186" i="6"/>
  <c r="H186" i="6" s="1"/>
  <c r="D185" i="6"/>
  <c r="H185" i="6" s="1"/>
  <c r="D184" i="6"/>
  <c r="H184" i="6" s="1"/>
  <c r="H194" i="6" s="1"/>
  <c r="J188" i="6" s="1"/>
  <c r="D177" i="6"/>
  <c r="H177" i="6" s="1"/>
  <c r="D176" i="6"/>
  <c r="H176" i="6" s="1"/>
  <c r="D175" i="6"/>
  <c r="H175" i="6" s="1"/>
  <c r="D174" i="6"/>
  <c r="H174" i="6" s="1"/>
  <c r="D173" i="6"/>
  <c r="H173" i="6" s="1"/>
  <c r="M172" i="6"/>
  <c r="D172" i="6"/>
  <c r="H172" i="6" s="1"/>
  <c r="D171" i="6"/>
  <c r="H171" i="6" s="1"/>
  <c r="D170" i="6"/>
  <c r="H170" i="6" s="1"/>
  <c r="H178" i="6" s="1"/>
  <c r="J172" i="6" s="1"/>
  <c r="D163" i="6"/>
  <c r="H163" i="6" s="1"/>
  <c r="D162" i="6"/>
  <c r="H162" i="6" s="1"/>
  <c r="D161" i="6"/>
  <c r="H161" i="6" s="1"/>
  <c r="D160" i="6"/>
  <c r="H160" i="6" s="1"/>
  <c r="D159" i="6"/>
  <c r="H159" i="6" s="1"/>
  <c r="D158" i="6"/>
  <c r="H158" i="6" s="1"/>
  <c r="M157" i="6"/>
  <c r="D157" i="6"/>
  <c r="H157" i="6" s="1"/>
  <c r="D156" i="6"/>
  <c r="H156" i="6" s="1"/>
  <c r="D155" i="6"/>
  <c r="H155" i="6" s="1"/>
  <c r="D154" i="6"/>
  <c r="H154" i="6" s="1"/>
  <c r="D153" i="6"/>
  <c r="H153" i="6" s="1"/>
  <c r="D152" i="6"/>
  <c r="H152" i="6" s="1"/>
  <c r="H164" i="6" s="1"/>
  <c r="J157" i="6" s="1"/>
  <c r="D145" i="6"/>
  <c r="H145" i="6" s="1"/>
  <c r="D144" i="6"/>
  <c r="H144" i="6" s="1"/>
  <c r="D143" i="6"/>
  <c r="H143" i="6" s="1"/>
  <c r="D142" i="6"/>
  <c r="H142" i="6" s="1"/>
  <c r="D141" i="6"/>
  <c r="H141" i="6" s="1"/>
  <c r="M140" i="6"/>
  <c r="D140" i="6"/>
  <c r="H140" i="6" s="1"/>
  <c r="D139" i="6"/>
  <c r="H139" i="6" s="1"/>
  <c r="D138" i="6"/>
  <c r="H138" i="6" s="1"/>
  <c r="D137" i="6"/>
  <c r="H137" i="6" s="1"/>
  <c r="D136" i="6"/>
  <c r="H136" i="6" s="1"/>
  <c r="H146" i="6" s="1"/>
  <c r="J140" i="6" s="1"/>
  <c r="D129" i="6"/>
  <c r="H129" i="6" s="1"/>
  <c r="D128" i="6"/>
  <c r="H128" i="6" s="1"/>
  <c r="D127" i="6"/>
  <c r="H127" i="6" s="1"/>
  <c r="D126" i="6"/>
  <c r="H126" i="6" s="1"/>
  <c r="D125" i="6"/>
  <c r="H125" i="6" s="1"/>
  <c r="M124" i="6"/>
  <c r="D124" i="6"/>
  <c r="H124" i="6" s="1"/>
  <c r="D123" i="6"/>
  <c r="H123" i="6" s="1"/>
  <c r="D122" i="6"/>
  <c r="H122" i="6" s="1"/>
  <c r="D121" i="6"/>
  <c r="H121" i="6" s="1"/>
  <c r="D120" i="6"/>
  <c r="H120" i="6" s="1"/>
  <c r="D119" i="6"/>
  <c r="H119" i="6" s="1"/>
  <c r="H130" i="6" s="1"/>
  <c r="J124" i="6" s="1"/>
  <c r="D112" i="6"/>
  <c r="H112" i="6" s="1"/>
  <c r="D111" i="6"/>
  <c r="H111" i="6" s="1"/>
  <c r="D110" i="6"/>
  <c r="H110" i="6" s="1"/>
  <c r="D109" i="6"/>
  <c r="H109" i="6" s="1"/>
  <c r="D108" i="6"/>
  <c r="H108" i="6" s="1"/>
  <c r="D107" i="6"/>
  <c r="H107" i="6" s="1"/>
  <c r="D106" i="6"/>
  <c r="H106" i="6" s="1"/>
  <c r="D105" i="6"/>
  <c r="H105" i="6" s="1"/>
  <c r="M104" i="6"/>
  <c r="D104" i="6"/>
  <c r="H104" i="6" s="1"/>
  <c r="D103" i="6"/>
  <c r="H103" i="6" s="1"/>
  <c r="D102" i="6"/>
  <c r="H102" i="6" s="1"/>
  <c r="D101" i="6"/>
  <c r="H101" i="6" s="1"/>
  <c r="H113" i="6" s="1"/>
  <c r="J104" i="6" s="1"/>
  <c r="D94" i="6"/>
  <c r="H94" i="6" s="1"/>
  <c r="D93" i="6"/>
  <c r="H93" i="6" s="1"/>
  <c r="D92" i="6"/>
  <c r="H92" i="6" s="1"/>
  <c r="D91" i="6"/>
  <c r="H91" i="6" s="1"/>
  <c r="H90" i="6"/>
  <c r="D90" i="6"/>
  <c r="D89" i="6"/>
  <c r="H89" i="6" s="1"/>
  <c r="D88" i="6"/>
  <c r="H88" i="6" s="1"/>
  <c r="M87" i="6"/>
  <c r="D87" i="6"/>
  <c r="H87" i="6" s="1"/>
  <c r="D86" i="6"/>
  <c r="H86" i="6" s="1"/>
  <c r="D85" i="6"/>
  <c r="H85" i="6" s="1"/>
  <c r="D84" i="6"/>
  <c r="H84" i="6" s="1"/>
  <c r="D83" i="6"/>
  <c r="H83" i="6" s="1"/>
  <c r="H95" i="6" s="1"/>
  <c r="J87" i="6" s="1"/>
  <c r="D77" i="6"/>
  <c r="H77" i="6" s="1"/>
  <c r="D76" i="6"/>
  <c r="H76" i="6" s="1"/>
  <c r="D75" i="6"/>
  <c r="H75" i="6" s="1"/>
  <c r="M74" i="6"/>
  <c r="D74" i="6"/>
  <c r="H74" i="6" s="1"/>
  <c r="D73" i="6"/>
  <c r="H73" i="6" s="1"/>
  <c r="D72" i="6"/>
  <c r="H72" i="6" s="1"/>
  <c r="D71" i="6"/>
  <c r="H71" i="6" s="1"/>
  <c r="D70" i="6"/>
  <c r="H70" i="6" s="1"/>
  <c r="D69" i="6"/>
  <c r="H69" i="6" s="1"/>
  <c r="H78" i="6" s="1"/>
  <c r="J74" i="6" s="1"/>
  <c r="D62" i="6"/>
  <c r="H62" i="6" s="1"/>
  <c r="H61" i="6"/>
  <c r="D61" i="6"/>
  <c r="D60" i="6"/>
  <c r="H60" i="6" s="1"/>
  <c r="D59" i="6"/>
  <c r="H59" i="6" s="1"/>
  <c r="D58" i="6"/>
  <c r="H58" i="6" s="1"/>
  <c r="M57" i="6"/>
  <c r="D57" i="6"/>
  <c r="H57" i="6" s="1"/>
  <c r="D56" i="6"/>
  <c r="H56" i="6" s="1"/>
  <c r="D55" i="6"/>
  <c r="H55" i="6" s="1"/>
  <c r="D54" i="6"/>
  <c r="H54" i="6" s="1"/>
  <c r="D53" i="6"/>
  <c r="H53" i="6" s="1"/>
  <c r="D52" i="6"/>
  <c r="H52" i="6" s="1"/>
  <c r="H63" i="6" s="1"/>
  <c r="J57" i="6" s="1"/>
  <c r="D45" i="6"/>
  <c r="H45" i="6" s="1"/>
  <c r="D44" i="6"/>
  <c r="H44" i="6" s="1"/>
  <c r="D43" i="6"/>
  <c r="H43" i="6" s="1"/>
  <c r="D42" i="6"/>
  <c r="H42" i="6" s="1"/>
  <c r="D41" i="6"/>
  <c r="H41" i="6" s="1"/>
  <c r="D40" i="6"/>
  <c r="H40" i="6" s="1"/>
  <c r="D39" i="6"/>
  <c r="H39" i="6" s="1"/>
  <c r="D38" i="6"/>
  <c r="H38" i="6" s="1"/>
  <c r="D37" i="6"/>
  <c r="H37" i="6" s="1"/>
  <c r="D36" i="6"/>
  <c r="H36" i="6" s="1"/>
  <c r="D35" i="6"/>
  <c r="H35" i="6" s="1"/>
  <c r="H46" i="6" s="1"/>
  <c r="J40" i="6" s="1"/>
  <c r="D28" i="6"/>
  <c r="H28" i="6" s="1"/>
  <c r="D27" i="6"/>
  <c r="H27" i="6" s="1"/>
  <c r="D26" i="6"/>
  <c r="H26" i="6" s="1"/>
  <c r="D25" i="6"/>
  <c r="H25" i="6" s="1"/>
  <c r="M24" i="6"/>
  <c r="D24" i="6"/>
  <c r="H24" i="6" s="1"/>
  <c r="D23" i="6"/>
  <c r="H23" i="6" s="1"/>
  <c r="D22" i="6"/>
  <c r="H22" i="6" s="1"/>
  <c r="H21" i="6"/>
  <c r="D21" i="6"/>
  <c r="D20" i="6"/>
  <c r="H20" i="6" s="1"/>
  <c r="D19" i="6"/>
  <c r="H19" i="6" s="1"/>
  <c r="D18" i="6"/>
  <c r="H18" i="6" s="1"/>
  <c r="H29" i="6" s="1"/>
  <c r="J24" i="6" s="1"/>
  <c r="D13" i="6"/>
  <c r="H13" i="6" s="1"/>
  <c r="D12" i="6"/>
  <c r="H12" i="6" s="1"/>
  <c r="D11" i="6"/>
  <c r="H11" i="6" s="1"/>
  <c r="D10" i="6"/>
  <c r="H10" i="6" s="1"/>
  <c r="M9" i="6"/>
  <c r="D9" i="6"/>
  <c r="H9" i="6" s="1"/>
  <c r="D8" i="6"/>
  <c r="H8" i="6" s="1"/>
  <c r="D7" i="6"/>
  <c r="H7" i="6" s="1"/>
  <c r="D6" i="6"/>
  <c r="H6" i="6" s="1"/>
  <c r="D5" i="6"/>
  <c r="H5" i="6" s="1"/>
  <c r="H14" i="6" s="1"/>
  <c r="J9" i="6" s="1"/>
  <c r="F483" i="5"/>
  <c r="E483" i="5"/>
  <c r="G482" i="5"/>
  <c r="I482" i="5" s="1"/>
  <c r="G481" i="5"/>
  <c r="I481" i="5" s="1"/>
  <c r="G480" i="5"/>
  <c r="I480" i="5" s="1"/>
  <c r="G479" i="5"/>
  <c r="I479" i="5" s="1"/>
  <c r="G478" i="5"/>
  <c r="I478" i="5" s="1"/>
  <c r="G477" i="5"/>
  <c r="I477" i="5" s="1"/>
  <c r="G476" i="5"/>
  <c r="I476" i="5" s="1"/>
  <c r="G475" i="5"/>
  <c r="I475" i="5" s="1"/>
  <c r="G474" i="5"/>
  <c r="I474" i="5" s="1"/>
  <c r="G473" i="5"/>
  <c r="I473" i="5" s="1"/>
  <c r="G472" i="5"/>
  <c r="I472" i="5" s="1"/>
  <c r="G471" i="5"/>
  <c r="I471" i="5" s="1"/>
  <c r="G470" i="5"/>
  <c r="I470" i="5" s="1"/>
  <c r="G469" i="5"/>
  <c r="I469" i="5" s="1"/>
  <c r="G468" i="5"/>
  <c r="I468" i="5" s="1"/>
  <c r="G467" i="5"/>
  <c r="I467" i="5" s="1"/>
  <c r="G466" i="5"/>
  <c r="I466" i="5" s="1"/>
  <c r="G465" i="5"/>
  <c r="I465" i="5" s="1"/>
  <c r="G464" i="5"/>
  <c r="I464" i="5" s="1"/>
  <c r="G463" i="5"/>
  <c r="I463" i="5" s="1"/>
  <c r="G462" i="5"/>
  <c r="F456" i="5"/>
  <c r="E456" i="5"/>
  <c r="G455" i="5"/>
  <c r="I455" i="5" s="1"/>
  <c r="G454" i="5"/>
  <c r="I454" i="5" s="1"/>
  <c r="G453" i="5"/>
  <c r="I453" i="5" s="1"/>
  <c r="G452" i="5"/>
  <c r="I452" i="5" s="1"/>
  <c r="G451" i="5"/>
  <c r="I451" i="5" s="1"/>
  <c r="G450" i="5"/>
  <c r="I450" i="5" s="1"/>
  <c r="G449" i="5"/>
  <c r="I449" i="5" s="1"/>
  <c r="G448" i="5"/>
  <c r="I448" i="5" s="1"/>
  <c r="G447" i="5"/>
  <c r="I447" i="5" s="1"/>
  <c r="G446" i="5"/>
  <c r="I446" i="5" s="1"/>
  <c r="G445" i="5"/>
  <c r="I445" i="5" s="1"/>
  <c r="G444" i="5"/>
  <c r="I444" i="5" s="1"/>
  <c r="G443" i="5"/>
  <c r="I443" i="5" s="1"/>
  <c r="G442" i="5"/>
  <c r="I442" i="5" s="1"/>
  <c r="G441" i="5"/>
  <c r="I441" i="5" s="1"/>
  <c r="G440" i="5"/>
  <c r="I440" i="5" s="1"/>
  <c r="G439" i="5"/>
  <c r="I439" i="5" s="1"/>
  <c r="G438" i="5"/>
  <c r="I438" i="5" s="1"/>
  <c r="G437" i="5"/>
  <c r="I437" i="5" s="1"/>
  <c r="G436" i="5"/>
  <c r="I436" i="5" s="1"/>
  <c r="G435" i="5"/>
  <c r="F429" i="5"/>
  <c r="E429" i="5"/>
  <c r="G428" i="5"/>
  <c r="I428" i="5" s="1"/>
  <c r="G427" i="5"/>
  <c r="I427" i="5" s="1"/>
  <c r="G426" i="5"/>
  <c r="I426" i="5" s="1"/>
  <c r="G425" i="5"/>
  <c r="I425" i="5" s="1"/>
  <c r="G424" i="5"/>
  <c r="I424" i="5" s="1"/>
  <c r="G423" i="5"/>
  <c r="I423" i="5" s="1"/>
  <c r="G422" i="5"/>
  <c r="I422" i="5" s="1"/>
  <c r="G421" i="5"/>
  <c r="I421" i="5" s="1"/>
  <c r="G420" i="5"/>
  <c r="I420" i="5" s="1"/>
  <c r="G419" i="5"/>
  <c r="I419" i="5" s="1"/>
  <c r="G418" i="5"/>
  <c r="I418" i="5" s="1"/>
  <c r="G417" i="5"/>
  <c r="I417" i="5" s="1"/>
  <c r="G416" i="5"/>
  <c r="I416" i="5" s="1"/>
  <c r="G415" i="5"/>
  <c r="I415" i="5" s="1"/>
  <c r="G414" i="5"/>
  <c r="I414" i="5" s="1"/>
  <c r="G413" i="5"/>
  <c r="I413" i="5" s="1"/>
  <c r="G412" i="5"/>
  <c r="I412" i="5" s="1"/>
  <c r="G411" i="5"/>
  <c r="I411" i="5" s="1"/>
  <c r="G410" i="5"/>
  <c r="I410" i="5" s="1"/>
  <c r="G409" i="5"/>
  <c r="I409" i="5" s="1"/>
  <c r="G408" i="5"/>
  <c r="F402" i="5"/>
  <c r="E402" i="5"/>
  <c r="G401" i="5"/>
  <c r="I401" i="5" s="1"/>
  <c r="G400" i="5"/>
  <c r="I400" i="5" s="1"/>
  <c r="G399" i="5"/>
  <c r="I399" i="5" s="1"/>
  <c r="G398" i="5"/>
  <c r="I398" i="5" s="1"/>
  <c r="G397" i="5"/>
  <c r="I397" i="5" s="1"/>
  <c r="G396" i="5"/>
  <c r="G395" i="5"/>
  <c r="I395" i="5" s="1"/>
  <c r="G394" i="5"/>
  <c r="I394" i="5" s="1"/>
  <c r="G393" i="5"/>
  <c r="I393" i="5" s="1"/>
  <c r="G392" i="5"/>
  <c r="I392" i="5" s="1"/>
  <c r="G391" i="5"/>
  <c r="I391" i="5" s="1"/>
  <c r="G390" i="5"/>
  <c r="I390" i="5" s="1"/>
  <c r="G389" i="5"/>
  <c r="I389" i="5" s="1"/>
  <c r="G388" i="5"/>
  <c r="I388" i="5" s="1"/>
  <c r="G387" i="5"/>
  <c r="I387" i="5" s="1"/>
  <c r="G386" i="5"/>
  <c r="I386" i="5" s="1"/>
  <c r="G385" i="5"/>
  <c r="I385" i="5" s="1"/>
  <c r="G384" i="5"/>
  <c r="I384" i="5" s="1"/>
  <c r="G383" i="5"/>
  <c r="I383" i="5" s="1"/>
  <c r="G382" i="5"/>
  <c r="I382" i="5" s="1"/>
  <c r="G381" i="5"/>
  <c r="I381" i="5" s="1"/>
  <c r="F375" i="5"/>
  <c r="E375" i="5"/>
  <c r="G374" i="5"/>
  <c r="I374" i="5" s="1"/>
  <c r="G373" i="5"/>
  <c r="I373" i="5" s="1"/>
  <c r="G372" i="5"/>
  <c r="I372" i="5" s="1"/>
  <c r="G371" i="5"/>
  <c r="I371" i="5" s="1"/>
  <c r="G370" i="5"/>
  <c r="I370" i="5" s="1"/>
  <c r="G369" i="5"/>
  <c r="I369" i="5" s="1"/>
  <c r="G368" i="5"/>
  <c r="I368" i="5" s="1"/>
  <c r="G367" i="5"/>
  <c r="I367" i="5" s="1"/>
  <c r="G366" i="5"/>
  <c r="I366" i="5" s="1"/>
  <c r="G365" i="5"/>
  <c r="I365" i="5" s="1"/>
  <c r="G364" i="5"/>
  <c r="I364" i="5" s="1"/>
  <c r="G363" i="5"/>
  <c r="I363" i="5" s="1"/>
  <c r="G362" i="5"/>
  <c r="I362" i="5" s="1"/>
  <c r="G361" i="5"/>
  <c r="I361" i="5" s="1"/>
  <c r="G360" i="5"/>
  <c r="I360" i="5" s="1"/>
  <c r="G359" i="5"/>
  <c r="I359" i="5" s="1"/>
  <c r="G358" i="5"/>
  <c r="I358" i="5" s="1"/>
  <c r="G357" i="5"/>
  <c r="I357" i="5" s="1"/>
  <c r="G356" i="5"/>
  <c r="I356" i="5" s="1"/>
  <c r="G355" i="5"/>
  <c r="I355" i="5" s="1"/>
  <c r="G354" i="5"/>
  <c r="F348" i="5"/>
  <c r="E348" i="5"/>
  <c r="G347" i="5"/>
  <c r="I347" i="5" s="1"/>
  <c r="G346" i="5"/>
  <c r="I346" i="5" s="1"/>
  <c r="G345" i="5"/>
  <c r="I345" i="5" s="1"/>
  <c r="G344" i="5"/>
  <c r="I344" i="5" s="1"/>
  <c r="G343" i="5"/>
  <c r="I343" i="5" s="1"/>
  <c r="G342" i="5"/>
  <c r="I342" i="5" s="1"/>
  <c r="G341" i="5"/>
  <c r="I341" i="5" s="1"/>
  <c r="G340" i="5"/>
  <c r="I340" i="5" s="1"/>
  <c r="G339" i="5"/>
  <c r="I339" i="5" s="1"/>
  <c r="G338" i="5"/>
  <c r="I338" i="5" s="1"/>
  <c r="G337" i="5"/>
  <c r="I337" i="5" s="1"/>
  <c r="G336" i="5"/>
  <c r="I336" i="5" s="1"/>
  <c r="G335" i="5"/>
  <c r="I335" i="5" s="1"/>
  <c r="G334" i="5"/>
  <c r="I334" i="5" s="1"/>
  <c r="G333" i="5"/>
  <c r="I333" i="5" s="1"/>
  <c r="G332" i="5"/>
  <c r="I332" i="5" s="1"/>
  <c r="G331" i="5"/>
  <c r="I331" i="5" s="1"/>
  <c r="G330" i="5"/>
  <c r="I330" i="5" s="1"/>
  <c r="G329" i="5"/>
  <c r="I329" i="5" s="1"/>
  <c r="G328" i="5"/>
  <c r="I328" i="5" s="1"/>
  <c r="G327" i="5"/>
  <c r="F321" i="5"/>
  <c r="E321" i="5"/>
  <c r="G320" i="5"/>
  <c r="I320" i="5" s="1"/>
  <c r="G319" i="5"/>
  <c r="I319" i="5" s="1"/>
  <c r="G318" i="5"/>
  <c r="I318" i="5" s="1"/>
  <c r="G317" i="5"/>
  <c r="I317" i="5" s="1"/>
  <c r="G316" i="5"/>
  <c r="I316" i="5" s="1"/>
  <c r="G315" i="5"/>
  <c r="I315" i="5" s="1"/>
  <c r="G314" i="5"/>
  <c r="I314" i="5" s="1"/>
  <c r="G313" i="5"/>
  <c r="I313" i="5" s="1"/>
  <c r="G312" i="5"/>
  <c r="I312" i="5" s="1"/>
  <c r="G311" i="5"/>
  <c r="I311" i="5" s="1"/>
  <c r="G310" i="5"/>
  <c r="I310" i="5" s="1"/>
  <c r="G309" i="5"/>
  <c r="I309" i="5" s="1"/>
  <c r="G308" i="5"/>
  <c r="I308" i="5" s="1"/>
  <c r="G307" i="5"/>
  <c r="I307" i="5" s="1"/>
  <c r="G306" i="5"/>
  <c r="I306" i="5" s="1"/>
  <c r="G305" i="5"/>
  <c r="I305" i="5" s="1"/>
  <c r="G304" i="5"/>
  <c r="I304" i="5" s="1"/>
  <c r="G303" i="5"/>
  <c r="I303" i="5" s="1"/>
  <c r="G302" i="5"/>
  <c r="I302" i="5" s="1"/>
  <c r="G301" i="5"/>
  <c r="I301" i="5" s="1"/>
  <c r="G300" i="5"/>
  <c r="F294" i="5"/>
  <c r="E294" i="5"/>
  <c r="G293" i="5"/>
  <c r="I293" i="5" s="1"/>
  <c r="G292" i="5"/>
  <c r="I292" i="5" s="1"/>
  <c r="G291" i="5"/>
  <c r="I291" i="5" s="1"/>
  <c r="G290" i="5"/>
  <c r="I290" i="5" s="1"/>
  <c r="G289" i="5"/>
  <c r="I289" i="5" s="1"/>
  <c r="G288" i="5"/>
  <c r="I288" i="5" s="1"/>
  <c r="G287" i="5"/>
  <c r="I287" i="5" s="1"/>
  <c r="G286" i="5"/>
  <c r="I286" i="5" s="1"/>
  <c r="G285" i="5"/>
  <c r="I285" i="5" s="1"/>
  <c r="G284" i="5"/>
  <c r="I284" i="5" s="1"/>
  <c r="G283" i="5"/>
  <c r="I283" i="5" s="1"/>
  <c r="G282" i="5"/>
  <c r="I282" i="5" s="1"/>
  <c r="G281" i="5"/>
  <c r="I281" i="5" s="1"/>
  <c r="G280" i="5"/>
  <c r="I280" i="5" s="1"/>
  <c r="G279" i="5"/>
  <c r="I279" i="5" s="1"/>
  <c r="G278" i="5"/>
  <c r="I278" i="5" s="1"/>
  <c r="G277" i="5"/>
  <c r="I277" i="5" s="1"/>
  <c r="G276" i="5"/>
  <c r="I276" i="5" s="1"/>
  <c r="G275" i="5"/>
  <c r="I275" i="5" s="1"/>
  <c r="G274" i="5"/>
  <c r="I274" i="5" s="1"/>
  <c r="G273" i="5"/>
  <c r="F267" i="5"/>
  <c r="E267" i="5"/>
  <c r="G266" i="5"/>
  <c r="I266" i="5" s="1"/>
  <c r="G265" i="5"/>
  <c r="G264" i="5"/>
  <c r="I264" i="5" s="1"/>
  <c r="G263" i="5"/>
  <c r="I263" i="5" s="1"/>
  <c r="G262" i="5"/>
  <c r="I262" i="5" s="1"/>
  <c r="G261" i="5"/>
  <c r="I261" i="5" s="1"/>
  <c r="G260" i="5"/>
  <c r="I260" i="5" s="1"/>
  <c r="G259" i="5"/>
  <c r="I259" i="5" s="1"/>
  <c r="G258" i="5"/>
  <c r="I258" i="5" s="1"/>
  <c r="G257" i="5"/>
  <c r="I257" i="5" s="1"/>
  <c r="G256" i="5"/>
  <c r="I256" i="5" s="1"/>
  <c r="G255" i="5"/>
  <c r="I255" i="5" s="1"/>
  <c r="G254" i="5"/>
  <c r="I254" i="5" s="1"/>
  <c r="G253" i="5"/>
  <c r="I253" i="5" s="1"/>
  <c r="G252" i="5"/>
  <c r="I252" i="5" s="1"/>
  <c r="G251" i="5"/>
  <c r="I251" i="5" s="1"/>
  <c r="G250" i="5"/>
  <c r="I250" i="5" s="1"/>
  <c r="G249" i="5"/>
  <c r="I249" i="5" s="1"/>
  <c r="G248" i="5"/>
  <c r="I248" i="5" s="1"/>
  <c r="G247" i="5"/>
  <c r="I247" i="5" s="1"/>
  <c r="G246" i="5"/>
  <c r="I246" i="5" s="1"/>
  <c r="F240" i="5"/>
  <c r="E240" i="5"/>
  <c r="G239" i="5"/>
  <c r="I239" i="5" s="1"/>
  <c r="G238" i="5"/>
  <c r="I238" i="5" s="1"/>
  <c r="G237" i="5"/>
  <c r="I237" i="5" s="1"/>
  <c r="G236" i="5"/>
  <c r="I236" i="5" s="1"/>
  <c r="G235" i="5"/>
  <c r="I235" i="5" s="1"/>
  <c r="G234" i="5"/>
  <c r="I234" i="5" s="1"/>
  <c r="G233" i="5"/>
  <c r="I233" i="5" s="1"/>
  <c r="G232" i="5"/>
  <c r="I232" i="5" s="1"/>
  <c r="G231" i="5"/>
  <c r="I231" i="5" s="1"/>
  <c r="G230" i="5"/>
  <c r="I230" i="5" s="1"/>
  <c r="G229" i="5"/>
  <c r="I229" i="5" s="1"/>
  <c r="G228" i="5"/>
  <c r="I228" i="5" s="1"/>
  <c r="G227" i="5"/>
  <c r="I227" i="5" s="1"/>
  <c r="G226" i="5"/>
  <c r="I226" i="5" s="1"/>
  <c r="G225" i="5"/>
  <c r="I225" i="5" s="1"/>
  <c r="G224" i="5"/>
  <c r="I224" i="5" s="1"/>
  <c r="G223" i="5"/>
  <c r="I223" i="5" s="1"/>
  <c r="G222" i="5"/>
  <c r="I222" i="5" s="1"/>
  <c r="G221" i="5"/>
  <c r="I221" i="5" s="1"/>
  <c r="G220" i="5"/>
  <c r="I220" i="5" s="1"/>
  <c r="G219" i="5"/>
  <c r="F213" i="5"/>
  <c r="E213" i="5"/>
  <c r="G212" i="5"/>
  <c r="I212" i="5" s="1"/>
  <c r="G211" i="5"/>
  <c r="I211" i="5" s="1"/>
  <c r="G210" i="5"/>
  <c r="I210" i="5" s="1"/>
  <c r="G209" i="5"/>
  <c r="I209" i="5" s="1"/>
  <c r="G208" i="5"/>
  <c r="I208" i="5" s="1"/>
  <c r="G207" i="5"/>
  <c r="I207" i="5" s="1"/>
  <c r="G206" i="5"/>
  <c r="I206" i="5" s="1"/>
  <c r="G205" i="5"/>
  <c r="I205" i="5" s="1"/>
  <c r="G204" i="5"/>
  <c r="I204" i="5" s="1"/>
  <c r="G203" i="5"/>
  <c r="I203" i="5" s="1"/>
  <c r="G202" i="5"/>
  <c r="I202" i="5" s="1"/>
  <c r="G201" i="5"/>
  <c r="I201" i="5" s="1"/>
  <c r="G200" i="5"/>
  <c r="I200" i="5" s="1"/>
  <c r="G199" i="5"/>
  <c r="I199" i="5" s="1"/>
  <c r="G198" i="5"/>
  <c r="I198" i="5" s="1"/>
  <c r="G197" i="5"/>
  <c r="I197" i="5" s="1"/>
  <c r="G196" i="5"/>
  <c r="I196" i="5" s="1"/>
  <c r="G195" i="5"/>
  <c r="I195" i="5" s="1"/>
  <c r="G194" i="5"/>
  <c r="I194" i="5" s="1"/>
  <c r="G193" i="5"/>
  <c r="I193" i="5" s="1"/>
  <c r="G192" i="5"/>
  <c r="F186" i="5"/>
  <c r="E186" i="5"/>
  <c r="G185" i="5"/>
  <c r="I185" i="5" s="1"/>
  <c r="G184" i="5"/>
  <c r="I184" i="5" s="1"/>
  <c r="G183" i="5"/>
  <c r="I183" i="5" s="1"/>
  <c r="G182" i="5"/>
  <c r="I182" i="5" s="1"/>
  <c r="G181" i="5"/>
  <c r="I181" i="5" s="1"/>
  <c r="G180" i="5"/>
  <c r="I180" i="5" s="1"/>
  <c r="G179" i="5"/>
  <c r="I179" i="5" s="1"/>
  <c r="G178" i="5"/>
  <c r="I178" i="5" s="1"/>
  <c r="G177" i="5"/>
  <c r="I177" i="5" s="1"/>
  <c r="I176" i="5"/>
  <c r="G176" i="5"/>
  <c r="I175" i="5"/>
  <c r="G175" i="5"/>
  <c r="G174" i="5"/>
  <c r="I174" i="5" s="1"/>
  <c r="G173" i="5"/>
  <c r="I173" i="5" s="1"/>
  <c r="G172" i="5"/>
  <c r="I172" i="5" s="1"/>
  <c r="G171" i="5"/>
  <c r="I171" i="5" s="1"/>
  <c r="G170" i="5"/>
  <c r="I170" i="5" s="1"/>
  <c r="G169" i="5"/>
  <c r="I169" i="5" s="1"/>
  <c r="G168" i="5"/>
  <c r="I168" i="5" s="1"/>
  <c r="G167" i="5"/>
  <c r="I167" i="5" s="1"/>
  <c r="G166" i="5"/>
  <c r="I166" i="5" s="1"/>
  <c r="G165" i="5"/>
  <c r="F159" i="5"/>
  <c r="E159" i="5"/>
  <c r="G158" i="5"/>
  <c r="I158" i="5" s="1"/>
  <c r="G157" i="5"/>
  <c r="I157" i="5" s="1"/>
  <c r="G156" i="5"/>
  <c r="I156" i="5" s="1"/>
  <c r="G155" i="5"/>
  <c r="I155" i="5" s="1"/>
  <c r="G154" i="5"/>
  <c r="I154" i="5" s="1"/>
  <c r="G153" i="5"/>
  <c r="I153" i="5" s="1"/>
  <c r="G152" i="5"/>
  <c r="I152" i="5" s="1"/>
  <c r="G151" i="5"/>
  <c r="I151" i="5" s="1"/>
  <c r="G150" i="5"/>
  <c r="I150" i="5" s="1"/>
  <c r="I149" i="5"/>
  <c r="G149" i="5"/>
  <c r="I148" i="5"/>
  <c r="G148" i="5"/>
  <c r="G147" i="5"/>
  <c r="I147" i="5" s="1"/>
  <c r="G146" i="5"/>
  <c r="I146" i="5" s="1"/>
  <c r="G145" i="5"/>
  <c r="I145" i="5" s="1"/>
  <c r="G144" i="5"/>
  <c r="I144" i="5" s="1"/>
  <c r="G143" i="5"/>
  <c r="I143" i="5" s="1"/>
  <c r="G142" i="5"/>
  <c r="I142" i="5" s="1"/>
  <c r="G141" i="5"/>
  <c r="I141" i="5" s="1"/>
  <c r="G140" i="5"/>
  <c r="I140" i="5" s="1"/>
  <c r="G139" i="5"/>
  <c r="I139" i="5" s="1"/>
  <c r="G138" i="5"/>
  <c r="F132" i="5"/>
  <c r="E132" i="5"/>
  <c r="G131" i="5"/>
  <c r="I131" i="5" s="1"/>
  <c r="G130" i="5"/>
  <c r="I130" i="5" s="1"/>
  <c r="G129" i="5"/>
  <c r="I129" i="5" s="1"/>
  <c r="G128" i="5"/>
  <c r="I128" i="5" s="1"/>
  <c r="G127" i="5"/>
  <c r="I127" i="5" s="1"/>
  <c r="G126" i="5"/>
  <c r="I126" i="5" s="1"/>
  <c r="G125" i="5"/>
  <c r="I125" i="5" s="1"/>
  <c r="G124" i="5"/>
  <c r="I124" i="5" s="1"/>
  <c r="G123" i="5"/>
  <c r="I123" i="5" s="1"/>
  <c r="I122" i="5"/>
  <c r="G122" i="5"/>
  <c r="I121" i="5"/>
  <c r="G121" i="5"/>
  <c r="G120" i="5"/>
  <c r="I120" i="5" s="1"/>
  <c r="G119" i="5"/>
  <c r="I119" i="5" s="1"/>
  <c r="G118" i="5"/>
  <c r="I118" i="5" s="1"/>
  <c r="G117" i="5"/>
  <c r="I117" i="5" s="1"/>
  <c r="G116" i="5"/>
  <c r="I116" i="5" s="1"/>
  <c r="G115" i="5"/>
  <c r="I115" i="5" s="1"/>
  <c r="G114" i="5"/>
  <c r="I114" i="5" s="1"/>
  <c r="G113" i="5"/>
  <c r="I113" i="5" s="1"/>
  <c r="G112" i="5"/>
  <c r="I112" i="5" s="1"/>
  <c r="G111" i="5"/>
  <c r="F105" i="5"/>
  <c r="E105" i="5"/>
  <c r="G104" i="5"/>
  <c r="I104" i="5" s="1"/>
  <c r="G103" i="5"/>
  <c r="I103" i="5" s="1"/>
  <c r="G102" i="5"/>
  <c r="I102" i="5" s="1"/>
  <c r="G101" i="5"/>
  <c r="I101" i="5" s="1"/>
  <c r="G100" i="5"/>
  <c r="I100" i="5" s="1"/>
  <c r="G99" i="5"/>
  <c r="I99" i="5" s="1"/>
  <c r="G98" i="5"/>
  <c r="I98" i="5" s="1"/>
  <c r="G97" i="5"/>
  <c r="I97" i="5" s="1"/>
  <c r="G96" i="5"/>
  <c r="I96" i="5" s="1"/>
  <c r="I95" i="5"/>
  <c r="G95" i="5"/>
  <c r="I94" i="5"/>
  <c r="G94" i="5"/>
  <c r="G93" i="5"/>
  <c r="I93" i="5" s="1"/>
  <c r="G92" i="5"/>
  <c r="I92" i="5" s="1"/>
  <c r="G91" i="5"/>
  <c r="I91" i="5" s="1"/>
  <c r="G90" i="5"/>
  <c r="I90" i="5" s="1"/>
  <c r="G89" i="5"/>
  <c r="I89" i="5" s="1"/>
  <c r="G88" i="5"/>
  <c r="I88" i="5" s="1"/>
  <c r="G87" i="5"/>
  <c r="I87" i="5" s="1"/>
  <c r="G86" i="5"/>
  <c r="I86" i="5" s="1"/>
  <c r="G85" i="5"/>
  <c r="I85" i="5" s="1"/>
  <c r="G84" i="5"/>
  <c r="F78" i="5"/>
  <c r="E78" i="5"/>
  <c r="G77" i="5"/>
  <c r="I77" i="5" s="1"/>
  <c r="G76" i="5"/>
  <c r="I76" i="5" s="1"/>
  <c r="G75" i="5"/>
  <c r="I75" i="5" s="1"/>
  <c r="G74" i="5"/>
  <c r="I74" i="5" s="1"/>
  <c r="G73" i="5"/>
  <c r="I73" i="5" s="1"/>
  <c r="G72" i="5"/>
  <c r="I72" i="5" s="1"/>
  <c r="G71" i="5"/>
  <c r="I71" i="5" s="1"/>
  <c r="G70" i="5"/>
  <c r="I70" i="5" s="1"/>
  <c r="G69" i="5"/>
  <c r="I69" i="5" s="1"/>
  <c r="I68" i="5"/>
  <c r="G68" i="5"/>
  <c r="I67" i="5"/>
  <c r="G67" i="5"/>
  <c r="G66" i="5"/>
  <c r="I66" i="5" s="1"/>
  <c r="G65" i="5"/>
  <c r="I65" i="5" s="1"/>
  <c r="G64" i="5"/>
  <c r="I64" i="5" s="1"/>
  <c r="G63" i="5"/>
  <c r="I63" i="5" s="1"/>
  <c r="G62" i="5"/>
  <c r="I62" i="5" s="1"/>
  <c r="G61" i="5"/>
  <c r="I61" i="5" s="1"/>
  <c r="G60" i="5"/>
  <c r="I60" i="5" s="1"/>
  <c r="G59" i="5"/>
  <c r="I59" i="5" s="1"/>
  <c r="G58" i="5"/>
  <c r="I58" i="5" s="1"/>
  <c r="G57" i="5"/>
  <c r="F51" i="5"/>
  <c r="E51" i="5"/>
  <c r="G50" i="5"/>
  <c r="I50" i="5" s="1"/>
  <c r="G49" i="5"/>
  <c r="I49" i="5" s="1"/>
  <c r="G48" i="5"/>
  <c r="I48" i="5" s="1"/>
  <c r="G47" i="5"/>
  <c r="I47" i="5" s="1"/>
  <c r="G46" i="5"/>
  <c r="I46" i="5" s="1"/>
  <c r="G45" i="5"/>
  <c r="I45" i="5" s="1"/>
  <c r="G44" i="5"/>
  <c r="I44" i="5" s="1"/>
  <c r="G43" i="5"/>
  <c r="I43" i="5" s="1"/>
  <c r="G42" i="5"/>
  <c r="I42" i="5" s="1"/>
  <c r="I41" i="5"/>
  <c r="G41" i="5"/>
  <c r="I40" i="5"/>
  <c r="G40" i="5"/>
  <c r="G39" i="5"/>
  <c r="I39" i="5" s="1"/>
  <c r="G38" i="5"/>
  <c r="I38" i="5" s="1"/>
  <c r="G37" i="5"/>
  <c r="I37" i="5" s="1"/>
  <c r="G36" i="5"/>
  <c r="I36" i="5" s="1"/>
  <c r="G35" i="5"/>
  <c r="I35" i="5" s="1"/>
  <c r="G34" i="5"/>
  <c r="I34" i="5" s="1"/>
  <c r="G33" i="5"/>
  <c r="I33" i="5" s="1"/>
  <c r="G32" i="5"/>
  <c r="I32" i="5" s="1"/>
  <c r="G31" i="5"/>
  <c r="I31" i="5" s="1"/>
  <c r="G30" i="5"/>
  <c r="F24" i="5"/>
  <c r="E24" i="5"/>
  <c r="B24" i="5"/>
  <c r="G23" i="5"/>
  <c r="G22" i="5"/>
  <c r="G21" i="5"/>
  <c r="G20" i="5"/>
  <c r="G19" i="5"/>
  <c r="G18" i="5"/>
  <c r="G17" i="5"/>
  <c r="G16" i="5"/>
  <c r="H15" i="5"/>
  <c r="B42" i="5" s="1"/>
  <c r="H42" i="5" s="1"/>
  <c r="B69" i="5" s="1"/>
  <c r="H69" i="5" s="1"/>
  <c r="B96" i="5" s="1"/>
  <c r="H96" i="5" s="1"/>
  <c r="B123" i="5" s="1"/>
  <c r="H123" i="5" s="1"/>
  <c r="B150" i="5" s="1"/>
  <c r="H150" i="5" s="1"/>
  <c r="B177" i="5" s="1"/>
  <c r="H177" i="5" s="1"/>
  <c r="B204" i="5" s="1"/>
  <c r="H204" i="5" s="1"/>
  <c r="B231" i="5" s="1"/>
  <c r="H231" i="5" s="1"/>
  <c r="B258" i="5" s="1"/>
  <c r="H258" i="5" s="1"/>
  <c r="B285" i="5" s="1"/>
  <c r="H285" i="5" s="1"/>
  <c r="B312" i="5" s="1"/>
  <c r="H312" i="5" s="1"/>
  <c r="B339" i="5" s="1"/>
  <c r="H339" i="5" s="1"/>
  <c r="B366" i="5" s="1"/>
  <c r="H366" i="5" s="1"/>
  <c r="B393" i="5" s="1"/>
  <c r="H393" i="5" s="1"/>
  <c r="B420" i="5" s="1"/>
  <c r="H420" i="5" s="1"/>
  <c r="B447" i="5" s="1"/>
  <c r="H447" i="5" s="1"/>
  <c r="B474" i="5" s="1"/>
  <c r="H474" i="5" s="1"/>
  <c r="G15" i="5"/>
  <c r="I15" i="5" s="1"/>
  <c r="I14" i="5"/>
  <c r="G14" i="5"/>
  <c r="G13" i="5"/>
  <c r="H13" i="5" s="1"/>
  <c r="B40" i="5" s="1"/>
  <c r="H40" i="5" s="1"/>
  <c r="B67" i="5" s="1"/>
  <c r="H67" i="5" s="1"/>
  <c r="B94" i="5" s="1"/>
  <c r="H94" i="5" s="1"/>
  <c r="B121" i="5" s="1"/>
  <c r="H121" i="5" s="1"/>
  <c r="B148" i="5" s="1"/>
  <c r="H148" i="5" s="1"/>
  <c r="B175" i="5" s="1"/>
  <c r="H175" i="5" s="1"/>
  <c r="B202" i="5" s="1"/>
  <c r="H202" i="5" s="1"/>
  <c r="B229" i="5" s="1"/>
  <c r="H229" i="5" s="1"/>
  <c r="B256" i="5" s="1"/>
  <c r="H256" i="5" s="1"/>
  <c r="B283" i="5" s="1"/>
  <c r="H283" i="5" s="1"/>
  <c r="B310" i="5" s="1"/>
  <c r="H310" i="5" s="1"/>
  <c r="B337" i="5" s="1"/>
  <c r="H337" i="5" s="1"/>
  <c r="B364" i="5" s="1"/>
  <c r="H364" i="5" s="1"/>
  <c r="B391" i="5" s="1"/>
  <c r="H391" i="5" s="1"/>
  <c r="B418" i="5" s="1"/>
  <c r="H418" i="5" s="1"/>
  <c r="B445" i="5" s="1"/>
  <c r="H445" i="5" s="1"/>
  <c r="B472" i="5" s="1"/>
  <c r="H472" i="5" s="1"/>
  <c r="G12" i="5"/>
  <c r="G11" i="5"/>
  <c r="G10" i="5"/>
  <c r="H9" i="5"/>
  <c r="B36" i="5" s="1"/>
  <c r="H36" i="5" s="1"/>
  <c r="B63" i="5" s="1"/>
  <c r="H63" i="5" s="1"/>
  <c r="B90" i="5" s="1"/>
  <c r="H90" i="5" s="1"/>
  <c r="B117" i="5" s="1"/>
  <c r="H117" i="5" s="1"/>
  <c r="B144" i="5" s="1"/>
  <c r="G9" i="5"/>
  <c r="I9" i="5" s="1"/>
  <c r="G8" i="5"/>
  <c r="G7" i="5"/>
  <c r="G6" i="5"/>
  <c r="G5" i="5"/>
  <c r="G4" i="5"/>
  <c r="H3" i="5"/>
  <c r="G3" i="5"/>
  <c r="G526" i="4"/>
  <c r="F526" i="4"/>
  <c r="E526" i="4"/>
  <c r="I525" i="4"/>
  <c r="G525" i="4"/>
  <c r="G524" i="4"/>
  <c r="G523" i="4"/>
  <c r="I523" i="4" s="1"/>
  <c r="G522" i="4"/>
  <c r="I522" i="4" s="1"/>
  <c r="G521" i="4"/>
  <c r="I521" i="4" s="1"/>
  <c r="G520" i="4"/>
  <c r="I520" i="4" s="1"/>
  <c r="G519" i="4"/>
  <c r="I519" i="4" s="1"/>
  <c r="G518" i="4"/>
  <c r="I518" i="4" s="1"/>
  <c r="G517" i="4"/>
  <c r="I517" i="4" s="1"/>
  <c r="G516" i="4"/>
  <c r="I516" i="4" s="1"/>
  <c r="G515" i="4"/>
  <c r="I515" i="4" s="1"/>
  <c r="G514" i="4"/>
  <c r="I514" i="4" s="1"/>
  <c r="G513" i="4"/>
  <c r="I513" i="4" s="1"/>
  <c r="G512" i="4"/>
  <c r="I512" i="4" s="1"/>
  <c r="G511" i="4"/>
  <c r="I511" i="4" s="1"/>
  <c r="G510" i="4"/>
  <c r="I510" i="4" s="1"/>
  <c r="G509" i="4"/>
  <c r="I509" i="4" s="1"/>
  <c r="G508" i="4"/>
  <c r="I508" i="4" s="1"/>
  <c r="G507" i="4"/>
  <c r="I507" i="4" s="1"/>
  <c r="G506" i="4"/>
  <c r="I506" i="4" s="1"/>
  <c r="G505" i="4"/>
  <c r="I505" i="4" s="1"/>
  <c r="G504" i="4"/>
  <c r="I504" i="4" s="1"/>
  <c r="F498" i="4"/>
  <c r="E498" i="4"/>
  <c r="G497" i="4"/>
  <c r="I497" i="4" s="1"/>
  <c r="G496" i="4"/>
  <c r="G495" i="4"/>
  <c r="I495" i="4" s="1"/>
  <c r="G494" i="4"/>
  <c r="I494" i="4" s="1"/>
  <c r="G493" i="4"/>
  <c r="I493" i="4" s="1"/>
  <c r="G492" i="4"/>
  <c r="I492" i="4" s="1"/>
  <c r="G491" i="4"/>
  <c r="I491" i="4" s="1"/>
  <c r="G490" i="4"/>
  <c r="I490" i="4" s="1"/>
  <c r="G489" i="4"/>
  <c r="I489" i="4" s="1"/>
  <c r="G488" i="4"/>
  <c r="I488" i="4" s="1"/>
  <c r="G487" i="4"/>
  <c r="I487" i="4" s="1"/>
  <c r="G486" i="4"/>
  <c r="I486" i="4" s="1"/>
  <c r="G485" i="4"/>
  <c r="I485" i="4" s="1"/>
  <c r="G484" i="4"/>
  <c r="I484" i="4" s="1"/>
  <c r="G483" i="4"/>
  <c r="I483" i="4" s="1"/>
  <c r="G482" i="4"/>
  <c r="I482" i="4" s="1"/>
  <c r="G481" i="4"/>
  <c r="I481" i="4" s="1"/>
  <c r="G480" i="4"/>
  <c r="I480" i="4" s="1"/>
  <c r="G479" i="4"/>
  <c r="I479" i="4" s="1"/>
  <c r="G478" i="4"/>
  <c r="I478" i="4" s="1"/>
  <c r="G477" i="4"/>
  <c r="I477" i="4" s="1"/>
  <c r="G476" i="4"/>
  <c r="F470" i="4"/>
  <c r="E470" i="4"/>
  <c r="G469" i="4"/>
  <c r="I469" i="4" s="1"/>
  <c r="G468" i="4"/>
  <c r="G467" i="4"/>
  <c r="I467" i="4" s="1"/>
  <c r="G466" i="4"/>
  <c r="I466" i="4" s="1"/>
  <c r="G465" i="4"/>
  <c r="I465" i="4" s="1"/>
  <c r="G464" i="4"/>
  <c r="I464" i="4" s="1"/>
  <c r="G463" i="4"/>
  <c r="I463" i="4" s="1"/>
  <c r="G462" i="4"/>
  <c r="I462" i="4" s="1"/>
  <c r="G461" i="4"/>
  <c r="I461" i="4" s="1"/>
  <c r="G460" i="4"/>
  <c r="I460" i="4" s="1"/>
  <c r="G459" i="4"/>
  <c r="I459" i="4" s="1"/>
  <c r="G458" i="4"/>
  <c r="I458" i="4" s="1"/>
  <c r="G457" i="4"/>
  <c r="I457" i="4" s="1"/>
  <c r="G456" i="4"/>
  <c r="I456" i="4" s="1"/>
  <c r="G455" i="4"/>
  <c r="I455" i="4" s="1"/>
  <c r="G454" i="4"/>
  <c r="I454" i="4" s="1"/>
  <c r="G453" i="4"/>
  <c r="I453" i="4" s="1"/>
  <c r="G452" i="4"/>
  <c r="I452" i="4" s="1"/>
  <c r="G451" i="4"/>
  <c r="I451" i="4" s="1"/>
  <c r="G450" i="4"/>
  <c r="I450" i="4" s="1"/>
  <c r="G449" i="4"/>
  <c r="I449" i="4" s="1"/>
  <c r="G448" i="4"/>
  <c r="F442" i="4"/>
  <c r="E442" i="4"/>
  <c r="G441" i="4"/>
  <c r="I441" i="4" s="1"/>
  <c r="G440" i="4"/>
  <c r="G439" i="4"/>
  <c r="I439" i="4" s="1"/>
  <c r="G438" i="4"/>
  <c r="I438" i="4" s="1"/>
  <c r="G437" i="4"/>
  <c r="I437" i="4" s="1"/>
  <c r="G436" i="4"/>
  <c r="I436" i="4" s="1"/>
  <c r="G435" i="4"/>
  <c r="I435" i="4" s="1"/>
  <c r="G434" i="4"/>
  <c r="I434" i="4" s="1"/>
  <c r="G433" i="4"/>
  <c r="I433" i="4" s="1"/>
  <c r="G432" i="4"/>
  <c r="I432" i="4" s="1"/>
  <c r="G431" i="4"/>
  <c r="I431" i="4" s="1"/>
  <c r="G430" i="4"/>
  <c r="I430" i="4" s="1"/>
  <c r="G429" i="4"/>
  <c r="I429" i="4" s="1"/>
  <c r="G428" i="4"/>
  <c r="I428" i="4" s="1"/>
  <c r="G427" i="4"/>
  <c r="I427" i="4" s="1"/>
  <c r="G426" i="4"/>
  <c r="I426" i="4" s="1"/>
  <c r="G425" i="4"/>
  <c r="I425" i="4" s="1"/>
  <c r="G424" i="4"/>
  <c r="I424" i="4" s="1"/>
  <c r="G423" i="4"/>
  <c r="I423" i="4" s="1"/>
  <c r="G422" i="4"/>
  <c r="I422" i="4" s="1"/>
  <c r="G421" i="4"/>
  <c r="I421" i="4" s="1"/>
  <c r="G420" i="4"/>
  <c r="F414" i="4"/>
  <c r="E414" i="4"/>
  <c r="G413" i="4"/>
  <c r="I413" i="4" s="1"/>
  <c r="G412" i="4"/>
  <c r="G411" i="4"/>
  <c r="I411" i="4" s="1"/>
  <c r="G410" i="4"/>
  <c r="I410" i="4" s="1"/>
  <c r="G409" i="4"/>
  <c r="I409" i="4" s="1"/>
  <c r="G408" i="4"/>
  <c r="I408" i="4" s="1"/>
  <c r="G407" i="4"/>
  <c r="I407" i="4" s="1"/>
  <c r="G406" i="4"/>
  <c r="I406" i="4" s="1"/>
  <c r="G405" i="4"/>
  <c r="I405" i="4" s="1"/>
  <c r="G404" i="4"/>
  <c r="I404" i="4" s="1"/>
  <c r="G403" i="4"/>
  <c r="I403" i="4" s="1"/>
  <c r="G402" i="4"/>
  <c r="I402" i="4" s="1"/>
  <c r="G401" i="4"/>
  <c r="I401" i="4" s="1"/>
  <c r="G400" i="4"/>
  <c r="I400" i="4" s="1"/>
  <c r="G399" i="4"/>
  <c r="I399" i="4" s="1"/>
  <c r="G398" i="4"/>
  <c r="I398" i="4" s="1"/>
  <c r="G397" i="4"/>
  <c r="I397" i="4" s="1"/>
  <c r="G396" i="4"/>
  <c r="G395" i="4"/>
  <c r="I395" i="4" s="1"/>
  <c r="G394" i="4"/>
  <c r="I394" i="4" s="1"/>
  <c r="G393" i="4"/>
  <c r="I393" i="4" s="1"/>
  <c r="G392" i="4"/>
  <c r="I392" i="4" s="1"/>
  <c r="F386" i="4"/>
  <c r="E386" i="4"/>
  <c r="G385" i="4"/>
  <c r="I385" i="4" s="1"/>
  <c r="G384" i="4"/>
  <c r="G383" i="4"/>
  <c r="I383" i="4" s="1"/>
  <c r="G382" i="4"/>
  <c r="I382" i="4" s="1"/>
  <c r="G381" i="4"/>
  <c r="I381" i="4" s="1"/>
  <c r="G380" i="4"/>
  <c r="I380" i="4" s="1"/>
  <c r="G379" i="4"/>
  <c r="I379" i="4" s="1"/>
  <c r="G378" i="4"/>
  <c r="I378" i="4" s="1"/>
  <c r="G377" i="4"/>
  <c r="I377" i="4" s="1"/>
  <c r="G376" i="4"/>
  <c r="I376" i="4" s="1"/>
  <c r="G375" i="4"/>
  <c r="I375" i="4" s="1"/>
  <c r="G374" i="4"/>
  <c r="I374" i="4" s="1"/>
  <c r="G373" i="4"/>
  <c r="I373" i="4" s="1"/>
  <c r="G372" i="4"/>
  <c r="I372" i="4" s="1"/>
  <c r="G371" i="4"/>
  <c r="I371" i="4" s="1"/>
  <c r="G370" i="4"/>
  <c r="I370" i="4" s="1"/>
  <c r="G369" i="4"/>
  <c r="I369" i="4" s="1"/>
  <c r="G368" i="4"/>
  <c r="I368" i="4" s="1"/>
  <c r="G367" i="4"/>
  <c r="I367" i="4" s="1"/>
  <c r="G366" i="4"/>
  <c r="I366" i="4" s="1"/>
  <c r="G365" i="4"/>
  <c r="I365" i="4" s="1"/>
  <c r="G364" i="4"/>
  <c r="F358" i="4"/>
  <c r="E358" i="4"/>
  <c r="G357" i="4"/>
  <c r="I357" i="4" s="1"/>
  <c r="G356" i="4"/>
  <c r="G355" i="4"/>
  <c r="I355" i="4" s="1"/>
  <c r="G354" i="4"/>
  <c r="I354" i="4" s="1"/>
  <c r="G353" i="4"/>
  <c r="I353" i="4" s="1"/>
  <c r="G352" i="4"/>
  <c r="I352" i="4" s="1"/>
  <c r="G351" i="4"/>
  <c r="I351" i="4" s="1"/>
  <c r="G350" i="4"/>
  <c r="I350" i="4" s="1"/>
  <c r="G349" i="4"/>
  <c r="I349" i="4" s="1"/>
  <c r="G348" i="4"/>
  <c r="I348" i="4" s="1"/>
  <c r="G347" i="4"/>
  <c r="I347" i="4" s="1"/>
  <c r="G346" i="4"/>
  <c r="I346" i="4" s="1"/>
  <c r="G345" i="4"/>
  <c r="I345" i="4" s="1"/>
  <c r="G344" i="4"/>
  <c r="I344" i="4" s="1"/>
  <c r="G343" i="4"/>
  <c r="I343" i="4" s="1"/>
  <c r="G342" i="4"/>
  <c r="I342" i="4" s="1"/>
  <c r="G341" i="4"/>
  <c r="I341" i="4" s="1"/>
  <c r="G340" i="4"/>
  <c r="I340" i="4" s="1"/>
  <c r="G339" i="4"/>
  <c r="I339" i="4" s="1"/>
  <c r="G338" i="4"/>
  <c r="I338" i="4" s="1"/>
  <c r="G337" i="4"/>
  <c r="I337" i="4" s="1"/>
  <c r="G336" i="4"/>
  <c r="F330" i="4"/>
  <c r="E330" i="4"/>
  <c r="G329" i="4"/>
  <c r="I329" i="4" s="1"/>
  <c r="G328" i="4"/>
  <c r="G327" i="4"/>
  <c r="I327" i="4" s="1"/>
  <c r="G326" i="4"/>
  <c r="I326" i="4" s="1"/>
  <c r="G325" i="4"/>
  <c r="I325" i="4" s="1"/>
  <c r="G324" i="4"/>
  <c r="I324" i="4" s="1"/>
  <c r="G323" i="4"/>
  <c r="I323" i="4" s="1"/>
  <c r="G322" i="4"/>
  <c r="I322" i="4" s="1"/>
  <c r="G321" i="4"/>
  <c r="I321" i="4" s="1"/>
  <c r="G320" i="4"/>
  <c r="I320" i="4" s="1"/>
  <c r="G319" i="4"/>
  <c r="I319" i="4" s="1"/>
  <c r="G318" i="4"/>
  <c r="I318" i="4" s="1"/>
  <c r="G317" i="4"/>
  <c r="I317" i="4" s="1"/>
  <c r="G316" i="4"/>
  <c r="I316" i="4" s="1"/>
  <c r="G315" i="4"/>
  <c r="I315" i="4" s="1"/>
  <c r="G314" i="4"/>
  <c r="I314" i="4" s="1"/>
  <c r="G313" i="4"/>
  <c r="I313" i="4" s="1"/>
  <c r="G312" i="4"/>
  <c r="I312" i="4" s="1"/>
  <c r="G311" i="4"/>
  <c r="I311" i="4" s="1"/>
  <c r="G310" i="4"/>
  <c r="I310" i="4" s="1"/>
  <c r="G309" i="4"/>
  <c r="I309" i="4" s="1"/>
  <c r="G308" i="4"/>
  <c r="F302" i="4"/>
  <c r="E302" i="4"/>
  <c r="G301" i="4"/>
  <c r="I301" i="4" s="1"/>
  <c r="G300" i="4"/>
  <c r="G299" i="4"/>
  <c r="I299" i="4" s="1"/>
  <c r="G298" i="4"/>
  <c r="I298" i="4" s="1"/>
  <c r="G297" i="4"/>
  <c r="I297" i="4" s="1"/>
  <c r="G296" i="4"/>
  <c r="I296" i="4" s="1"/>
  <c r="G295" i="4"/>
  <c r="I295" i="4" s="1"/>
  <c r="G294" i="4"/>
  <c r="I294" i="4" s="1"/>
  <c r="G293" i="4"/>
  <c r="I293" i="4" s="1"/>
  <c r="G292" i="4"/>
  <c r="I292" i="4" s="1"/>
  <c r="G291" i="4"/>
  <c r="I291" i="4" s="1"/>
  <c r="G290" i="4"/>
  <c r="I290" i="4" s="1"/>
  <c r="G289" i="4"/>
  <c r="I289" i="4" s="1"/>
  <c r="G288" i="4"/>
  <c r="I288" i="4" s="1"/>
  <c r="G287" i="4"/>
  <c r="I287" i="4" s="1"/>
  <c r="I286" i="4"/>
  <c r="G285" i="4"/>
  <c r="I285" i="4" s="1"/>
  <c r="G284" i="4"/>
  <c r="I284" i="4" s="1"/>
  <c r="G283" i="4"/>
  <c r="I283" i="4" s="1"/>
  <c r="G282" i="4"/>
  <c r="I282" i="4" s="1"/>
  <c r="G281" i="4"/>
  <c r="I281" i="4" s="1"/>
  <c r="G280" i="4"/>
  <c r="F274" i="4"/>
  <c r="E274" i="4"/>
  <c r="G273" i="4"/>
  <c r="I273" i="4" s="1"/>
  <c r="G272" i="4"/>
  <c r="G271" i="4"/>
  <c r="I271" i="4" s="1"/>
  <c r="G270" i="4"/>
  <c r="I270" i="4" s="1"/>
  <c r="G269" i="4"/>
  <c r="I269" i="4" s="1"/>
  <c r="G268" i="4"/>
  <c r="I268" i="4" s="1"/>
  <c r="G267" i="4"/>
  <c r="I267" i="4" s="1"/>
  <c r="G266" i="4"/>
  <c r="I266" i="4" s="1"/>
  <c r="G265" i="4"/>
  <c r="I265" i="4" s="1"/>
  <c r="G264" i="4"/>
  <c r="I264" i="4" s="1"/>
  <c r="G263" i="4"/>
  <c r="I263" i="4" s="1"/>
  <c r="G262" i="4"/>
  <c r="G261" i="4"/>
  <c r="I261" i="4" s="1"/>
  <c r="G260" i="4"/>
  <c r="I260" i="4" s="1"/>
  <c r="G259" i="4"/>
  <c r="I259" i="4" s="1"/>
  <c r="G258" i="4"/>
  <c r="I258" i="4" s="1"/>
  <c r="G257" i="4"/>
  <c r="I257" i="4" s="1"/>
  <c r="G256" i="4"/>
  <c r="I256" i="4" s="1"/>
  <c r="G255" i="4"/>
  <c r="I255" i="4" s="1"/>
  <c r="G254" i="4"/>
  <c r="I254" i="4" s="1"/>
  <c r="G253" i="4"/>
  <c r="I253" i="4" s="1"/>
  <c r="G252" i="4"/>
  <c r="I252" i="4" s="1"/>
  <c r="F246" i="4"/>
  <c r="E246" i="4"/>
  <c r="G245" i="4"/>
  <c r="I245" i="4" s="1"/>
  <c r="G244" i="4"/>
  <c r="G243" i="4"/>
  <c r="I243" i="4" s="1"/>
  <c r="G242" i="4"/>
  <c r="I242" i="4" s="1"/>
  <c r="G241" i="4"/>
  <c r="I241" i="4" s="1"/>
  <c r="G240" i="4"/>
  <c r="I240" i="4" s="1"/>
  <c r="G239" i="4"/>
  <c r="I239" i="4" s="1"/>
  <c r="G238" i="4"/>
  <c r="I238" i="4" s="1"/>
  <c r="G237" i="4"/>
  <c r="I237" i="4" s="1"/>
  <c r="G236" i="4"/>
  <c r="I236" i="4" s="1"/>
  <c r="G235" i="4"/>
  <c r="I235" i="4" s="1"/>
  <c r="G234" i="4"/>
  <c r="I234" i="4" s="1"/>
  <c r="G233" i="4"/>
  <c r="I233" i="4" s="1"/>
  <c r="G232" i="4"/>
  <c r="I232" i="4" s="1"/>
  <c r="G231" i="4"/>
  <c r="I231" i="4" s="1"/>
  <c r="G230" i="4"/>
  <c r="I230" i="4" s="1"/>
  <c r="G229" i="4"/>
  <c r="I229" i="4" s="1"/>
  <c r="G228" i="4"/>
  <c r="I228" i="4" s="1"/>
  <c r="G227" i="4"/>
  <c r="I227" i="4" s="1"/>
  <c r="G226" i="4"/>
  <c r="I226" i="4" s="1"/>
  <c r="G225" i="4"/>
  <c r="I225" i="4" s="1"/>
  <c r="G224" i="4"/>
  <c r="F218" i="4"/>
  <c r="E218" i="4"/>
  <c r="G217" i="4"/>
  <c r="I217" i="4" s="1"/>
  <c r="G216" i="4"/>
  <c r="G215" i="4"/>
  <c r="I215" i="4" s="1"/>
  <c r="G214" i="4"/>
  <c r="I214" i="4" s="1"/>
  <c r="G213" i="4"/>
  <c r="I213" i="4" s="1"/>
  <c r="G212" i="4"/>
  <c r="I212" i="4" s="1"/>
  <c r="G211" i="4"/>
  <c r="I211" i="4" s="1"/>
  <c r="G210" i="4"/>
  <c r="I210" i="4" s="1"/>
  <c r="G209" i="4"/>
  <c r="I209" i="4" s="1"/>
  <c r="G208" i="4"/>
  <c r="I208" i="4" s="1"/>
  <c r="G207" i="4"/>
  <c r="I207" i="4" s="1"/>
  <c r="G206" i="4"/>
  <c r="I206" i="4" s="1"/>
  <c r="G205" i="4"/>
  <c r="I205" i="4" s="1"/>
  <c r="G204" i="4"/>
  <c r="I204" i="4" s="1"/>
  <c r="G203" i="4"/>
  <c r="I203" i="4" s="1"/>
  <c r="G202" i="4"/>
  <c r="I202" i="4" s="1"/>
  <c r="G201" i="4"/>
  <c r="I201" i="4" s="1"/>
  <c r="G200" i="4"/>
  <c r="I200" i="4" s="1"/>
  <c r="G199" i="4"/>
  <c r="I199" i="4" s="1"/>
  <c r="G198" i="4"/>
  <c r="I198" i="4" s="1"/>
  <c r="G197" i="4"/>
  <c r="I197" i="4" s="1"/>
  <c r="G196" i="4"/>
  <c r="F190" i="4"/>
  <c r="E190" i="4"/>
  <c r="G189" i="4"/>
  <c r="I189" i="4" s="1"/>
  <c r="G188" i="4"/>
  <c r="G187" i="4"/>
  <c r="I187" i="4" s="1"/>
  <c r="G186" i="4"/>
  <c r="I186" i="4" s="1"/>
  <c r="G185" i="4"/>
  <c r="I185" i="4" s="1"/>
  <c r="G184" i="4"/>
  <c r="I184" i="4" s="1"/>
  <c r="G183" i="4"/>
  <c r="I183" i="4" s="1"/>
  <c r="G182" i="4"/>
  <c r="I182" i="4" s="1"/>
  <c r="G181" i="4"/>
  <c r="I181" i="4" s="1"/>
  <c r="G180" i="4"/>
  <c r="I180" i="4" s="1"/>
  <c r="G179" i="4"/>
  <c r="I179" i="4" s="1"/>
  <c r="G178" i="4"/>
  <c r="I178" i="4" s="1"/>
  <c r="G177" i="4"/>
  <c r="I177" i="4" s="1"/>
  <c r="G176" i="4"/>
  <c r="I176" i="4" s="1"/>
  <c r="G175" i="4"/>
  <c r="I175" i="4" s="1"/>
  <c r="G174" i="4"/>
  <c r="I174" i="4" s="1"/>
  <c r="G173" i="4"/>
  <c r="I173" i="4" s="1"/>
  <c r="G172" i="4"/>
  <c r="I172" i="4" s="1"/>
  <c r="G171" i="4"/>
  <c r="I171" i="4" s="1"/>
  <c r="G170" i="4"/>
  <c r="I170" i="4" s="1"/>
  <c r="G169" i="4"/>
  <c r="I169" i="4" s="1"/>
  <c r="G168" i="4"/>
  <c r="F162" i="4"/>
  <c r="E162" i="4"/>
  <c r="G161" i="4"/>
  <c r="I161" i="4" s="1"/>
  <c r="G160" i="4"/>
  <c r="G159" i="4"/>
  <c r="I159" i="4" s="1"/>
  <c r="G158" i="4"/>
  <c r="I158" i="4" s="1"/>
  <c r="G157" i="4"/>
  <c r="I157" i="4" s="1"/>
  <c r="G156" i="4"/>
  <c r="I156" i="4" s="1"/>
  <c r="G155" i="4"/>
  <c r="I155" i="4" s="1"/>
  <c r="G154" i="4"/>
  <c r="I154" i="4" s="1"/>
  <c r="G153" i="4"/>
  <c r="I153" i="4" s="1"/>
  <c r="G152" i="4"/>
  <c r="I152" i="4" s="1"/>
  <c r="G151" i="4"/>
  <c r="I151" i="4" s="1"/>
  <c r="G150" i="4"/>
  <c r="I150" i="4" s="1"/>
  <c r="G149" i="4"/>
  <c r="I149" i="4" s="1"/>
  <c r="G148" i="4"/>
  <c r="I148" i="4" s="1"/>
  <c r="G147" i="4"/>
  <c r="I147" i="4" s="1"/>
  <c r="G146" i="4"/>
  <c r="I146" i="4" s="1"/>
  <c r="G145" i="4"/>
  <c r="I145" i="4" s="1"/>
  <c r="G144" i="4"/>
  <c r="I144" i="4" s="1"/>
  <c r="G143" i="4"/>
  <c r="I143" i="4" s="1"/>
  <c r="G142" i="4"/>
  <c r="I142" i="4" s="1"/>
  <c r="G141" i="4"/>
  <c r="I141" i="4" s="1"/>
  <c r="G140" i="4"/>
  <c r="F134" i="4"/>
  <c r="E134" i="4"/>
  <c r="G133" i="4"/>
  <c r="I133" i="4" s="1"/>
  <c r="G132" i="4"/>
  <c r="G131" i="4"/>
  <c r="I131" i="4" s="1"/>
  <c r="G130" i="4"/>
  <c r="I130" i="4" s="1"/>
  <c r="G129" i="4"/>
  <c r="I128" i="4"/>
  <c r="G128" i="4"/>
  <c r="G127" i="4"/>
  <c r="I127" i="4" s="1"/>
  <c r="G126" i="4"/>
  <c r="I126" i="4" s="1"/>
  <c r="G125" i="4"/>
  <c r="I125" i="4" s="1"/>
  <c r="G124" i="4"/>
  <c r="I124" i="4" s="1"/>
  <c r="G123" i="4"/>
  <c r="I123" i="4" s="1"/>
  <c r="G122" i="4"/>
  <c r="I122" i="4" s="1"/>
  <c r="G121" i="4"/>
  <c r="I121" i="4" s="1"/>
  <c r="G120" i="4"/>
  <c r="I120" i="4" s="1"/>
  <c r="G119" i="4"/>
  <c r="I119" i="4" s="1"/>
  <c r="G118" i="4"/>
  <c r="I118" i="4" s="1"/>
  <c r="G117" i="4"/>
  <c r="I117" i="4" s="1"/>
  <c r="G116" i="4"/>
  <c r="I116" i="4" s="1"/>
  <c r="G115" i="4"/>
  <c r="I115" i="4" s="1"/>
  <c r="G114" i="4"/>
  <c r="I114" i="4" s="1"/>
  <c r="G113" i="4"/>
  <c r="I113" i="4" s="1"/>
  <c r="G112" i="4"/>
  <c r="I112" i="4" s="1"/>
  <c r="F106" i="4"/>
  <c r="E106" i="4"/>
  <c r="G105" i="4"/>
  <c r="I105" i="4" s="1"/>
  <c r="G104" i="4"/>
  <c r="G103" i="4"/>
  <c r="I103" i="4" s="1"/>
  <c r="G102" i="4"/>
  <c r="I102" i="4" s="1"/>
  <c r="G101" i="4"/>
  <c r="I101" i="4" s="1"/>
  <c r="G100" i="4"/>
  <c r="I100" i="4" s="1"/>
  <c r="G99" i="4"/>
  <c r="I99" i="4" s="1"/>
  <c r="G98" i="4"/>
  <c r="I98" i="4" s="1"/>
  <c r="G97" i="4"/>
  <c r="I97" i="4" s="1"/>
  <c r="G96" i="4"/>
  <c r="I96" i="4" s="1"/>
  <c r="G95" i="4"/>
  <c r="I95" i="4" s="1"/>
  <c r="G94" i="4"/>
  <c r="I94" i="4" s="1"/>
  <c r="G93" i="4"/>
  <c r="I93" i="4" s="1"/>
  <c r="G92" i="4"/>
  <c r="I92" i="4" s="1"/>
  <c r="G91" i="4"/>
  <c r="I91" i="4" s="1"/>
  <c r="G90" i="4"/>
  <c r="I90" i="4" s="1"/>
  <c r="G89" i="4"/>
  <c r="I89" i="4" s="1"/>
  <c r="G88" i="4"/>
  <c r="I88" i="4" s="1"/>
  <c r="G87" i="4"/>
  <c r="I87" i="4" s="1"/>
  <c r="G86" i="4"/>
  <c r="I86" i="4" s="1"/>
  <c r="G85" i="4"/>
  <c r="I85" i="4" s="1"/>
  <c r="G84" i="4"/>
  <c r="F78" i="4"/>
  <c r="E78" i="4"/>
  <c r="G77" i="4"/>
  <c r="I77" i="4" s="1"/>
  <c r="G76" i="4"/>
  <c r="I76" i="4" s="1"/>
  <c r="G75" i="4"/>
  <c r="I75" i="4" s="1"/>
  <c r="G74" i="4"/>
  <c r="I74" i="4" s="1"/>
  <c r="G73" i="4"/>
  <c r="I73" i="4" s="1"/>
  <c r="G72" i="4"/>
  <c r="I72" i="4" s="1"/>
  <c r="G71" i="4"/>
  <c r="I71" i="4" s="1"/>
  <c r="G70" i="4"/>
  <c r="I70" i="4" s="1"/>
  <c r="G69" i="4"/>
  <c r="I69" i="4" s="1"/>
  <c r="G68" i="4"/>
  <c r="I68" i="4" s="1"/>
  <c r="G67" i="4"/>
  <c r="I67" i="4" s="1"/>
  <c r="G66" i="4"/>
  <c r="I66" i="4" s="1"/>
  <c r="G65" i="4"/>
  <c r="I65" i="4" s="1"/>
  <c r="G64" i="4"/>
  <c r="I64" i="4" s="1"/>
  <c r="G63" i="4"/>
  <c r="I63" i="4" s="1"/>
  <c r="G62" i="4"/>
  <c r="I62" i="4" s="1"/>
  <c r="G61" i="4"/>
  <c r="I61" i="4" s="1"/>
  <c r="G60" i="4"/>
  <c r="I60" i="4" s="1"/>
  <c r="G59" i="4"/>
  <c r="I59" i="4" s="1"/>
  <c r="G58" i="4"/>
  <c r="I58" i="4" s="1"/>
  <c r="G57" i="4"/>
  <c r="F51" i="4"/>
  <c r="E51" i="4"/>
  <c r="G50" i="4"/>
  <c r="I50" i="4" s="1"/>
  <c r="G49" i="4"/>
  <c r="I49" i="4" s="1"/>
  <c r="G48" i="4"/>
  <c r="I48" i="4" s="1"/>
  <c r="G47" i="4"/>
  <c r="I47" i="4" s="1"/>
  <c r="G46" i="4"/>
  <c r="I46" i="4" s="1"/>
  <c r="G45" i="4"/>
  <c r="I45" i="4" s="1"/>
  <c r="G44" i="4"/>
  <c r="I44" i="4" s="1"/>
  <c r="G43" i="4"/>
  <c r="I43" i="4" s="1"/>
  <c r="G42" i="4"/>
  <c r="I42" i="4" s="1"/>
  <c r="G41" i="4"/>
  <c r="I41" i="4" s="1"/>
  <c r="G40" i="4"/>
  <c r="I40" i="4" s="1"/>
  <c r="G39" i="4"/>
  <c r="I39" i="4" s="1"/>
  <c r="G38" i="4"/>
  <c r="I38" i="4" s="1"/>
  <c r="G37" i="4"/>
  <c r="I37" i="4" s="1"/>
  <c r="G36" i="4"/>
  <c r="I36" i="4" s="1"/>
  <c r="G35" i="4"/>
  <c r="I35" i="4" s="1"/>
  <c r="G34" i="4"/>
  <c r="I34" i="4" s="1"/>
  <c r="G33" i="4"/>
  <c r="I33" i="4" s="1"/>
  <c r="G32" i="4"/>
  <c r="I32" i="4" s="1"/>
  <c r="G31" i="4"/>
  <c r="I31" i="4" s="1"/>
  <c r="G30" i="4"/>
  <c r="F24" i="4"/>
  <c r="E24" i="4"/>
  <c r="B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599" i="3"/>
  <c r="E599" i="3"/>
  <c r="G598" i="3"/>
  <c r="I598" i="3" s="1"/>
  <c r="G597" i="3"/>
  <c r="I597" i="3" s="1"/>
  <c r="G596" i="3"/>
  <c r="I596" i="3" s="1"/>
  <c r="G595" i="3"/>
  <c r="I595" i="3" s="1"/>
  <c r="G594" i="3"/>
  <c r="G593" i="3"/>
  <c r="I593" i="3" s="1"/>
  <c r="G592" i="3"/>
  <c r="I592" i="3" s="1"/>
  <c r="G591" i="3"/>
  <c r="I591" i="3" s="1"/>
  <c r="G590" i="3"/>
  <c r="I590" i="3" s="1"/>
  <c r="G589" i="3"/>
  <c r="I589" i="3" s="1"/>
  <c r="G588" i="3"/>
  <c r="I588" i="3" s="1"/>
  <c r="G587" i="3"/>
  <c r="I587" i="3" s="1"/>
  <c r="G586" i="3"/>
  <c r="I586" i="3" s="1"/>
  <c r="G585" i="3"/>
  <c r="I585" i="3" s="1"/>
  <c r="G584" i="3"/>
  <c r="I584" i="3" s="1"/>
  <c r="G583" i="3"/>
  <c r="I583" i="3" s="1"/>
  <c r="G582" i="3"/>
  <c r="I582" i="3" s="1"/>
  <c r="G581" i="3"/>
  <c r="I581" i="3" s="1"/>
  <c r="G580" i="3"/>
  <c r="I580" i="3" s="1"/>
  <c r="G579" i="3"/>
  <c r="I579" i="3" s="1"/>
  <c r="G578" i="3"/>
  <c r="I578" i="3" s="1"/>
  <c r="G577" i="3"/>
  <c r="I577" i="3" s="1"/>
  <c r="G576" i="3"/>
  <c r="I576" i="3" s="1"/>
  <c r="F571" i="3"/>
  <c r="E571" i="3"/>
  <c r="G570" i="3"/>
  <c r="I570" i="3" s="1"/>
  <c r="G569" i="3"/>
  <c r="I569" i="3" s="1"/>
  <c r="G568" i="3"/>
  <c r="I568" i="3" s="1"/>
  <c r="G567" i="3"/>
  <c r="I567" i="3" s="1"/>
  <c r="G566" i="3"/>
  <c r="I566" i="3" s="1"/>
  <c r="G565" i="3"/>
  <c r="I565" i="3" s="1"/>
  <c r="G564" i="3"/>
  <c r="I564" i="3" s="1"/>
  <c r="G563" i="3"/>
  <c r="I563" i="3" s="1"/>
  <c r="G562" i="3"/>
  <c r="I562" i="3" s="1"/>
  <c r="G561" i="3"/>
  <c r="I561" i="3" s="1"/>
  <c r="G560" i="3"/>
  <c r="I560" i="3" s="1"/>
  <c r="G559" i="3"/>
  <c r="I559" i="3" s="1"/>
  <c r="G558" i="3"/>
  <c r="I558" i="3" s="1"/>
  <c r="G557" i="3"/>
  <c r="I557" i="3" s="1"/>
  <c r="G556" i="3"/>
  <c r="I556" i="3" s="1"/>
  <c r="G555" i="3"/>
  <c r="I555" i="3" s="1"/>
  <c r="G554" i="3"/>
  <c r="I554" i="3" s="1"/>
  <c r="G553" i="3"/>
  <c r="I553" i="3" s="1"/>
  <c r="G552" i="3"/>
  <c r="I552" i="3" s="1"/>
  <c r="G551" i="3"/>
  <c r="I551" i="3" s="1"/>
  <c r="G550" i="3"/>
  <c r="I550" i="3" s="1"/>
  <c r="G549" i="3"/>
  <c r="I549" i="3" s="1"/>
  <c r="G548" i="3"/>
  <c r="F543" i="3"/>
  <c r="E543" i="3"/>
  <c r="G542" i="3"/>
  <c r="I542" i="3" s="1"/>
  <c r="G541" i="3"/>
  <c r="I541" i="3" s="1"/>
  <c r="G540" i="3"/>
  <c r="I540" i="3" s="1"/>
  <c r="G539" i="3"/>
  <c r="I539" i="3" s="1"/>
  <c r="G538" i="3"/>
  <c r="I538" i="3" s="1"/>
  <c r="G537" i="3"/>
  <c r="I537" i="3" s="1"/>
  <c r="G536" i="3"/>
  <c r="I536" i="3" s="1"/>
  <c r="G535" i="3"/>
  <c r="I535" i="3" s="1"/>
  <c r="G534" i="3"/>
  <c r="I534" i="3" s="1"/>
  <c r="G533" i="3"/>
  <c r="I533" i="3" s="1"/>
  <c r="G532" i="3"/>
  <c r="I532" i="3" s="1"/>
  <c r="G531" i="3"/>
  <c r="I531" i="3" s="1"/>
  <c r="G530" i="3"/>
  <c r="I530" i="3" s="1"/>
  <c r="G529" i="3"/>
  <c r="I529" i="3" s="1"/>
  <c r="G528" i="3"/>
  <c r="I528" i="3" s="1"/>
  <c r="G527" i="3"/>
  <c r="I527" i="3" s="1"/>
  <c r="G526" i="3"/>
  <c r="I526" i="3" s="1"/>
  <c r="G525" i="3"/>
  <c r="I525" i="3" s="1"/>
  <c r="G524" i="3"/>
  <c r="I524" i="3" s="1"/>
  <c r="G523" i="3"/>
  <c r="I523" i="3" s="1"/>
  <c r="G522" i="3"/>
  <c r="I522" i="3" s="1"/>
  <c r="G521" i="3"/>
  <c r="I521" i="3" s="1"/>
  <c r="G520" i="3"/>
  <c r="F515" i="3"/>
  <c r="E515" i="3"/>
  <c r="G514" i="3"/>
  <c r="I514" i="3" s="1"/>
  <c r="G513" i="3"/>
  <c r="I513" i="3" s="1"/>
  <c r="G512" i="3"/>
  <c r="I512" i="3" s="1"/>
  <c r="G511" i="3"/>
  <c r="I511" i="3" s="1"/>
  <c r="G510" i="3"/>
  <c r="I510" i="3" s="1"/>
  <c r="G509" i="3"/>
  <c r="I509" i="3" s="1"/>
  <c r="G508" i="3"/>
  <c r="I508" i="3" s="1"/>
  <c r="G507" i="3"/>
  <c r="I507" i="3" s="1"/>
  <c r="G506" i="3"/>
  <c r="I506" i="3" s="1"/>
  <c r="G505" i="3"/>
  <c r="I505" i="3" s="1"/>
  <c r="G504" i="3"/>
  <c r="I504" i="3" s="1"/>
  <c r="G503" i="3"/>
  <c r="I503" i="3" s="1"/>
  <c r="G502" i="3"/>
  <c r="I502" i="3" s="1"/>
  <c r="G501" i="3"/>
  <c r="I501" i="3" s="1"/>
  <c r="G500" i="3"/>
  <c r="I500" i="3" s="1"/>
  <c r="G499" i="3"/>
  <c r="I499" i="3" s="1"/>
  <c r="G498" i="3"/>
  <c r="I498" i="3" s="1"/>
  <c r="G497" i="3"/>
  <c r="I497" i="3" s="1"/>
  <c r="G496" i="3"/>
  <c r="I496" i="3" s="1"/>
  <c r="G495" i="3"/>
  <c r="I495" i="3" s="1"/>
  <c r="G494" i="3"/>
  <c r="I494" i="3" s="1"/>
  <c r="G493" i="3"/>
  <c r="I493" i="3" s="1"/>
  <c r="G492" i="3"/>
  <c r="F487" i="3"/>
  <c r="E487" i="3"/>
  <c r="G486" i="3"/>
  <c r="I486" i="3" s="1"/>
  <c r="G485" i="3"/>
  <c r="I485" i="3" s="1"/>
  <c r="G484" i="3"/>
  <c r="I484" i="3" s="1"/>
  <c r="G483" i="3"/>
  <c r="I483" i="3" s="1"/>
  <c r="G482" i="3"/>
  <c r="I482" i="3" s="1"/>
  <c r="G481" i="3"/>
  <c r="I481" i="3" s="1"/>
  <c r="G480" i="3"/>
  <c r="I480" i="3" s="1"/>
  <c r="G479" i="3"/>
  <c r="I479" i="3" s="1"/>
  <c r="G478" i="3"/>
  <c r="I478" i="3" s="1"/>
  <c r="G477" i="3"/>
  <c r="I477" i="3" s="1"/>
  <c r="G476" i="3"/>
  <c r="I476" i="3" s="1"/>
  <c r="G475" i="3"/>
  <c r="I475" i="3" s="1"/>
  <c r="G474" i="3"/>
  <c r="I474" i="3" s="1"/>
  <c r="G473" i="3"/>
  <c r="I473" i="3" s="1"/>
  <c r="G472" i="3"/>
  <c r="I472" i="3" s="1"/>
  <c r="G471" i="3"/>
  <c r="I471" i="3" s="1"/>
  <c r="G470" i="3"/>
  <c r="I469" i="3"/>
  <c r="G469" i="3"/>
  <c r="G468" i="3"/>
  <c r="I468" i="3" s="1"/>
  <c r="G467" i="3"/>
  <c r="I467" i="3" s="1"/>
  <c r="G466" i="3"/>
  <c r="I466" i="3" s="1"/>
  <c r="G465" i="3"/>
  <c r="I465" i="3" s="1"/>
  <c r="G464" i="3"/>
  <c r="I464" i="3" s="1"/>
  <c r="F459" i="3"/>
  <c r="E459" i="3"/>
  <c r="G458" i="3"/>
  <c r="I458" i="3" s="1"/>
  <c r="G457" i="3"/>
  <c r="I457" i="3" s="1"/>
  <c r="G456" i="3"/>
  <c r="I456" i="3" s="1"/>
  <c r="G455" i="3"/>
  <c r="I455" i="3" s="1"/>
  <c r="G454" i="3"/>
  <c r="I454" i="3" s="1"/>
  <c r="G453" i="3"/>
  <c r="I453" i="3" s="1"/>
  <c r="G452" i="3"/>
  <c r="I452" i="3" s="1"/>
  <c r="G451" i="3"/>
  <c r="I451" i="3" s="1"/>
  <c r="G450" i="3"/>
  <c r="I450" i="3" s="1"/>
  <c r="G449" i="3"/>
  <c r="I449" i="3" s="1"/>
  <c r="G448" i="3"/>
  <c r="I448" i="3" s="1"/>
  <c r="G447" i="3"/>
  <c r="I447" i="3" s="1"/>
  <c r="G446" i="3"/>
  <c r="I446" i="3" s="1"/>
  <c r="G445" i="3"/>
  <c r="I445" i="3" s="1"/>
  <c r="G444" i="3"/>
  <c r="I444" i="3" s="1"/>
  <c r="G443" i="3"/>
  <c r="I443" i="3" s="1"/>
  <c r="G442" i="3"/>
  <c r="I442" i="3" s="1"/>
  <c r="G441" i="3"/>
  <c r="I441" i="3" s="1"/>
  <c r="G440" i="3"/>
  <c r="I440" i="3" s="1"/>
  <c r="G439" i="3"/>
  <c r="I439" i="3" s="1"/>
  <c r="G438" i="3"/>
  <c r="I438" i="3" s="1"/>
  <c r="G437" i="3"/>
  <c r="I437" i="3" s="1"/>
  <c r="G436" i="3"/>
  <c r="F431" i="3"/>
  <c r="E431" i="3"/>
  <c r="G430" i="3"/>
  <c r="I430" i="3" s="1"/>
  <c r="G429" i="3"/>
  <c r="I429" i="3" s="1"/>
  <c r="G428" i="3"/>
  <c r="I428" i="3" s="1"/>
  <c r="G427" i="3"/>
  <c r="G426" i="3"/>
  <c r="I426" i="3" s="1"/>
  <c r="G425" i="3"/>
  <c r="I425" i="3" s="1"/>
  <c r="G424" i="3"/>
  <c r="I424" i="3" s="1"/>
  <c r="G423" i="3"/>
  <c r="I423" i="3" s="1"/>
  <c r="G422" i="3"/>
  <c r="I422" i="3" s="1"/>
  <c r="G421" i="3"/>
  <c r="I421" i="3" s="1"/>
  <c r="G420" i="3"/>
  <c r="I420" i="3" s="1"/>
  <c r="G419" i="3"/>
  <c r="I419" i="3" s="1"/>
  <c r="G418" i="3"/>
  <c r="I418" i="3" s="1"/>
  <c r="G417" i="3"/>
  <c r="I417" i="3" s="1"/>
  <c r="G416" i="3"/>
  <c r="I416" i="3" s="1"/>
  <c r="G415" i="3"/>
  <c r="I415" i="3" s="1"/>
  <c r="G414" i="3"/>
  <c r="I414" i="3" s="1"/>
  <c r="G413" i="3"/>
  <c r="I413" i="3" s="1"/>
  <c r="G412" i="3"/>
  <c r="I412" i="3" s="1"/>
  <c r="G411" i="3"/>
  <c r="I411" i="3" s="1"/>
  <c r="G410" i="3"/>
  <c r="I410" i="3" s="1"/>
  <c r="G409" i="3"/>
  <c r="I409" i="3" s="1"/>
  <c r="G408" i="3"/>
  <c r="F403" i="3"/>
  <c r="E403" i="3"/>
  <c r="I402" i="3"/>
  <c r="G402" i="3"/>
  <c r="G401" i="3"/>
  <c r="I401" i="3" s="1"/>
  <c r="G400" i="3"/>
  <c r="I400" i="3" s="1"/>
  <c r="G399" i="3"/>
  <c r="I399" i="3" s="1"/>
  <c r="G398" i="3"/>
  <c r="I398" i="3" s="1"/>
  <c r="G397" i="3"/>
  <c r="I397" i="3" s="1"/>
  <c r="G396" i="3"/>
  <c r="I396" i="3" s="1"/>
  <c r="G395" i="3"/>
  <c r="I395" i="3" s="1"/>
  <c r="G394" i="3"/>
  <c r="I394" i="3" s="1"/>
  <c r="G393" i="3"/>
  <c r="I393" i="3" s="1"/>
  <c r="G392" i="3"/>
  <c r="I392" i="3" s="1"/>
  <c r="G391" i="3"/>
  <c r="I391" i="3" s="1"/>
  <c r="G390" i="3"/>
  <c r="I390" i="3" s="1"/>
  <c r="G389" i="3"/>
  <c r="I389" i="3" s="1"/>
  <c r="G388" i="3"/>
  <c r="I388" i="3" s="1"/>
  <c r="G387" i="3"/>
  <c r="I387" i="3" s="1"/>
  <c r="G386" i="3"/>
  <c r="I386" i="3" s="1"/>
  <c r="G385" i="3"/>
  <c r="I385" i="3" s="1"/>
  <c r="G384" i="3"/>
  <c r="I384" i="3" s="1"/>
  <c r="G383" i="3"/>
  <c r="I383" i="3" s="1"/>
  <c r="G382" i="3"/>
  <c r="I382" i="3" s="1"/>
  <c r="G381" i="3"/>
  <c r="F376" i="3"/>
  <c r="E376" i="3"/>
  <c r="G375" i="3"/>
  <c r="I375" i="3" s="1"/>
  <c r="G374" i="3"/>
  <c r="I374" i="3" s="1"/>
  <c r="G373" i="3"/>
  <c r="I373" i="3" s="1"/>
  <c r="G372" i="3"/>
  <c r="I372" i="3" s="1"/>
  <c r="G371" i="3"/>
  <c r="I371" i="3" s="1"/>
  <c r="G370" i="3"/>
  <c r="I370" i="3" s="1"/>
  <c r="G369" i="3"/>
  <c r="I369" i="3" s="1"/>
  <c r="G368" i="3"/>
  <c r="I368" i="3" s="1"/>
  <c r="G367" i="3"/>
  <c r="I367" i="3" s="1"/>
  <c r="G366" i="3"/>
  <c r="I366" i="3" s="1"/>
  <c r="G365" i="3"/>
  <c r="I365" i="3" s="1"/>
  <c r="G364" i="3"/>
  <c r="I364" i="3" s="1"/>
  <c r="G363" i="3"/>
  <c r="I363" i="3" s="1"/>
  <c r="G362" i="3"/>
  <c r="I362" i="3" s="1"/>
  <c r="G361" i="3"/>
  <c r="I361" i="3" s="1"/>
  <c r="G360" i="3"/>
  <c r="I360" i="3" s="1"/>
  <c r="G359" i="3"/>
  <c r="I359" i="3" s="1"/>
  <c r="G358" i="3"/>
  <c r="I358" i="3" s="1"/>
  <c r="G357" i="3"/>
  <c r="I357" i="3" s="1"/>
  <c r="G356" i="3"/>
  <c r="I356" i="3" s="1"/>
  <c r="G355" i="3"/>
  <c r="I355" i="3" s="1"/>
  <c r="G354" i="3"/>
  <c r="F349" i="3"/>
  <c r="E349" i="3"/>
  <c r="G348" i="3"/>
  <c r="I348" i="3" s="1"/>
  <c r="G347" i="3"/>
  <c r="I347" i="3" s="1"/>
  <c r="G346" i="3"/>
  <c r="I346" i="3" s="1"/>
  <c r="G345" i="3"/>
  <c r="I345" i="3" s="1"/>
  <c r="G344" i="3"/>
  <c r="I344" i="3" s="1"/>
  <c r="G343" i="3"/>
  <c r="I343" i="3" s="1"/>
  <c r="G342" i="3"/>
  <c r="I341" i="3"/>
  <c r="G341" i="3"/>
  <c r="G340" i="3"/>
  <c r="I340" i="3" s="1"/>
  <c r="G339" i="3"/>
  <c r="I339" i="3" s="1"/>
  <c r="G338" i="3"/>
  <c r="I338" i="3" s="1"/>
  <c r="G337" i="3"/>
  <c r="I337" i="3" s="1"/>
  <c r="G336" i="3"/>
  <c r="I336" i="3" s="1"/>
  <c r="G335" i="3"/>
  <c r="I335" i="3" s="1"/>
  <c r="G334" i="3"/>
  <c r="I334" i="3" s="1"/>
  <c r="G333" i="3"/>
  <c r="I333" i="3" s="1"/>
  <c r="G332" i="3"/>
  <c r="I332" i="3" s="1"/>
  <c r="G331" i="3"/>
  <c r="I331" i="3" s="1"/>
  <c r="G330" i="3"/>
  <c r="I330" i="3" s="1"/>
  <c r="G329" i="3"/>
  <c r="I329" i="3" s="1"/>
  <c r="G328" i="3"/>
  <c r="I328" i="3" s="1"/>
  <c r="G327" i="3"/>
  <c r="I327" i="3" s="1"/>
  <c r="F322" i="3"/>
  <c r="E322" i="3"/>
  <c r="G322" i="3" s="1"/>
  <c r="G321" i="3"/>
  <c r="I321" i="3" s="1"/>
  <c r="G320" i="3"/>
  <c r="I320" i="3" s="1"/>
  <c r="G319" i="3"/>
  <c r="I319" i="3" s="1"/>
  <c r="G318" i="3"/>
  <c r="I318" i="3" s="1"/>
  <c r="G317" i="3"/>
  <c r="I317" i="3" s="1"/>
  <c r="G316" i="3"/>
  <c r="I316" i="3" s="1"/>
  <c r="G315" i="3"/>
  <c r="I315" i="3" s="1"/>
  <c r="G314" i="3"/>
  <c r="I314" i="3" s="1"/>
  <c r="G313" i="3"/>
  <c r="I313" i="3" s="1"/>
  <c r="G312" i="3"/>
  <c r="I312" i="3" s="1"/>
  <c r="G311" i="3"/>
  <c r="I311" i="3" s="1"/>
  <c r="G310" i="3"/>
  <c r="I310" i="3" s="1"/>
  <c r="G309" i="3"/>
  <c r="I309" i="3" s="1"/>
  <c r="G308" i="3"/>
  <c r="I308" i="3" s="1"/>
  <c r="G307" i="3"/>
  <c r="I307" i="3" s="1"/>
  <c r="G306" i="3"/>
  <c r="I306" i="3" s="1"/>
  <c r="G305" i="3"/>
  <c r="I305" i="3" s="1"/>
  <c r="G304" i="3"/>
  <c r="I304" i="3" s="1"/>
  <c r="G303" i="3"/>
  <c r="I303" i="3" s="1"/>
  <c r="G302" i="3"/>
  <c r="I302" i="3" s="1"/>
  <c r="G301" i="3"/>
  <c r="I301" i="3" s="1"/>
  <c r="G300" i="3"/>
  <c r="I300" i="3" s="1"/>
  <c r="I322" i="3" s="1"/>
  <c r="F295" i="3"/>
  <c r="E295" i="3"/>
  <c r="G294" i="3"/>
  <c r="I294" i="3" s="1"/>
  <c r="G293" i="3"/>
  <c r="I293" i="3" s="1"/>
  <c r="G292" i="3"/>
  <c r="I292" i="3" s="1"/>
  <c r="G291" i="3"/>
  <c r="I291" i="3" s="1"/>
  <c r="G290" i="3"/>
  <c r="I290" i="3" s="1"/>
  <c r="G289" i="3"/>
  <c r="I289" i="3" s="1"/>
  <c r="G288" i="3"/>
  <c r="I288" i="3" s="1"/>
  <c r="G287" i="3"/>
  <c r="I287" i="3" s="1"/>
  <c r="G286" i="3"/>
  <c r="I286" i="3" s="1"/>
  <c r="G285" i="3"/>
  <c r="I285" i="3" s="1"/>
  <c r="G284" i="3"/>
  <c r="I284" i="3" s="1"/>
  <c r="G283" i="3"/>
  <c r="I283" i="3" s="1"/>
  <c r="G282" i="3"/>
  <c r="I282" i="3" s="1"/>
  <c r="G281" i="3"/>
  <c r="I281" i="3" s="1"/>
  <c r="G280" i="3"/>
  <c r="I280" i="3" s="1"/>
  <c r="G279" i="3"/>
  <c r="I279" i="3" s="1"/>
  <c r="G278" i="3"/>
  <c r="I278" i="3" s="1"/>
  <c r="G277" i="3"/>
  <c r="I277" i="3" s="1"/>
  <c r="G276" i="3"/>
  <c r="I276" i="3" s="1"/>
  <c r="G275" i="3"/>
  <c r="I275" i="3" s="1"/>
  <c r="G274" i="3"/>
  <c r="I274" i="3" s="1"/>
  <c r="G273" i="3"/>
  <c r="F268" i="3"/>
  <c r="E268" i="3"/>
  <c r="G267" i="3"/>
  <c r="I267" i="3" s="1"/>
  <c r="G266" i="3"/>
  <c r="I266" i="3" s="1"/>
  <c r="G265" i="3"/>
  <c r="I265" i="3" s="1"/>
  <c r="G264" i="3"/>
  <c r="I264" i="3" s="1"/>
  <c r="G263" i="3"/>
  <c r="I263" i="3" s="1"/>
  <c r="G262" i="3"/>
  <c r="I262" i="3" s="1"/>
  <c r="G261" i="3"/>
  <c r="I261" i="3" s="1"/>
  <c r="G260" i="3"/>
  <c r="I260" i="3" s="1"/>
  <c r="G259" i="3"/>
  <c r="I259" i="3" s="1"/>
  <c r="G258" i="3"/>
  <c r="I258" i="3" s="1"/>
  <c r="G257" i="3"/>
  <c r="I257" i="3" s="1"/>
  <c r="G256" i="3"/>
  <c r="I256" i="3" s="1"/>
  <c r="G255" i="3"/>
  <c r="I255" i="3" s="1"/>
  <c r="G254" i="3"/>
  <c r="I254" i="3" s="1"/>
  <c r="G253" i="3"/>
  <c r="I253" i="3" s="1"/>
  <c r="G252" i="3"/>
  <c r="I252" i="3" s="1"/>
  <c r="G251" i="3"/>
  <c r="I251" i="3" s="1"/>
  <c r="G250" i="3"/>
  <c r="I250" i="3" s="1"/>
  <c r="G249" i="3"/>
  <c r="I249" i="3" s="1"/>
  <c r="G248" i="3"/>
  <c r="I248" i="3" s="1"/>
  <c r="G247" i="3"/>
  <c r="I247" i="3" s="1"/>
  <c r="G246" i="3"/>
  <c r="F241" i="3"/>
  <c r="E241" i="3"/>
  <c r="G240" i="3"/>
  <c r="I240" i="3" s="1"/>
  <c r="G239" i="3"/>
  <c r="I239" i="3" s="1"/>
  <c r="G238" i="3"/>
  <c r="I238" i="3" s="1"/>
  <c r="G237" i="3"/>
  <c r="I237" i="3" s="1"/>
  <c r="G236" i="3"/>
  <c r="I236" i="3" s="1"/>
  <c r="G235" i="3"/>
  <c r="I235" i="3" s="1"/>
  <c r="G234" i="3"/>
  <c r="I234" i="3" s="1"/>
  <c r="G233" i="3"/>
  <c r="I233" i="3" s="1"/>
  <c r="G232" i="3"/>
  <c r="I232" i="3" s="1"/>
  <c r="G231" i="3"/>
  <c r="I231" i="3" s="1"/>
  <c r="G230" i="3"/>
  <c r="I230" i="3" s="1"/>
  <c r="G229" i="3"/>
  <c r="I229" i="3" s="1"/>
  <c r="G228" i="3"/>
  <c r="I228" i="3" s="1"/>
  <c r="G227" i="3"/>
  <c r="I227" i="3" s="1"/>
  <c r="G226" i="3"/>
  <c r="I226" i="3" s="1"/>
  <c r="G225" i="3"/>
  <c r="I225" i="3" s="1"/>
  <c r="G224" i="3"/>
  <c r="I224" i="3" s="1"/>
  <c r="G223" i="3"/>
  <c r="I223" i="3" s="1"/>
  <c r="G222" i="3"/>
  <c r="I222" i="3" s="1"/>
  <c r="G221" i="3"/>
  <c r="I221" i="3" s="1"/>
  <c r="G220" i="3"/>
  <c r="I220" i="3" s="1"/>
  <c r="G219" i="3"/>
  <c r="F214" i="3"/>
  <c r="E214" i="3"/>
  <c r="G213" i="3"/>
  <c r="I213" i="3" s="1"/>
  <c r="G212" i="3"/>
  <c r="I212" i="3" s="1"/>
  <c r="G211" i="3"/>
  <c r="I211" i="3" s="1"/>
  <c r="G210" i="3"/>
  <c r="I210" i="3" s="1"/>
  <c r="G209" i="3"/>
  <c r="I209" i="3" s="1"/>
  <c r="G208" i="3"/>
  <c r="I208" i="3" s="1"/>
  <c r="G207" i="3"/>
  <c r="I207" i="3" s="1"/>
  <c r="G206" i="3"/>
  <c r="I206" i="3" s="1"/>
  <c r="G205" i="3"/>
  <c r="I205" i="3" s="1"/>
  <c r="G204" i="3"/>
  <c r="I204" i="3" s="1"/>
  <c r="G203" i="3"/>
  <c r="I203" i="3" s="1"/>
  <c r="G202" i="3"/>
  <c r="I202" i="3" s="1"/>
  <c r="G201" i="3"/>
  <c r="I201" i="3" s="1"/>
  <c r="G200" i="3"/>
  <c r="I200" i="3" s="1"/>
  <c r="G199" i="3"/>
  <c r="I199" i="3" s="1"/>
  <c r="G198" i="3"/>
  <c r="I198" i="3" s="1"/>
  <c r="G197" i="3"/>
  <c r="I197" i="3" s="1"/>
  <c r="G196" i="3"/>
  <c r="I196" i="3" s="1"/>
  <c r="G195" i="3"/>
  <c r="I195" i="3" s="1"/>
  <c r="G194" i="3"/>
  <c r="I194" i="3" s="1"/>
  <c r="G193" i="3"/>
  <c r="I193" i="3" s="1"/>
  <c r="G192" i="3"/>
  <c r="F187" i="3"/>
  <c r="E187" i="3"/>
  <c r="G186" i="3"/>
  <c r="I186" i="3" s="1"/>
  <c r="G185" i="3"/>
  <c r="I185" i="3" s="1"/>
  <c r="G184" i="3"/>
  <c r="I184" i="3" s="1"/>
  <c r="G183" i="3"/>
  <c r="I183" i="3" s="1"/>
  <c r="G182" i="3"/>
  <c r="I182" i="3" s="1"/>
  <c r="G181" i="3"/>
  <c r="I181" i="3" s="1"/>
  <c r="G180" i="3"/>
  <c r="I180" i="3" s="1"/>
  <c r="G179" i="3"/>
  <c r="I179" i="3" s="1"/>
  <c r="G178" i="3"/>
  <c r="I178" i="3" s="1"/>
  <c r="G177" i="3"/>
  <c r="I177" i="3" s="1"/>
  <c r="G176" i="3"/>
  <c r="I176" i="3" s="1"/>
  <c r="G175" i="3"/>
  <c r="I175" i="3" s="1"/>
  <c r="G174" i="3"/>
  <c r="I174" i="3" s="1"/>
  <c r="G173" i="3"/>
  <c r="I173" i="3" s="1"/>
  <c r="G172" i="3"/>
  <c r="I172" i="3" s="1"/>
  <c r="G171" i="3"/>
  <c r="I171" i="3" s="1"/>
  <c r="G170" i="3"/>
  <c r="I170" i="3" s="1"/>
  <c r="G169" i="3"/>
  <c r="I169" i="3" s="1"/>
  <c r="G168" i="3"/>
  <c r="I168" i="3" s="1"/>
  <c r="G167" i="3"/>
  <c r="I167" i="3" s="1"/>
  <c r="G166" i="3"/>
  <c r="I166" i="3" s="1"/>
  <c r="G165" i="3"/>
  <c r="F160" i="3"/>
  <c r="E160" i="3"/>
  <c r="G159" i="3"/>
  <c r="I159" i="3" s="1"/>
  <c r="G158" i="3"/>
  <c r="I158" i="3" s="1"/>
  <c r="G157" i="3"/>
  <c r="I157" i="3" s="1"/>
  <c r="G156" i="3"/>
  <c r="I156" i="3" s="1"/>
  <c r="G155" i="3"/>
  <c r="I155" i="3" s="1"/>
  <c r="G154" i="3"/>
  <c r="I154" i="3" s="1"/>
  <c r="G153" i="3"/>
  <c r="I153" i="3" s="1"/>
  <c r="G152" i="3"/>
  <c r="I152" i="3" s="1"/>
  <c r="G151" i="3"/>
  <c r="I151" i="3" s="1"/>
  <c r="G150" i="3"/>
  <c r="I150" i="3" s="1"/>
  <c r="G149" i="3"/>
  <c r="I149" i="3" s="1"/>
  <c r="G148" i="3"/>
  <c r="I148" i="3" s="1"/>
  <c r="G147" i="3"/>
  <c r="I147" i="3" s="1"/>
  <c r="G146" i="3"/>
  <c r="I146" i="3" s="1"/>
  <c r="G145" i="3"/>
  <c r="I145" i="3" s="1"/>
  <c r="G144" i="3"/>
  <c r="I144" i="3" s="1"/>
  <c r="G143" i="3"/>
  <c r="I143" i="3" s="1"/>
  <c r="G142" i="3"/>
  <c r="I142" i="3" s="1"/>
  <c r="G141" i="3"/>
  <c r="I141" i="3" s="1"/>
  <c r="G140" i="3"/>
  <c r="I140" i="3" s="1"/>
  <c r="G139" i="3"/>
  <c r="I139" i="3" s="1"/>
  <c r="G138" i="3"/>
  <c r="F133" i="3"/>
  <c r="E133" i="3"/>
  <c r="G132" i="3"/>
  <c r="I132" i="3" s="1"/>
  <c r="G131" i="3"/>
  <c r="I131" i="3" s="1"/>
  <c r="G130" i="3"/>
  <c r="I130" i="3" s="1"/>
  <c r="G129" i="3"/>
  <c r="I129" i="3" s="1"/>
  <c r="G128" i="3"/>
  <c r="I128" i="3" s="1"/>
  <c r="G127" i="3"/>
  <c r="I127" i="3" s="1"/>
  <c r="G126" i="3"/>
  <c r="I126" i="3" s="1"/>
  <c r="G125" i="3"/>
  <c r="I125" i="3" s="1"/>
  <c r="G124" i="3"/>
  <c r="I124" i="3" s="1"/>
  <c r="G123" i="3"/>
  <c r="I123" i="3" s="1"/>
  <c r="G122" i="3"/>
  <c r="I122" i="3" s="1"/>
  <c r="G121" i="3"/>
  <c r="I121" i="3" s="1"/>
  <c r="G120" i="3"/>
  <c r="I120" i="3" s="1"/>
  <c r="G119" i="3"/>
  <c r="I119" i="3" s="1"/>
  <c r="G118" i="3"/>
  <c r="I118" i="3" s="1"/>
  <c r="G117" i="3"/>
  <c r="I117" i="3" s="1"/>
  <c r="G116" i="3"/>
  <c r="I116" i="3" s="1"/>
  <c r="G115" i="3"/>
  <c r="I115" i="3" s="1"/>
  <c r="G114" i="3"/>
  <c r="I114" i="3" s="1"/>
  <c r="G113" i="3"/>
  <c r="I113" i="3" s="1"/>
  <c r="G112" i="3"/>
  <c r="I112" i="3" s="1"/>
  <c r="G111" i="3"/>
  <c r="F106" i="3"/>
  <c r="E106" i="3"/>
  <c r="G105" i="3"/>
  <c r="I105" i="3" s="1"/>
  <c r="G104" i="3"/>
  <c r="I104" i="3" s="1"/>
  <c r="G103" i="3"/>
  <c r="I103" i="3" s="1"/>
  <c r="G102" i="3"/>
  <c r="I102" i="3" s="1"/>
  <c r="G101" i="3"/>
  <c r="I101" i="3" s="1"/>
  <c r="G100" i="3"/>
  <c r="I100" i="3" s="1"/>
  <c r="G99" i="3"/>
  <c r="I99" i="3" s="1"/>
  <c r="G98" i="3"/>
  <c r="I98" i="3" s="1"/>
  <c r="G97" i="3"/>
  <c r="I97" i="3" s="1"/>
  <c r="G96" i="3"/>
  <c r="I96" i="3" s="1"/>
  <c r="G95" i="3"/>
  <c r="I95" i="3" s="1"/>
  <c r="G94" i="3"/>
  <c r="I94" i="3" s="1"/>
  <c r="G93" i="3"/>
  <c r="I93" i="3" s="1"/>
  <c r="G92" i="3"/>
  <c r="I92" i="3" s="1"/>
  <c r="G91" i="3"/>
  <c r="I91" i="3" s="1"/>
  <c r="G90" i="3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F79" i="3"/>
  <c r="E79" i="3"/>
  <c r="G78" i="3"/>
  <c r="I78" i="3" s="1"/>
  <c r="G77" i="3"/>
  <c r="I77" i="3" s="1"/>
  <c r="G76" i="3"/>
  <c r="I76" i="3" s="1"/>
  <c r="G75" i="3"/>
  <c r="I75" i="3" s="1"/>
  <c r="G74" i="3"/>
  <c r="I74" i="3" s="1"/>
  <c r="G73" i="3"/>
  <c r="I73" i="3" s="1"/>
  <c r="G72" i="3"/>
  <c r="I72" i="3" s="1"/>
  <c r="G71" i="3"/>
  <c r="I71" i="3" s="1"/>
  <c r="G70" i="3"/>
  <c r="I70" i="3" s="1"/>
  <c r="G69" i="3"/>
  <c r="I69" i="3" s="1"/>
  <c r="G68" i="3"/>
  <c r="I68" i="3" s="1"/>
  <c r="G67" i="3"/>
  <c r="I67" i="3" s="1"/>
  <c r="G66" i="3"/>
  <c r="I66" i="3" s="1"/>
  <c r="G65" i="3"/>
  <c r="I65" i="3" s="1"/>
  <c r="G64" i="3"/>
  <c r="I64" i="3" s="1"/>
  <c r="G63" i="3"/>
  <c r="I63" i="3" s="1"/>
  <c r="G62" i="3"/>
  <c r="I62" i="3" s="1"/>
  <c r="G61" i="3"/>
  <c r="I61" i="3" s="1"/>
  <c r="G60" i="3"/>
  <c r="I60" i="3" s="1"/>
  <c r="G59" i="3"/>
  <c r="I59" i="3" s="1"/>
  <c r="G58" i="3"/>
  <c r="I58" i="3" s="1"/>
  <c r="G57" i="3"/>
  <c r="F52" i="3"/>
  <c r="E52" i="3"/>
  <c r="G51" i="3"/>
  <c r="I51" i="3" s="1"/>
  <c r="G50" i="3"/>
  <c r="I50" i="3" s="1"/>
  <c r="G49" i="3"/>
  <c r="I49" i="3" s="1"/>
  <c r="G48" i="3"/>
  <c r="I48" i="3" s="1"/>
  <c r="G47" i="3"/>
  <c r="I47" i="3" s="1"/>
  <c r="G46" i="3"/>
  <c r="I46" i="3" s="1"/>
  <c r="G45" i="3"/>
  <c r="I45" i="3" s="1"/>
  <c r="G44" i="3"/>
  <c r="I44" i="3" s="1"/>
  <c r="G43" i="3"/>
  <c r="I43" i="3" s="1"/>
  <c r="G42" i="3"/>
  <c r="I42" i="3" s="1"/>
  <c r="G41" i="3"/>
  <c r="I41" i="3" s="1"/>
  <c r="G40" i="3"/>
  <c r="I40" i="3" s="1"/>
  <c r="G39" i="3"/>
  <c r="I39" i="3" s="1"/>
  <c r="G38" i="3"/>
  <c r="I38" i="3" s="1"/>
  <c r="G37" i="3"/>
  <c r="I37" i="3" s="1"/>
  <c r="G36" i="3"/>
  <c r="I36" i="3" s="1"/>
  <c r="G35" i="3"/>
  <c r="I35" i="3" s="1"/>
  <c r="G34" i="3"/>
  <c r="I34" i="3" s="1"/>
  <c r="G33" i="3"/>
  <c r="I33" i="3" s="1"/>
  <c r="G32" i="3"/>
  <c r="I32" i="3" s="1"/>
  <c r="G31" i="3"/>
  <c r="I31" i="3" s="1"/>
  <c r="G30" i="3"/>
  <c r="F25" i="3"/>
  <c r="E25" i="3"/>
  <c r="G24" i="3"/>
  <c r="I24" i="3" s="1"/>
  <c r="G23" i="3"/>
  <c r="I23" i="3" s="1"/>
  <c r="G22" i="3"/>
  <c r="I22" i="3" s="1"/>
  <c r="G21" i="3"/>
  <c r="I21" i="3" s="1"/>
  <c r="G20" i="3"/>
  <c r="I20" i="3" s="1"/>
  <c r="G19" i="3"/>
  <c r="I19" i="3" s="1"/>
  <c r="G18" i="3"/>
  <c r="I18" i="3" s="1"/>
  <c r="G17" i="3"/>
  <c r="I17" i="3" s="1"/>
  <c r="G16" i="3"/>
  <c r="I16" i="3" s="1"/>
  <c r="G15" i="3"/>
  <c r="I15" i="3" s="1"/>
  <c r="G14" i="3"/>
  <c r="I14" i="3" s="1"/>
  <c r="G13" i="3"/>
  <c r="I13" i="3" s="1"/>
  <c r="G12" i="3"/>
  <c r="I12" i="3" s="1"/>
  <c r="G11" i="3"/>
  <c r="I11" i="3" s="1"/>
  <c r="G10" i="3"/>
  <c r="I10" i="3" s="1"/>
  <c r="G9" i="3"/>
  <c r="I9" i="3" s="1"/>
  <c r="G8" i="3"/>
  <c r="I8" i="3" s="1"/>
  <c r="G7" i="3"/>
  <c r="I7" i="3" s="1"/>
  <c r="G6" i="3"/>
  <c r="I6" i="3" s="1"/>
  <c r="G5" i="3"/>
  <c r="I5" i="3" s="1"/>
  <c r="G4" i="3"/>
  <c r="I4" i="3" s="1"/>
  <c r="G3" i="3"/>
  <c r="F513" i="2"/>
  <c r="E513" i="2"/>
  <c r="D513" i="2"/>
  <c r="C513" i="2"/>
  <c r="G512" i="2"/>
  <c r="I512" i="2" s="1"/>
  <c r="G511" i="2"/>
  <c r="I511" i="2" s="1"/>
  <c r="G510" i="2"/>
  <c r="I510" i="2" s="1"/>
  <c r="G509" i="2"/>
  <c r="I509" i="2" s="1"/>
  <c r="G508" i="2"/>
  <c r="I508" i="2" s="1"/>
  <c r="G507" i="2"/>
  <c r="I507" i="2" s="1"/>
  <c r="G506" i="2"/>
  <c r="I506" i="2" s="1"/>
  <c r="G505" i="2"/>
  <c r="I505" i="2" s="1"/>
  <c r="G504" i="2"/>
  <c r="I504" i="2" s="1"/>
  <c r="G503" i="2"/>
  <c r="I503" i="2" s="1"/>
  <c r="G502" i="2"/>
  <c r="I502" i="2" s="1"/>
  <c r="G501" i="2"/>
  <c r="I501" i="2" s="1"/>
  <c r="G500" i="2"/>
  <c r="I500" i="2" s="1"/>
  <c r="G499" i="2"/>
  <c r="I499" i="2" s="1"/>
  <c r="G498" i="2"/>
  <c r="I498" i="2" s="1"/>
  <c r="G497" i="2"/>
  <c r="I497" i="2" s="1"/>
  <c r="G496" i="2"/>
  <c r="I496" i="2" s="1"/>
  <c r="G495" i="2"/>
  <c r="I495" i="2" s="1"/>
  <c r="G494" i="2"/>
  <c r="I494" i="2" s="1"/>
  <c r="G493" i="2"/>
  <c r="I493" i="2" s="1"/>
  <c r="G492" i="2"/>
  <c r="I492" i="2" s="1"/>
  <c r="G491" i="2"/>
  <c r="I491" i="2" s="1"/>
  <c r="G490" i="2"/>
  <c r="F474" i="2"/>
  <c r="E474" i="2"/>
  <c r="D474" i="2"/>
  <c r="C474" i="2"/>
  <c r="G473" i="2"/>
  <c r="I473" i="2" s="1"/>
  <c r="G472" i="2"/>
  <c r="I472" i="2" s="1"/>
  <c r="G471" i="2"/>
  <c r="I471" i="2" s="1"/>
  <c r="G470" i="2"/>
  <c r="I470" i="2" s="1"/>
  <c r="G469" i="2"/>
  <c r="I469" i="2" s="1"/>
  <c r="G468" i="2"/>
  <c r="I467" i="2"/>
  <c r="G467" i="2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G460" i="2"/>
  <c r="I460" i="2" s="1"/>
  <c r="G459" i="2"/>
  <c r="I459" i="2" s="1"/>
  <c r="G458" i="2"/>
  <c r="I458" i="2" s="1"/>
  <c r="G457" i="2"/>
  <c r="I457" i="2" s="1"/>
  <c r="G456" i="2"/>
  <c r="I456" i="2" s="1"/>
  <c r="G455" i="2"/>
  <c r="I455" i="2" s="1"/>
  <c r="G454" i="2"/>
  <c r="I454" i="2" s="1"/>
  <c r="G453" i="2"/>
  <c r="I453" i="2" s="1"/>
  <c r="G452" i="2"/>
  <c r="I452" i="2" s="1"/>
  <c r="G451" i="2"/>
  <c r="I451" i="2" s="1"/>
  <c r="F446" i="2"/>
  <c r="E446" i="2"/>
  <c r="D446" i="2"/>
  <c r="C446" i="2"/>
  <c r="G445" i="2"/>
  <c r="I445" i="2" s="1"/>
  <c r="G444" i="2"/>
  <c r="I444" i="2" s="1"/>
  <c r="G443" i="2"/>
  <c r="I443" i="2" s="1"/>
  <c r="G442" i="2"/>
  <c r="I442" i="2" s="1"/>
  <c r="G441" i="2"/>
  <c r="I441" i="2" s="1"/>
  <c r="G440" i="2"/>
  <c r="I440" i="2" s="1"/>
  <c r="G439" i="2"/>
  <c r="I439" i="2" s="1"/>
  <c r="G438" i="2"/>
  <c r="I438" i="2" s="1"/>
  <c r="G437" i="2"/>
  <c r="I437" i="2" s="1"/>
  <c r="G436" i="2"/>
  <c r="I436" i="2" s="1"/>
  <c r="G435" i="2"/>
  <c r="I435" i="2" s="1"/>
  <c r="G434" i="2"/>
  <c r="I434" i="2" s="1"/>
  <c r="G433" i="2"/>
  <c r="I433" i="2" s="1"/>
  <c r="G432" i="2"/>
  <c r="I432" i="2" s="1"/>
  <c r="G431" i="2"/>
  <c r="I431" i="2" s="1"/>
  <c r="G430" i="2"/>
  <c r="I430" i="2" s="1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F418" i="2"/>
  <c r="E418" i="2"/>
  <c r="D418" i="2"/>
  <c r="C418" i="2"/>
  <c r="G417" i="2"/>
  <c r="I417" i="2" s="1"/>
  <c r="G416" i="2"/>
  <c r="I416" i="2" s="1"/>
  <c r="G415" i="2"/>
  <c r="I415" i="2" s="1"/>
  <c r="G414" i="2"/>
  <c r="I414" i="2" s="1"/>
  <c r="G413" i="2"/>
  <c r="I413" i="2" s="1"/>
  <c r="G412" i="2"/>
  <c r="I412" i="2" s="1"/>
  <c r="G411" i="2"/>
  <c r="I411" i="2" s="1"/>
  <c r="G410" i="2"/>
  <c r="I410" i="2" s="1"/>
  <c r="G409" i="2"/>
  <c r="I409" i="2" s="1"/>
  <c r="G408" i="2"/>
  <c r="I408" i="2" s="1"/>
  <c r="G407" i="2"/>
  <c r="I407" i="2" s="1"/>
  <c r="G406" i="2"/>
  <c r="I406" i="2" s="1"/>
  <c r="G405" i="2"/>
  <c r="I405" i="2" s="1"/>
  <c r="G404" i="2"/>
  <c r="I404" i="2" s="1"/>
  <c r="G403" i="2"/>
  <c r="I403" i="2" s="1"/>
  <c r="G402" i="2"/>
  <c r="I402" i="2" s="1"/>
  <c r="G401" i="2"/>
  <c r="I401" i="2" s="1"/>
  <c r="G400" i="2"/>
  <c r="I400" i="2" s="1"/>
  <c r="G399" i="2"/>
  <c r="I399" i="2" s="1"/>
  <c r="G398" i="2"/>
  <c r="I398" i="2" s="1"/>
  <c r="G397" i="2"/>
  <c r="I397" i="2" s="1"/>
  <c r="G396" i="2"/>
  <c r="I396" i="2" s="1"/>
  <c r="G395" i="2"/>
  <c r="F390" i="2"/>
  <c r="E390" i="2"/>
  <c r="D390" i="2"/>
  <c r="C390" i="2"/>
  <c r="G389" i="2"/>
  <c r="I389" i="2" s="1"/>
  <c r="G388" i="2"/>
  <c r="I388" i="2" s="1"/>
  <c r="G387" i="2"/>
  <c r="I387" i="2" s="1"/>
  <c r="G386" i="2"/>
  <c r="I386" i="2" s="1"/>
  <c r="G385" i="2"/>
  <c r="I385" i="2" s="1"/>
  <c r="G384" i="2"/>
  <c r="I384" i="2" s="1"/>
  <c r="G383" i="2"/>
  <c r="I383" i="2" s="1"/>
  <c r="G382" i="2"/>
  <c r="I382" i="2" s="1"/>
  <c r="G381" i="2"/>
  <c r="I381" i="2" s="1"/>
  <c r="G380" i="2"/>
  <c r="I380" i="2" s="1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G370" i="2"/>
  <c r="I370" i="2" s="1"/>
  <c r="G369" i="2"/>
  <c r="I369" i="2" s="1"/>
  <c r="G368" i="2"/>
  <c r="I368" i="2" s="1"/>
  <c r="G367" i="2"/>
  <c r="F362" i="2"/>
  <c r="E362" i="2"/>
  <c r="D362" i="2"/>
  <c r="C362" i="2"/>
  <c r="G361" i="2"/>
  <c r="I361" i="2" s="1"/>
  <c r="G360" i="2"/>
  <c r="I360" i="2" s="1"/>
  <c r="G359" i="2"/>
  <c r="I359" i="2" s="1"/>
  <c r="G358" i="2"/>
  <c r="I358" i="2" s="1"/>
  <c r="G357" i="2"/>
  <c r="I357" i="2" s="1"/>
  <c r="G356" i="2"/>
  <c r="I356" i="2" s="1"/>
  <c r="G355" i="2"/>
  <c r="I355" i="2" s="1"/>
  <c r="G354" i="2"/>
  <c r="I354" i="2" s="1"/>
  <c r="G353" i="2"/>
  <c r="I353" i="2" s="1"/>
  <c r="G352" i="2"/>
  <c r="I352" i="2" s="1"/>
  <c r="G351" i="2"/>
  <c r="I351" i="2" s="1"/>
  <c r="G350" i="2"/>
  <c r="I350" i="2" s="1"/>
  <c r="G349" i="2"/>
  <c r="I349" i="2" s="1"/>
  <c r="G348" i="2"/>
  <c r="I348" i="2" s="1"/>
  <c r="G347" i="2"/>
  <c r="I347" i="2" s="1"/>
  <c r="G346" i="2"/>
  <c r="I346" i="2" s="1"/>
  <c r="G345" i="2"/>
  <c r="G344" i="2"/>
  <c r="I344" i="2" s="1"/>
  <c r="G343" i="2"/>
  <c r="I343" i="2" s="1"/>
  <c r="G342" i="2"/>
  <c r="I342" i="2" s="1"/>
  <c r="G341" i="2"/>
  <c r="I341" i="2" s="1"/>
  <c r="G340" i="2"/>
  <c r="I340" i="2" s="1"/>
  <c r="G339" i="2"/>
  <c r="I339" i="2" s="1"/>
  <c r="F334" i="2"/>
  <c r="E334" i="2"/>
  <c r="D334" i="2"/>
  <c r="C334" i="2"/>
  <c r="G333" i="2"/>
  <c r="I333" i="2" s="1"/>
  <c r="G332" i="2"/>
  <c r="I332" i="2" s="1"/>
  <c r="G331" i="2"/>
  <c r="I331" i="2" s="1"/>
  <c r="G330" i="2"/>
  <c r="I330" i="2" s="1"/>
  <c r="G329" i="2"/>
  <c r="I329" i="2" s="1"/>
  <c r="G328" i="2"/>
  <c r="I328" i="2" s="1"/>
  <c r="G327" i="2"/>
  <c r="I327" i="2" s="1"/>
  <c r="G326" i="2"/>
  <c r="I326" i="2" s="1"/>
  <c r="G325" i="2"/>
  <c r="I325" i="2" s="1"/>
  <c r="G324" i="2"/>
  <c r="I324" i="2" s="1"/>
  <c r="G323" i="2"/>
  <c r="I323" i="2" s="1"/>
  <c r="G322" i="2"/>
  <c r="I322" i="2" s="1"/>
  <c r="G321" i="2"/>
  <c r="I321" i="2" s="1"/>
  <c r="G320" i="2"/>
  <c r="I320" i="2" s="1"/>
  <c r="G319" i="2"/>
  <c r="I319" i="2" s="1"/>
  <c r="G318" i="2"/>
  <c r="I318" i="2" s="1"/>
  <c r="G317" i="2"/>
  <c r="I317" i="2" s="1"/>
  <c r="G316" i="2"/>
  <c r="I316" i="2" s="1"/>
  <c r="G315" i="2"/>
  <c r="I315" i="2" s="1"/>
  <c r="G314" i="2"/>
  <c r="I314" i="2" s="1"/>
  <c r="G313" i="2"/>
  <c r="I313" i="2" s="1"/>
  <c r="G312" i="2"/>
  <c r="I312" i="2" s="1"/>
  <c r="G311" i="2"/>
  <c r="F306" i="2"/>
  <c r="E306" i="2"/>
  <c r="G305" i="2"/>
  <c r="I305" i="2" s="1"/>
  <c r="G304" i="2"/>
  <c r="I304" i="2" s="1"/>
  <c r="G303" i="2"/>
  <c r="I303" i="2" s="1"/>
  <c r="G302" i="2"/>
  <c r="I302" i="2" s="1"/>
  <c r="G301" i="2"/>
  <c r="I301" i="2" s="1"/>
  <c r="G300" i="2"/>
  <c r="I300" i="2" s="1"/>
  <c r="G299" i="2"/>
  <c r="I299" i="2" s="1"/>
  <c r="G298" i="2"/>
  <c r="I298" i="2" s="1"/>
  <c r="G297" i="2"/>
  <c r="I297" i="2" s="1"/>
  <c r="G296" i="2"/>
  <c r="I296" i="2" s="1"/>
  <c r="G295" i="2"/>
  <c r="I295" i="2" s="1"/>
  <c r="G294" i="2"/>
  <c r="I294" i="2" s="1"/>
  <c r="G293" i="2"/>
  <c r="I293" i="2" s="1"/>
  <c r="G292" i="2"/>
  <c r="I292" i="2" s="1"/>
  <c r="G291" i="2"/>
  <c r="I291" i="2" s="1"/>
  <c r="G290" i="2"/>
  <c r="I290" i="2" s="1"/>
  <c r="G289" i="2"/>
  <c r="I289" i="2" s="1"/>
  <c r="G288" i="2"/>
  <c r="I288" i="2" s="1"/>
  <c r="G287" i="2"/>
  <c r="I287" i="2" s="1"/>
  <c r="G286" i="2"/>
  <c r="I286" i="2" s="1"/>
  <c r="G285" i="2"/>
  <c r="I285" i="2" s="1"/>
  <c r="G284" i="2"/>
  <c r="I284" i="2" s="1"/>
  <c r="G283" i="2"/>
  <c r="F278" i="2"/>
  <c r="E278" i="2"/>
  <c r="G277" i="2"/>
  <c r="I277" i="2" s="1"/>
  <c r="G276" i="2"/>
  <c r="I276" i="2" s="1"/>
  <c r="G275" i="2"/>
  <c r="I275" i="2" s="1"/>
  <c r="G274" i="2"/>
  <c r="I274" i="2" s="1"/>
  <c r="G273" i="2"/>
  <c r="I273" i="2" s="1"/>
  <c r="G272" i="2"/>
  <c r="I272" i="2" s="1"/>
  <c r="G271" i="2"/>
  <c r="I271" i="2" s="1"/>
  <c r="G270" i="2"/>
  <c r="I270" i="2" s="1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G260" i="2"/>
  <c r="I260" i="2" s="1"/>
  <c r="G259" i="2"/>
  <c r="I259" i="2" s="1"/>
  <c r="G258" i="2"/>
  <c r="I258" i="2" s="1"/>
  <c r="G257" i="2"/>
  <c r="I257" i="2" s="1"/>
  <c r="G256" i="2"/>
  <c r="I256" i="2" s="1"/>
  <c r="G255" i="2"/>
  <c r="F250" i="2"/>
  <c r="E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G240" i="2"/>
  <c r="I240" i="2" s="1"/>
  <c r="G239" i="2"/>
  <c r="I239" i="2" s="1"/>
  <c r="G238" i="2"/>
  <c r="I238" i="2" s="1"/>
  <c r="G237" i="2"/>
  <c r="I237" i="2" s="1"/>
  <c r="G236" i="2"/>
  <c r="I236" i="2" s="1"/>
  <c r="G235" i="2"/>
  <c r="I235" i="2" s="1"/>
  <c r="G234" i="2"/>
  <c r="I234" i="2" s="1"/>
  <c r="G233" i="2"/>
  <c r="I233" i="2" s="1"/>
  <c r="G232" i="2"/>
  <c r="I232" i="2" s="1"/>
  <c r="G231" i="2"/>
  <c r="I231" i="2" s="1"/>
  <c r="G230" i="2"/>
  <c r="I230" i="2" s="1"/>
  <c r="G229" i="2"/>
  <c r="I229" i="2" s="1"/>
  <c r="G228" i="2"/>
  <c r="I228" i="2" s="1"/>
  <c r="G227" i="2"/>
  <c r="F222" i="2"/>
  <c r="E222" i="2"/>
  <c r="G221" i="2"/>
  <c r="I221" i="2" s="1"/>
  <c r="G220" i="2"/>
  <c r="I220" i="2" s="1"/>
  <c r="G219" i="2"/>
  <c r="I219" i="2" s="1"/>
  <c r="G218" i="2"/>
  <c r="G217" i="2"/>
  <c r="I217" i="2" s="1"/>
  <c r="G216" i="2"/>
  <c r="I216" i="2" s="1"/>
  <c r="G215" i="2"/>
  <c r="I215" i="2" s="1"/>
  <c r="G214" i="2"/>
  <c r="I214" i="2" s="1"/>
  <c r="G213" i="2"/>
  <c r="I213" i="2" s="1"/>
  <c r="G212" i="2"/>
  <c r="I212" i="2" s="1"/>
  <c r="G211" i="2"/>
  <c r="I211" i="2" s="1"/>
  <c r="G210" i="2"/>
  <c r="I210" i="2" s="1"/>
  <c r="G209" i="2"/>
  <c r="I209" i="2" s="1"/>
  <c r="G208" i="2"/>
  <c r="I208" i="2" s="1"/>
  <c r="G207" i="2"/>
  <c r="I207" i="2" s="1"/>
  <c r="G206" i="2"/>
  <c r="I206" i="2" s="1"/>
  <c r="G205" i="2"/>
  <c r="I205" i="2" s="1"/>
  <c r="G204" i="2"/>
  <c r="I204" i="2" s="1"/>
  <c r="G203" i="2"/>
  <c r="I203" i="2" s="1"/>
  <c r="G202" i="2"/>
  <c r="I202" i="2" s="1"/>
  <c r="G201" i="2"/>
  <c r="I201" i="2" s="1"/>
  <c r="G200" i="2"/>
  <c r="I200" i="2" s="1"/>
  <c r="G199" i="2"/>
  <c r="I199" i="2" s="1"/>
  <c r="F194" i="2"/>
  <c r="E194" i="2"/>
  <c r="G193" i="2"/>
  <c r="I193" i="2" s="1"/>
  <c r="G192" i="2"/>
  <c r="I192" i="2" s="1"/>
  <c r="G191" i="2"/>
  <c r="I191" i="2" s="1"/>
  <c r="G190" i="2"/>
  <c r="I190" i="2" s="1"/>
  <c r="G189" i="2"/>
  <c r="I189" i="2" s="1"/>
  <c r="G188" i="2"/>
  <c r="I188" i="2" s="1"/>
  <c r="G187" i="2"/>
  <c r="I187" i="2" s="1"/>
  <c r="G186" i="2"/>
  <c r="I186" i="2" s="1"/>
  <c r="G185" i="2"/>
  <c r="I185" i="2" s="1"/>
  <c r="G184" i="2"/>
  <c r="I184" i="2" s="1"/>
  <c r="G183" i="2"/>
  <c r="I183" i="2" s="1"/>
  <c r="G182" i="2"/>
  <c r="I182" i="2" s="1"/>
  <c r="G181" i="2"/>
  <c r="I181" i="2" s="1"/>
  <c r="G180" i="2"/>
  <c r="I180" i="2" s="1"/>
  <c r="G179" i="2"/>
  <c r="I179" i="2" s="1"/>
  <c r="G178" i="2"/>
  <c r="I178" i="2" s="1"/>
  <c r="G177" i="2"/>
  <c r="I177" i="2" s="1"/>
  <c r="G176" i="2"/>
  <c r="I176" i="2" s="1"/>
  <c r="G175" i="2"/>
  <c r="I175" i="2" s="1"/>
  <c r="G174" i="2"/>
  <c r="I174" i="2" s="1"/>
  <c r="G173" i="2"/>
  <c r="I173" i="2" s="1"/>
  <c r="G172" i="2"/>
  <c r="I172" i="2" s="1"/>
  <c r="G171" i="2"/>
  <c r="F166" i="2"/>
  <c r="E166" i="2"/>
  <c r="G165" i="2"/>
  <c r="I165" i="2" s="1"/>
  <c r="G164" i="2"/>
  <c r="I164" i="2" s="1"/>
  <c r="G163" i="2"/>
  <c r="I163" i="2" s="1"/>
  <c r="G162" i="2"/>
  <c r="I162" i="2" s="1"/>
  <c r="G161" i="2"/>
  <c r="I161" i="2" s="1"/>
  <c r="G160" i="2"/>
  <c r="I160" i="2" s="1"/>
  <c r="G159" i="2"/>
  <c r="I159" i="2" s="1"/>
  <c r="G158" i="2"/>
  <c r="I158" i="2" s="1"/>
  <c r="G157" i="2"/>
  <c r="I157" i="2" s="1"/>
  <c r="G156" i="2"/>
  <c r="I156" i="2" s="1"/>
  <c r="G155" i="2"/>
  <c r="I155" i="2" s="1"/>
  <c r="G154" i="2"/>
  <c r="I154" i="2" s="1"/>
  <c r="G153" i="2"/>
  <c r="I153" i="2" s="1"/>
  <c r="G152" i="2"/>
  <c r="I152" i="2" s="1"/>
  <c r="G151" i="2"/>
  <c r="I151" i="2" s="1"/>
  <c r="G150" i="2"/>
  <c r="I150" i="2" s="1"/>
  <c r="G149" i="2"/>
  <c r="I149" i="2" s="1"/>
  <c r="G148" i="2"/>
  <c r="I148" i="2" s="1"/>
  <c r="G147" i="2"/>
  <c r="I147" i="2" s="1"/>
  <c r="G146" i="2"/>
  <c r="I146" i="2" s="1"/>
  <c r="G145" i="2"/>
  <c r="I145" i="2" s="1"/>
  <c r="G144" i="2"/>
  <c r="I144" i="2" s="1"/>
  <c r="G143" i="2"/>
  <c r="F138" i="2"/>
  <c r="E138" i="2"/>
  <c r="G137" i="2"/>
  <c r="I137" i="2" s="1"/>
  <c r="G136" i="2"/>
  <c r="I136" i="2" s="1"/>
  <c r="G135" i="2"/>
  <c r="I135" i="2" s="1"/>
  <c r="G134" i="2"/>
  <c r="I134" i="2" s="1"/>
  <c r="G133" i="2"/>
  <c r="I133" i="2" s="1"/>
  <c r="G132" i="2"/>
  <c r="I132" i="2" s="1"/>
  <c r="G131" i="2"/>
  <c r="I131" i="2" s="1"/>
  <c r="G130" i="2"/>
  <c r="I130" i="2" s="1"/>
  <c r="G129" i="2"/>
  <c r="I129" i="2" s="1"/>
  <c r="G128" i="2"/>
  <c r="I128" i="2" s="1"/>
  <c r="G127" i="2"/>
  <c r="I127" i="2" s="1"/>
  <c r="G126" i="2"/>
  <c r="I126" i="2" s="1"/>
  <c r="G125" i="2"/>
  <c r="I125" i="2" s="1"/>
  <c r="G124" i="2"/>
  <c r="I124" i="2" s="1"/>
  <c r="G123" i="2"/>
  <c r="I123" i="2" s="1"/>
  <c r="G122" i="2"/>
  <c r="I122" i="2" s="1"/>
  <c r="G121" i="2"/>
  <c r="I121" i="2" s="1"/>
  <c r="G120" i="2"/>
  <c r="I120" i="2" s="1"/>
  <c r="G119" i="2"/>
  <c r="I119" i="2" s="1"/>
  <c r="G118" i="2"/>
  <c r="I118" i="2" s="1"/>
  <c r="G117" i="2"/>
  <c r="I117" i="2" s="1"/>
  <c r="G116" i="2"/>
  <c r="I116" i="2" s="1"/>
  <c r="G115" i="2"/>
  <c r="F110" i="2"/>
  <c r="E110" i="2"/>
  <c r="G109" i="2"/>
  <c r="I109" i="2" s="1"/>
  <c r="G108" i="2"/>
  <c r="I108" i="2" s="1"/>
  <c r="G107" i="2"/>
  <c r="I107" i="2" s="1"/>
  <c r="G106" i="2"/>
  <c r="I106" i="2" s="1"/>
  <c r="G105" i="2"/>
  <c r="I105" i="2" s="1"/>
  <c r="G104" i="2"/>
  <c r="I104" i="2" s="1"/>
  <c r="G103" i="2"/>
  <c r="I103" i="2" s="1"/>
  <c r="G102" i="2"/>
  <c r="I102" i="2" s="1"/>
  <c r="G101" i="2"/>
  <c r="I101" i="2" s="1"/>
  <c r="G100" i="2"/>
  <c r="I100" i="2" s="1"/>
  <c r="G99" i="2"/>
  <c r="I99" i="2" s="1"/>
  <c r="G98" i="2"/>
  <c r="I98" i="2" s="1"/>
  <c r="G97" i="2"/>
  <c r="I97" i="2" s="1"/>
  <c r="G96" i="2"/>
  <c r="I96" i="2" s="1"/>
  <c r="G95" i="2"/>
  <c r="I95" i="2" s="1"/>
  <c r="G94" i="2"/>
  <c r="G93" i="2"/>
  <c r="I93" i="2" s="1"/>
  <c r="G92" i="2"/>
  <c r="I92" i="2" s="1"/>
  <c r="G91" i="2"/>
  <c r="I91" i="2" s="1"/>
  <c r="G90" i="2"/>
  <c r="I90" i="2" s="1"/>
  <c r="G89" i="2"/>
  <c r="I89" i="2" s="1"/>
  <c r="G88" i="2"/>
  <c r="I88" i="2" s="1"/>
  <c r="G87" i="2"/>
  <c r="I87" i="2" s="1"/>
  <c r="F82" i="2"/>
  <c r="E82" i="2"/>
  <c r="G81" i="2"/>
  <c r="I81" i="2" s="1"/>
  <c r="G80" i="2"/>
  <c r="I80" i="2" s="1"/>
  <c r="G79" i="2"/>
  <c r="I79" i="2" s="1"/>
  <c r="G78" i="2"/>
  <c r="I78" i="2" s="1"/>
  <c r="G77" i="2"/>
  <c r="I77" i="2" s="1"/>
  <c r="G76" i="2"/>
  <c r="I76" i="2" s="1"/>
  <c r="G75" i="2"/>
  <c r="I75" i="2" s="1"/>
  <c r="G74" i="2"/>
  <c r="I74" i="2" s="1"/>
  <c r="G73" i="2"/>
  <c r="I73" i="2" s="1"/>
  <c r="G72" i="2"/>
  <c r="I72" i="2" s="1"/>
  <c r="G71" i="2"/>
  <c r="I71" i="2" s="1"/>
  <c r="G70" i="2"/>
  <c r="I70" i="2" s="1"/>
  <c r="G69" i="2"/>
  <c r="I69" i="2" s="1"/>
  <c r="G68" i="2"/>
  <c r="I68" i="2" s="1"/>
  <c r="G67" i="2"/>
  <c r="I67" i="2" s="1"/>
  <c r="G66" i="2"/>
  <c r="I66" i="2" s="1"/>
  <c r="G65" i="2"/>
  <c r="I65" i="2" s="1"/>
  <c r="G64" i="2"/>
  <c r="I64" i="2" s="1"/>
  <c r="G63" i="2"/>
  <c r="I63" i="2" s="1"/>
  <c r="G62" i="2"/>
  <c r="I62" i="2" s="1"/>
  <c r="G61" i="2"/>
  <c r="I61" i="2" s="1"/>
  <c r="G60" i="2"/>
  <c r="I60" i="2" s="1"/>
  <c r="G59" i="2"/>
  <c r="F54" i="2"/>
  <c r="E54" i="2"/>
  <c r="G53" i="2"/>
  <c r="I53" i="2" s="1"/>
  <c r="G52" i="2"/>
  <c r="I52" i="2" s="1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F26" i="2"/>
  <c r="E26" i="2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  <c r="G3" i="2"/>
  <c r="F278" i="1"/>
  <c r="E278" i="1"/>
  <c r="D278" i="1"/>
  <c r="C278" i="1"/>
  <c r="G277" i="1"/>
  <c r="I277" i="1" s="1"/>
  <c r="G276" i="1"/>
  <c r="I276" i="1" s="1"/>
  <c r="G275" i="1"/>
  <c r="I275" i="1" s="1"/>
  <c r="G274" i="1"/>
  <c r="I274" i="1" s="1"/>
  <c r="G273" i="1"/>
  <c r="I273" i="1" s="1"/>
  <c r="G272" i="1"/>
  <c r="I272" i="1" s="1"/>
  <c r="G271" i="1"/>
  <c r="I271" i="1" s="1"/>
  <c r="G270" i="1"/>
  <c r="I270" i="1" s="1"/>
  <c r="G269" i="1"/>
  <c r="I269" i="1" s="1"/>
  <c r="G268" i="1"/>
  <c r="I268" i="1" s="1"/>
  <c r="G267" i="1"/>
  <c r="I267" i="1" s="1"/>
  <c r="G266" i="1"/>
  <c r="I266" i="1" s="1"/>
  <c r="G265" i="1"/>
  <c r="I265" i="1" s="1"/>
  <c r="G264" i="1"/>
  <c r="I264" i="1" s="1"/>
  <c r="G263" i="1"/>
  <c r="I263" i="1" s="1"/>
  <c r="G262" i="1"/>
  <c r="I262" i="1" s="1"/>
  <c r="G261" i="1"/>
  <c r="I261" i="1" s="1"/>
  <c r="G260" i="1"/>
  <c r="I260" i="1" s="1"/>
  <c r="G259" i="1"/>
  <c r="I259" i="1" s="1"/>
  <c r="G258" i="1"/>
  <c r="I258" i="1" s="1"/>
  <c r="G257" i="1"/>
  <c r="I257" i="1" s="1"/>
  <c r="G256" i="1"/>
  <c r="I256" i="1" s="1"/>
  <c r="G255" i="1"/>
  <c r="F250" i="1"/>
  <c r="E250" i="1"/>
  <c r="D250" i="1"/>
  <c r="C250" i="1"/>
  <c r="G249" i="1"/>
  <c r="I249" i="1" s="1"/>
  <c r="G248" i="1"/>
  <c r="I247" i="1"/>
  <c r="G247" i="1"/>
  <c r="G246" i="1"/>
  <c r="I246" i="1" s="1"/>
  <c r="G245" i="1"/>
  <c r="I245" i="1" s="1"/>
  <c r="G244" i="1"/>
  <c r="I244" i="1" s="1"/>
  <c r="G243" i="1"/>
  <c r="I243" i="1" s="1"/>
  <c r="G242" i="1"/>
  <c r="I242" i="1" s="1"/>
  <c r="G241" i="1"/>
  <c r="I241" i="1" s="1"/>
  <c r="G240" i="1"/>
  <c r="I240" i="1" s="1"/>
  <c r="G239" i="1"/>
  <c r="I239" i="1" s="1"/>
  <c r="G238" i="1"/>
  <c r="I238" i="1" s="1"/>
  <c r="G237" i="1"/>
  <c r="I237" i="1" s="1"/>
  <c r="G236" i="1"/>
  <c r="I236" i="1" s="1"/>
  <c r="G235" i="1"/>
  <c r="I235" i="1" s="1"/>
  <c r="G234" i="1"/>
  <c r="I234" i="1" s="1"/>
  <c r="G233" i="1"/>
  <c r="I233" i="1" s="1"/>
  <c r="G232" i="1"/>
  <c r="I232" i="1" s="1"/>
  <c r="G231" i="1"/>
  <c r="I231" i="1" s="1"/>
  <c r="G230" i="1"/>
  <c r="I230" i="1" s="1"/>
  <c r="G229" i="1"/>
  <c r="I229" i="1" s="1"/>
  <c r="G228" i="1"/>
  <c r="I228" i="1" s="1"/>
  <c r="G227" i="1"/>
  <c r="I227" i="1" s="1"/>
  <c r="F222" i="1"/>
  <c r="E222" i="1"/>
  <c r="D222" i="1"/>
  <c r="C222" i="1"/>
  <c r="G221" i="1"/>
  <c r="I221" i="1" s="1"/>
  <c r="G220" i="1"/>
  <c r="I220" i="1" s="1"/>
  <c r="G219" i="1"/>
  <c r="I219" i="1" s="1"/>
  <c r="G218" i="1"/>
  <c r="I218" i="1" s="1"/>
  <c r="G217" i="1"/>
  <c r="I217" i="1" s="1"/>
  <c r="G216" i="1"/>
  <c r="I216" i="1" s="1"/>
  <c r="G215" i="1"/>
  <c r="I215" i="1" s="1"/>
  <c r="G214" i="1"/>
  <c r="I214" i="1" s="1"/>
  <c r="G213" i="1"/>
  <c r="I213" i="1" s="1"/>
  <c r="G212" i="1"/>
  <c r="I212" i="1" s="1"/>
  <c r="G211" i="1"/>
  <c r="I211" i="1" s="1"/>
  <c r="G210" i="1"/>
  <c r="I210" i="1" s="1"/>
  <c r="G209" i="1"/>
  <c r="I209" i="1" s="1"/>
  <c r="G208" i="1"/>
  <c r="I208" i="1" s="1"/>
  <c r="G207" i="1"/>
  <c r="I207" i="1" s="1"/>
  <c r="G206" i="1"/>
  <c r="I206" i="1" s="1"/>
  <c r="G205" i="1"/>
  <c r="I205" i="1" s="1"/>
  <c r="G204" i="1"/>
  <c r="I204" i="1" s="1"/>
  <c r="G203" i="1"/>
  <c r="I203" i="1" s="1"/>
  <c r="G202" i="1"/>
  <c r="I202" i="1" s="1"/>
  <c r="G201" i="1"/>
  <c r="I201" i="1" s="1"/>
  <c r="G200" i="1"/>
  <c r="I200" i="1" s="1"/>
  <c r="G199" i="1"/>
  <c r="F194" i="1"/>
  <c r="E194" i="1"/>
  <c r="D194" i="1"/>
  <c r="C194" i="1"/>
  <c r="G193" i="1"/>
  <c r="I193" i="1" s="1"/>
  <c r="G192" i="1"/>
  <c r="I192" i="1" s="1"/>
  <c r="G191" i="1"/>
  <c r="I191" i="1" s="1"/>
  <c r="G190" i="1"/>
  <c r="I190" i="1" s="1"/>
  <c r="G189" i="1"/>
  <c r="I189" i="1" s="1"/>
  <c r="G188" i="1"/>
  <c r="I188" i="1" s="1"/>
  <c r="G187" i="1"/>
  <c r="I187" i="1" s="1"/>
  <c r="G186" i="1"/>
  <c r="I186" i="1" s="1"/>
  <c r="G185" i="1"/>
  <c r="I185" i="1" s="1"/>
  <c r="G184" i="1"/>
  <c r="I184" i="1" s="1"/>
  <c r="G183" i="1"/>
  <c r="I183" i="1" s="1"/>
  <c r="G182" i="1"/>
  <c r="I182" i="1" s="1"/>
  <c r="G181" i="1"/>
  <c r="I181" i="1" s="1"/>
  <c r="G180" i="1"/>
  <c r="I180" i="1" s="1"/>
  <c r="G179" i="1"/>
  <c r="I179" i="1" s="1"/>
  <c r="G178" i="1"/>
  <c r="I178" i="1" s="1"/>
  <c r="G177" i="1"/>
  <c r="I177" i="1" s="1"/>
  <c r="G176" i="1"/>
  <c r="I176" i="1" s="1"/>
  <c r="G175" i="1"/>
  <c r="I175" i="1" s="1"/>
  <c r="G174" i="1"/>
  <c r="I174" i="1" s="1"/>
  <c r="G173" i="1"/>
  <c r="I173" i="1" s="1"/>
  <c r="G172" i="1"/>
  <c r="I172" i="1" s="1"/>
  <c r="G171" i="1"/>
  <c r="F166" i="1"/>
  <c r="E166" i="1"/>
  <c r="D166" i="1"/>
  <c r="C166" i="1"/>
  <c r="G165" i="1"/>
  <c r="I165" i="1" s="1"/>
  <c r="G164" i="1"/>
  <c r="I164" i="1" s="1"/>
  <c r="G163" i="1"/>
  <c r="I163" i="1" s="1"/>
  <c r="G162" i="1"/>
  <c r="I162" i="1" s="1"/>
  <c r="G161" i="1"/>
  <c r="I161" i="1" s="1"/>
  <c r="G160" i="1"/>
  <c r="I160" i="1" s="1"/>
  <c r="G159" i="1"/>
  <c r="I159" i="1" s="1"/>
  <c r="G158" i="1"/>
  <c r="I158" i="1" s="1"/>
  <c r="G157" i="1"/>
  <c r="I157" i="1" s="1"/>
  <c r="G156" i="1"/>
  <c r="I156" i="1" s="1"/>
  <c r="G155" i="1"/>
  <c r="I155" i="1" s="1"/>
  <c r="G154" i="1"/>
  <c r="I154" i="1" s="1"/>
  <c r="G153" i="1"/>
  <c r="I153" i="1" s="1"/>
  <c r="G152" i="1"/>
  <c r="I152" i="1" s="1"/>
  <c r="G151" i="1"/>
  <c r="I151" i="1" s="1"/>
  <c r="G150" i="1"/>
  <c r="I150" i="1" s="1"/>
  <c r="G149" i="1"/>
  <c r="I149" i="1" s="1"/>
  <c r="G148" i="1"/>
  <c r="I148" i="1" s="1"/>
  <c r="G147" i="1"/>
  <c r="I147" i="1" s="1"/>
  <c r="G146" i="1"/>
  <c r="I146" i="1" s="1"/>
  <c r="G145" i="1"/>
  <c r="I145" i="1" s="1"/>
  <c r="G144" i="1"/>
  <c r="I144" i="1" s="1"/>
  <c r="G143" i="1"/>
  <c r="F138" i="1"/>
  <c r="E138" i="1"/>
  <c r="D138" i="1"/>
  <c r="C138" i="1"/>
  <c r="G137" i="1"/>
  <c r="I137" i="1" s="1"/>
  <c r="G136" i="1"/>
  <c r="I136" i="1" s="1"/>
  <c r="G135" i="1"/>
  <c r="I135" i="1" s="1"/>
  <c r="G134" i="1"/>
  <c r="I134" i="1" s="1"/>
  <c r="G133" i="1"/>
  <c r="I133" i="1" s="1"/>
  <c r="G132" i="1"/>
  <c r="I132" i="1" s="1"/>
  <c r="G131" i="1"/>
  <c r="I131" i="1" s="1"/>
  <c r="G130" i="1"/>
  <c r="I130" i="1" s="1"/>
  <c r="G129" i="1"/>
  <c r="I129" i="1" s="1"/>
  <c r="G128" i="1"/>
  <c r="I128" i="1" s="1"/>
  <c r="G127" i="1"/>
  <c r="I127" i="1" s="1"/>
  <c r="G126" i="1"/>
  <c r="I126" i="1" s="1"/>
  <c r="G125" i="1"/>
  <c r="I125" i="1" s="1"/>
  <c r="G124" i="1"/>
  <c r="I124" i="1" s="1"/>
  <c r="G123" i="1"/>
  <c r="I123" i="1" s="1"/>
  <c r="G122" i="1"/>
  <c r="I122" i="1" s="1"/>
  <c r="G121" i="1"/>
  <c r="I121" i="1" s="1"/>
  <c r="G120" i="1"/>
  <c r="I120" i="1" s="1"/>
  <c r="G119" i="1"/>
  <c r="I119" i="1" s="1"/>
  <c r="G118" i="1"/>
  <c r="I118" i="1" s="1"/>
  <c r="G117" i="1"/>
  <c r="I117" i="1" s="1"/>
  <c r="G116" i="1"/>
  <c r="I116" i="1" s="1"/>
  <c r="G115" i="1"/>
  <c r="F110" i="1"/>
  <c r="E110" i="1"/>
  <c r="D110" i="1"/>
  <c r="C110" i="1"/>
  <c r="G109" i="1"/>
  <c r="I109" i="1" s="1"/>
  <c r="G108" i="1"/>
  <c r="I108" i="1" s="1"/>
  <c r="G107" i="1"/>
  <c r="I107" i="1" s="1"/>
  <c r="G106" i="1"/>
  <c r="I106" i="1" s="1"/>
  <c r="G105" i="1"/>
  <c r="I105" i="1" s="1"/>
  <c r="G104" i="1"/>
  <c r="I104" i="1" s="1"/>
  <c r="G103" i="1"/>
  <c r="I103" i="1" s="1"/>
  <c r="G102" i="1"/>
  <c r="I102" i="1" s="1"/>
  <c r="G101" i="1"/>
  <c r="I101" i="1" s="1"/>
  <c r="G100" i="1"/>
  <c r="I100" i="1" s="1"/>
  <c r="G99" i="1"/>
  <c r="I99" i="1" s="1"/>
  <c r="G98" i="1"/>
  <c r="I98" i="1" s="1"/>
  <c r="G97" i="1"/>
  <c r="I97" i="1" s="1"/>
  <c r="G96" i="1"/>
  <c r="I96" i="1" s="1"/>
  <c r="G95" i="1"/>
  <c r="I95" i="1" s="1"/>
  <c r="G94" i="1"/>
  <c r="I94" i="1" s="1"/>
  <c r="G93" i="1"/>
  <c r="I93" i="1" s="1"/>
  <c r="G92" i="1"/>
  <c r="I92" i="1" s="1"/>
  <c r="G91" i="1"/>
  <c r="I91" i="1" s="1"/>
  <c r="G90" i="1"/>
  <c r="I90" i="1" s="1"/>
  <c r="G89" i="1"/>
  <c r="I89" i="1" s="1"/>
  <c r="G88" i="1"/>
  <c r="I88" i="1" s="1"/>
  <c r="G87" i="1"/>
  <c r="F82" i="1"/>
  <c r="E82" i="1"/>
  <c r="D82" i="1"/>
  <c r="C82" i="1"/>
  <c r="G81" i="1"/>
  <c r="I81" i="1" s="1"/>
  <c r="G80" i="1"/>
  <c r="I80" i="1" s="1"/>
  <c r="G79" i="1"/>
  <c r="I79" i="1" s="1"/>
  <c r="G78" i="1"/>
  <c r="I78" i="1" s="1"/>
  <c r="G77" i="1"/>
  <c r="I77" i="1" s="1"/>
  <c r="G76" i="1"/>
  <c r="I76" i="1" s="1"/>
  <c r="G75" i="1"/>
  <c r="I75" i="1" s="1"/>
  <c r="G74" i="1"/>
  <c r="I74" i="1" s="1"/>
  <c r="G73" i="1"/>
  <c r="I73" i="1" s="1"/>
  <c r="G72" i="1"/>
  <c r="I72" i="1" s="1"/>
  <c r="G71" i="1"/>
  <c r="I71" i="1" s="1"/>
  <c r="G70" i="1"/>
  <c r="I70" i="1" s="1"/>
  <c r="G69" i="1"/>
  <c r="I69" i="1" s="1"/>
  <c r="G68" i="1"/>
  <c r="I68" i="1" s="1"/>
  <c r="G67" i="1"/>
  <c r="I67" i="1" s="1"/>
  <c r="G66" i="1"/>
  <c r="I66" i="1" s="1"/>
  <c r="G65" i="1"/>
  <c r="I65" i="1" s="1"/>
  <c r="G64" i="1"/>
  <c r="I64" i="1" s="1"/>
  <c r="G63" i="1"/>
  <c r="I63" i="1" s="1"/>
  <c r="G62" i="1"/>
  <c r="I62" i="1" s="1"/>
  <c r="G61" i="1"/>
  <c r="I61" i="1" s="1"/>
  <c r="G60" i="1"/>
  <c r="I60" i="1" s="1"/>
  <c r="G59" i="1"/>
  <c r="F54" i="1"/>
  <c r="E54" i="1"/>
  <c r="D54" i="1"/>
  <c r="C54" i="1"/>
  <c r="G53" i="1"/>
  <c r="I53" i="1" s="1"/>
  <c r="G52" i="1"/>
  <c r="I52" i="1" s="1"/>
  <c r="G51" i="1"/>
  <c r="I51" i="1" s="1"/>
  <c r="G50" i="1"/>
  <c r="I50" i="1" s="1"/>
  <c r="G49" i="1"/>
  <c r="I49" i="1" s="1"/>
  <c r="G48" i="1"/>
  <c r="I48" i="1" s="1"/>
  <c r="G47" i="1"/>
  <c r="I47" i="1" s="1"/>
  <c r="G46" i="1"/>
  <c r="I46" i="1" s="1"/>
  <c r="G45" i="1"/>
  <c r="I45" i="1" s="1"/>
  <c r="G44" i="1"/>
  <c r="I44" i="1" s="1"/>
  <c r="G43" i="1"/>
  <c r="I43" i="1" s="1"/>
  <c r="G42" i="1"/>
  <c r="I42" i="1" s="1"/>
  <c r="G41" i="1"/>
  <c r="I41" i="1" s="1"/>
  <c r="G40" i="1"/>
  <c r="I40" i="1" s="1"/>
  <c r="G39" i="1"/>
  <c r="I39" i="1" s="1"/>
  <c r="G38" i="1"/>
  <c r="I38" i="1" s="1"/>
  <c r="G37" i="1"/>
  <c r="I37" i="1" s="1"/>
  <c r="G36" i="1"/>
  <c r="I36" i="1" s="1"/>
  <c r="G35" i="1"/>
  <c r="I35" i="1" s="1"/>
  <c r="G34" i="1"/>
  <c r="I34" i="1" s="1"/>
  <c r="G33" i="1"/>
  <c r="I33" i="1" s="1"/>
  <c r="G32" i="1"/>
  <c r="I32" i="1" s="1"/>
  <c r="G31" i="1"/>
  <c r="H4" i="1" l="1"/>
  <c r="I4" i="1"/>
  <c r="I7" i="1"/>
  <c r="H7" i="1"/>
  <c r="H9" i="1"/>
  <c r="I9" i="1"/>
  <c r="I16" i="1"/>
  <c r="H16" i="1"/>
  <c r="I18" i="1"/>
  <c r="H18" i="1"/>
  <c r="H24" i="1"/>
  <c r="I24" i="1"/>
  <c r="H5" i="1"/>
  <c r="H26" i="1" s="1"/>
  <c r="I5" i="1"/>
  <c r="I26" i="1" s="1"/>
  <c r="I462" i="5"/>
  <c r="G483" i="5"/>
  <c r="I435" i="5"/>
  <c r="G456" i="5"/>
  <c r="I408" i="5"/>
  <c r="G429" i="5"/>
  <c r="I396" i="5"/>
  <c r="G402" i="5"/>
  <c r="I402" i="5"/>
  <c r="I404" i="5"/>
  <c r="I354" i="5"/>
  <c r="G375" i="5"/>
  <c r="I327" i="5"/>
  <c r="G348" i="5"/>
  <c r="I300" i="5"/>
  <c r="G321" i="5"/>
  <c r="G294" i="5"/>
  <c r="I273" i="5"/>
  <c r="G267" i="5"/>
  <c r="I265" i="5"/>
  <c r="I269" i="5"/>
  <c r="I267" i="5"/>
  <c r="I219" i="5"/>
  <c r="G240" i="5"/>
  <c r="I192" i="5"/>
  <c r="G213" i="5"/>
  <c r="G186" i="5"/>
  <c r="I165" i="5"/>
  <c r="G159" i="5"/>
  <c r="I138" i="5"/>
  <c r="G132" i="5"/>
  <c r="I111" i="5"/>
  <c r="I84" i="5"/>
  <c r="G105" i="5"/>
  <c r="I57" i="5"/>
  <c r="G78" i="5"/>
  <c r="I30" i="5"/>
  <c r="G51" i="5"/>
  <c r="H23" i="5"/>
  <c r="B50" i="5" s="1"/>
  <c r="H50" i="5" s="1"/>
  <c r="B77" i="5" s="1"/>
  <c r="H77" i="5" s="1"/>
  <c r="B104" i="5" s="1"/>
  <c r="H104" i="5" s="1"/>
  <c r="B131" i="5" s="1"/>
  <c r="H131" i="5" s="1"/>
  <c r="B158" i="5" s="1"/>
  <c r="H158" i="5" s="1"/>
  <c r="B185" i="5" s="1"/>
  <c r="H185" i="5" s="1"/>
  <c r="B212" i="5" s="1"/>
  <c r="H212" i="5" s="1"/>
  <c r="B239" i="5" s="1"/>
  <c r="H239" i="5" s="1"/>
  <c r="B266" i="5" s="1"/>
  <c r="H266" i="5" s="1"/>
  <c r="B293" i="5" s="1"/>
  <c r="H293" i="5" s="1"/>
  <c r="B320" i="5" s="1"/>
  <c r="H320" i="5" s="1"/>
  <c r="B347" i="5" s="1"/>
  <c r="H347" i="5" s="1"/>
  <c r="B374" i="5" s="1"/>
  <c r="H374" i="5" s="1"/>
  <c r="B401" i="5" s="1"/>
  <c r="H401" i="5" s="1"/>
  <c r="B428" i="5" s="1"/>
  <c r="H428" i="5" s="1"/>
  <c r="B455" i="5" s="1"/>
  <c r="H455" i="5" s="1"/>
  <c r="B482" i="5" s="1"/>
  <c r="H482" i="5" s="1"/>
  <c r="I23" i="5"/>
  <c r="H22" i="5"/>
  <c r="B49" i="5" s="1"/>
  <c r="H49" i="5" s="1"/>
  <c r="B76" i="5" s="1"/>
  <c r="H76" i="5" s="1"/>
  <c r="B103" i="5" s="1"/>
  <c r="H103" i="5" s="1"/>
  <c r="B130" i="5" s="1"/>
  <c r="H130" i="5" s="1"/>
  <c r="B157" i="5" s="1"/>
  <c r="H157" i="5" s="1"/>
  <c r="B184" i="5" s="1"/>
  <c r="H184" i="5" s="1"/>
  <c r="B211" i="5" s="1"/>
  <c r="H211" i="5" s="1"/>
  <c r="B238" i="5" s="1"/>
  <c r="H238" i="5" s="1"/>
  <c r="B265" i="5" s="1"/>
  <c r="H265" i="5" s="1"/>
  <c r="B292" i="5" s="1"/>
  <c r="H292" i="5" s="1"/>
  <c r="B319" i="5" s="1"/>
  <c r="H319" i="5" s="1"/>
  <c r="B346" i="5" s="1"/>
  <c r="H346" i="5" s="1"/>
  <c r="B373" i="5" s="1"/>
  <c r="H373" i="5" s="1"/>
  <c r="B400" i="5" s="1"/>
  <c r="H400" i="5" s="1"/>
  <c r="B427" i="5" s="1"/>
  <c r="H427" i="5" s="1"/>
  <c r="B454" i="5" s="1"/>
  <c r="H454" i="5" s="1"/>
  <c r="B481" i="5" s="1"/>
  <c r="H481" i="5" s="1"/>
  <c r="I22" i="5"/>
  <c r="H21" i="5"/>
  <c r="B48" i="5" s="1"/>
  <c r="H48" i="5" s="1"/>
  <c r="B75" i="5" s="1"/>
  <c r="H75" i="5" s="1"/>
  <c r="B102" i="5" s="1"/>
  <c r="H102" i="5" s="1"/>
  <c r="B129" i="5" s="1"/>
  <c r="H129" i="5" s="1"/>
  <c r="B156" i="5" s="1"/>
  <c r="H156" i="5" s="1"/>
  <c r="B183" i="5" s="1"/>
  <c r="H183" i="5" s="1"/>
  <c r="B210" i="5" s="1"/>
  <c r="H210" i="5" s="1"/>
  <c r="B237" i="5" s="1"/>
  <c r="H237" i="5" s="1"/>
  <c r="B264" i="5" s="1"/>
  <c r="H264" i="5" s="1"/>
  <c r="B291" i="5" s="1"/>
  <c r="H291" i="5" s="1"/>
  <c r="B318" i="5" s="1"/>
  <c r="H318" i="5" s="1"/>
  <c r="B345" i="5" s="1"/>
  <c r="H345" i="5" s="1"/>
  <c r="B372" i="5" s="1"/>
  <c r="H372" i="5" s="1"/>
  <c r="B399" i="5" s="1"/>
  <c r="H399" i="5" s="1"/>
  <c r="B426" i="5" s="1"/>
  <c r="H426" i="5" s="1"/>
  <c r="B453" i="5" s="1"/>
  <c r="H453" i="5" s="1"/>
  <c r="B480" i="5" s="1"/>
  <c r="H480" i="5" s="1"/>
  <c r="I21" i="5"/>
  <c r="H20" i="5"/>
  <c r="B47" i="5" s="1"/>
  <c r="H47" i="5" s="1"/>
  <c r="B74" i="5" s="1"/>
  <c r="H74" i="5" s="1"/>
  <c r="B101" i="5" s="1"/>
  <c r="H101" i="5" s="1"/>
  <c r="B128" i="5" s="1"/>
  <c r="H128" i="5" s="1"/>
  <c r="B155" i="5" s="1"/>
  <c r="H155" i="5" s="1"/>
  <c r="B182" i="5" s="1"/>
  <c r="H182" i="5" s="1"/>
  <c r="B209" i="5" s="1"/>
  <c r="H209" i="5" s="1"/>
  <c r="B236" i="5" s="1"/>
  <c r="H236" i="5" s="1"/>
  <c r="B263" i="5" s="1"/>
  <c r="H263" i="5" s="1"/>
  <c r="B290" i="5" s="1"/>
  <c r="H290" i="5" s="1"/>
  <c r="B317" i="5" s="1"/>
  <c r="H317" i="5" s="1"/>
  <c r="B344" i="5" s="1"/>
  <c r="H344" i="5" s="1"/>
  <c r="B371" i="5" s="1"/>
  <c r="H371" i="5" s="1"/>
  <c r="B398" i="5" s="1"/>
  <c r="H398" i="5" s="1"/>
  <c r="B425" i="5" s="1"/>
  <c r="H425" i="5" s="1"/>
  <c r="B452" i="5" s="1"/>
  <c r="H452" i="5" s="1"/>
  <c r="B479" i="5" s="1"/>
  <c r="H479" i="5" s="1"/>
  <c r="I20" i="5"/>
  <c r="I19" i="5"/>
  <c r="H19" i="5"/>
  <c r="B46" i="5" s="1"/>
  <c r="H46" i="5" s="1"/>
  <c r="B73" i="5" s="1"/>
  <c r="H73" i="5" s="1"/>
  <c r="B100" i="5" s="1"/>
  <c r="H100" i="5" s="1"/>
  <c r="B127" i="5" s="1"/>
  <c r="H127" i="5" s="1"/>
  <c r="B154" i="5" s="1"/>
  <c r="H154" i="5" s="1"/>
  <c r="B181" i="5" s="1"/>
  <c r="H181" i="5" s="1"/>
  <c r="B208" i="5" s="1"/>
  <c r="H208" i="5" s="1"/>
  <c r="B235" i="5" s="1"/>
  <c r="H235" i="5" s="1"/>
  <c r="B262" i="5" s="1"/>
  <c r="H262" i="5" s="1"/>
  <c r="B289" i="5" s="1"/>
  <c r="H289" i="5" s="1"/>
  <c r="B316" i="5" s="1"/>
  <c r="H316" i="5" s="1"/>
  <c r="B343" i="5" s="1"/>
  <c r="H343" i="5" s="1"/>
  <c r="B370" i="5" s="1"/>
  <c r="H370" i="5" s="1"/>
  <c r="B397" i="5" s="1"/>
  <c r="H397" i="5" s="1"/>
  <c r="B424" i="5" s="1"/>
  <c r="H424" i="5" s="1"/>
  <c r="B451" i="5" s="1"/>
  <c r="H451" i="5" s="1"/>
  <c r="B478" i="5" s="1"/>
  <c r="H478" i="5" s="1"/>
  <c r="I18" i="5"/>
  <c r="H18" i="5"/>
  <c r="B45" i="5" s="1"/>
  <c r="H45" i="5" s="1"/>
  <c r="B72" i="5" s="1"/>
  <c r="H72" i="5" s="1"/>
  <c r="B99" i="5" s="1"/>
  <c r="H99" i="5" s="1"/>
  <c r="B126" i="5" s="1"/>
  <c r="H126" i="5" s="1"/>
  <c r="B153" i="5" s="1"/>
  <c r="H153" i="5" s="1"/>
  <c r="B180" i="5" s="1"/>
  <c r="H180" i="5" s="1"/>
  <c r="B207" i="5" s="1"/>
  <c r="H207" i="5" s="1"/>
  <c r="B234" i="5" s="1"/>
  <c r="H234" i="5" s="1"/>
  <c r="B261" i="5" s="1"/>
  <c r="H261" i="5" s="1"/>
  <c r="B288" i="5" s="1"/>
  <c r="H288" i="5" s="1"/>
  <c r="B315" i="5" s="1"/>
  <c r="H315" i="5" s="1"/>
  <c r="B342" i="5" s="1"/>
  <c r="H342" i="5" s="1"/>
  <c r="B369" i="5" s="1"/>
  <c r="H369" i="5" s="1"/>
  <c r="B396" i="5" s="1"/>
  <c r="H396" i="5" s="1"/>
  <c r="B423" i="5" s="1"/>
  <c r="H423" i="5" s="1"/>
  <c r="B450" i="5" s="1"/>
  <c r="H450" i="5" s="1"/>
  <c r="B477" i="5" s="1"/>
  <c r="H477" i="5" s="1"/>
  <c r="I17" i="5"/>
  <c r="H17" i="5"/>
  <c r="B44" i="5" s="1"/>
  <c r="H44" i="5" s="1"/>
  <c r="B71" i="5" s="1"/>
  <c r="H71" i="5" s="1"/>
  <c r="B98" i="5" s="1"/>
  <c r="H98" i="5" s="1"/>
  <c r="B125" i="5" s="1"/>
  <c r="H125" i="5" s="1"/>
  <c r="B152" i="5" s="1"/>
  <c r="H152" i="5" s="1"/>
  <c r="B179" i="5" s="1"/>
  <c r="H179" i="5" s="1"/>
  <c r="B206" i="5" s="1"/>
  <c r="H206" i="5" s="1"/>
  <c r="B233" i="5" s="1"/>
  <c r="H233" i="5" s="1"/>
  <c r="B260" i="5" s="1"/>
  <c r="H260" i="5" s="1"/>
  <c r="B287" i="5" s="1"/>
  <c r="H287" i="5" s="1"/>
  <c r="B314" i="5" s="1"/>
  <c r="H314" i="5" s="1"/>
  <c r="B341" i="5" s="1"/>
  <c r="H341" i="5" s="1"/>
  <c r="B368" i="5" s="1"/>
  <c r="H368" i="5" s="1"/>
  <c r="B395" i="5" s="1"/>
  <c r="H395" i="5" s="1"/>
  <c r="B422" i="5" s="1"/>
  <c r="H422" i="5" s="1"/>
  <c r="B449" i="5" s="1"/>
  <c r="H449" i="5" s="1"/>
  <c r="B476" i="5" s="1"/>
  <c r="H476" i="5" s="1"/>
  <c r="H16" i="5"/>
  <c r="B43" i="5" s="1"/>
  <c r="H43" i="5" s="1"/>
  <c r="B70" i="5" s="1"/>
  <c r="H70" i="5" s="1"/>
  <c r="B97" i="5" s="1"/>
  <c r="H97" i="5" s="1"/>
  <c r="B124" i="5" s="1"/>
  <c r="H124" i="5" s="1"/>
  <c r="B151" i="5" s="1"/>
  <c r="H151" i="5" s="1"/>
  <c r="B178" i="5" s="1"/>
  <c r="H178" i="5" s="1"/>
  <c r="B205" i="5" s="1"/>
  <c r="H205" i="5" s="1"/>
  <c r="B232" i="5" s="1"/>
  <c r="H232" i="5" s="1"/>
  <c r="B259" i="5" s="1"/>
  <c r="H259" i="5" s="1"/>
  <c r="B286" i="5" s="1"/>
  <c r="H286" i="5" s="1"/>
  <c r="B313" i="5" s="1"/>
  <c r="H313" i="5" s="1"/>
  <c r="B340" i="5" s="1"/>
  <c r="H340" i="5" s="1"/>
  <c r="B367" i="5" s="1"/>
  <c r="H367" i="5" s="1"/>
  <c r="B394" i="5" s="1"/>
  <c r="H394" i="5" s="1"/>
  <c r="B421" i="5" s="1"/>
  <c r="H421" i="5" s="1"/>
  <c r="B448" i="5" s="1"/>
  <c r="H448" i="5" s="1"/>
  <c r="B475" i="5" s="1"/>
  <c r="H475" i="5" s="1"/>
  <c r="I16" i="5"/>
  <c r="I13" i="5"/>
  <c r="H14" i="5"/>
  <c r="B41" i="5" s="1"/>
  <c r="H41" i="5" s="1"/>
  <c r="B68" i="5" s="1"/>
  <c r="H68" i="5" s="1"/>
  <c r="B95" i="5" s="1"/>
  <c r="H95" i="5" s="1"/>
  <c r="B122" i="5" s="1"/>
  <c r="H122" i="5" s="1"/>
  <c r="B149" i="5" s="1"/>
  <c r="H149" i="5" s="1"/>
  <c r="B176" i="5" s="1"/>
  <c r="H176" i="5" s="1"/>
  <c r="B203" i="5" s="1"/>
  <c r="H203" i="5" s="1"/>
  <c r="B230" i="5" s="1"/>
  <c r="H230" i="5" s="1"/>
  <c r="B257" i="5" s="1"/>
  <c r="H257" i="5" s="1"/>
  <c r="B284" i="5" s="1"/>
  <c r="H284" i="5" s="1"/>
  <c r="B311" i="5" s="1"/>
  <c r="H311" i="5" s="1"/>
  <c r="B338" i="5" s="1"/>
  <c r="H338" i="5" s="1"/>
  <c r="B365" i="5" s="1"/>
  <c r="H365" i="5" s="1"/>
  <c r="B392" i="5" s="1"/>
  <c r="H392" i="5" s="1"/>
  <c r="B419" i="5" s="1"/>
  <c r="H419" i="5" s="1"/>
  <c r="B446" i="5" s="1"/>
  <c r="H446" i="5" s="1"/>
  <c r="B473" i="5" s="1"/>
  <c r="H473" i="5" s="1"/>
  <c r="H12" i="5"/>
  <c r="B39" i="5" s="1"/>
  <c r="H39" i="5" s="1"/>
  <c r="B66" i="5" s="1"/>
  <c r="H66" i="5" s="1"/>
  <c r="B93" i="5" s="1"/>
  <c r="H93" i="5" s="1"/>
  <c r="B120" i="5" s="1"/>
  <c r="H120" i="5" s="1"/>
  <c r="B147" i="5" s="1"/>
  <c r="H147" i="5" s="1"/>
  <c r="B174" i="5" s="1"/>
  <c r="H174" i="5" s="1"/>
  <c r="B201" i="5" s="1"/>
  <c r="H201" i="5" s="1"/>
  <c r="B228" i="5" s="1"/>
  <c r="H228" i="5" s="1"/>
  <c r="B255" i="5" s="1"/>
  <c r="H255" i="5" s="1"/>
  <c r="B282" i="5" s="1"/>
  <c r="H282" i="5" s="1"/>
  <c r="B309" i="5" s="1"/>
  <c r="H309" i="5" s="1"/>
  <c r="B336" i="5" s="1"/>
  <c r="H336" i="5" s="1"/>
  <c r="B363" i="5" s="1"/>
  <c r="H363" i="5" s="1"/>
  <c r="B390" i="5" s="1"/>
  <c r="H390" i="5" s="1"/>
  <c r="B417" i="5" s="1"/>
  <c r="H417" i="5" s="1"/>
  <c r="B444" i="5" s="1"/>
  <c r="H444" i="5" s="1"/>
  <c r="B471" i="5" s="1"/>
  <c r="H471" i="5" s="1"/>
  <c r="I12" i="5"/>
  <c r="I11" i="5"/>
  <c r="H11" i="5"/>
  <c r="I10" i="5"/>
  <c r="H10" i="5"/>
  <c r="B37" i="5" s="1"/>
  <c r="H37" i="5" s="1"/>
  <c r="B64" i="5" s="1"/>
  <c r="H64" i="5" s="1"/>
  <c r="B91" i="5" s="1"/>
  <c r="H91" i="5" s="1"/>
  <c r="B118" i="5" s="1"/>
  <c r="H118" i="5" s="1"/>
  <c r="B145" i="5" s="1"/>
  <c r="H145" i="5" s="1"/>
  <c r="B172" i="5" s="1"/>
  <c r="H172" i="5" s="1"/>
  <c r="B199" i="5" s="1"/>
  <c r="H199" i="5" s="1"/>
  <c r="B226" i="5" s="1"/>
  <c r="H226" i="5" s="1"/>
  <c r="B253" i="5" s="1"/>
  <c r="H253" i="5" s="1"/>
  <c r="B280" i="5" s="1"/>
  <c r="H280" i="5" s="1"/>
  <c r="B307" i="5" s="1"/>
  <c r="H307" i="5" s="1"/>
  <c r="B334" i="5" s="1"/>
  <c r="H334" i="5" s="1"/>
  <c r="B361" i="5" s="1"/>
  <c r="H361" i="5" s="1"/>
  <c r="B388" i="5" s="1"/>
  <c r="H388" i="5" s="1"/>
  <c r="B415" i="5" s="1"/>
  <c r="H415" i="5" s="1"/>
  <c r="B442" i="5" s="1"/>
  <c r="H442" i="5" s="1"/>
  <c r="B469" i="5" s="1"/>
  <c r="H469" i="5" s="1"/>
  <c r="I8" i="5"/>
  <c r="H8" i="5"/>
  <c r="B35" i="5" s="1"/>
  <c r="H35" i="5" s="1"/>
  <c r="B62" i="5" s="1"/>
  <c r="H62" i="5" s="1"/>
  <c r="B89" i="5" s="1"/>
  <c r="H89" i="5" s="1"/>
  <c r="B116" i="5" s="1"/>
  <c r="H116" i="5" s="1"/>
  <c r="B143" i="5" s="1"/>
  <c r="H143" i="5" s="1"/>
  <c r="B170" i="5" s="1"/>
  <c r="H170" i="5" s="1"/>
  <c r="B197" i="5" s="1"/>
  <c r="H197" i="5" s="1"/>
  <c r="B224" i="5" s="1"/>
  <c r="H224" i="5" s="1"/>
  <c r="B251" i="5" s="1"/>
  <c r="H251" i="5" s="1"/>
  <c r="B278" i="5" s="1"/>
  <c r="H278" i="5" s="1"/>
  <c r="B305" i="5" s="1"/>
  <c r="H305" i="5" s="1"/>
  <c r="B332" i="5" s="1"/>
  <c r="H332" i="5" s="1"/>
  <c r="B359" i="5" s="1"/>
  <c r="H359" i="5" s="1"/>
  <c r="B386" i="5" s="1"/>
  <c r="H386" i="5" s="1"/>
  <c r="B413" i="5" s="1"/>
  <c r="H413" i="5" s="1"/>
  <c r="B440" i="5" s="1"/>
  <c r="H440" i="5" s="1"/>
  <c r="B467" i="5" s="1"/>
  <c r="H467" i="5" s="1"/>
  <c r="H7" i="5"/>
  <c r="B34" i="5" s="1"/>
  <c r="H34" i="5" s="1"/>
  <c r="B61" i="5" s="1"/>
  <c r="H61" i="5" s="1"/>
  <c r="B88" i="5" s="1"/>
  <c r="H88" i="5" s="1"/>
  <c r="B115" i="5" s="1"/>
  <c r="H115" i="5" s="1"/>
  <c r="B142" i="5" s="1"/>
  <c r="H142" i="5" s="1"/>
  <c r="B169" i="5" s="1"/>
  <c r="H169" i="5" s="1"/>
  <c r="B196" i="5" s="1"/>
  <c r="H196" i="5" s="1"/>
  <c r="B223" i="5" s="1"/>
  <c r="H223" i="5" s="1"/>
  <c r="B250" i="5" s="1"/>
  <c r="H250" i="5" s="1"/>
  <c r="B277" i="5" s="1"/>
  <c r="H277" i="5" s="1"/>
  <c r="B304" i="5" s="1"/>
  <c r="H304" i="5" s="1"/>
  <c r="B331" i="5" s="1"/>
  <c r="H331" i="5" s="1"/>
  <c r="B358" i="5" s="1"/>
  <c r="H358" i="5" s="1"/>
  <c r="B385" i="5" s="1"/>
  <c r="H385" i="5" s="1"/>
  <c r="B412" i="5" s="1"/>
  <c r="H412" i="5" s="1"/>
  <c r="B439" i="5" s="1"/>
  <c r="H439" i="5" s="1"/>
  <c r="B466" i="5" s="1"/>
  <c r="H466" i="5" s="1"/>
  <c r="I7" i="5"/>
  <c r="H6" i="5"/>
  <c r="B33" i="5" s="1"/>
  <c r="H33" i="5" s="1"/>
  <c r="B60" i="5" s="1"/>
  <c r="H60" i="5" s="1"/>
  <c r="B87" i="5" s="1"/>
  <c r="H87" i="5" s="1"/>
  <c r="B114" i="5" s="1"/>
  <c r="H114" i="5" s="1"/>
  <c r="B141" i="5" s="1"/>
  <c r="H141" i="5" s="1"/>
  <c r="B168" i="5" s="1"/>
  <c r="H168" i="5" s="1"/>
  <c r="B195" i="5" s="1"/>
  <c r="H195" i="5" s="1"/>
  <c r="B222" i="5" s="1"/>
  <c r="H222" i="5" s="1"/>
  <c r="B249" i="5" s="1"/>
  <c r="H249" i="5" s="1"/>
  <c r="B276" i="5" s="1"/>
  <c r="H276" i="5" s="1"/>
  <c r="B303" i="5" s="1"/>
  <c r="H303" i="5" s="1"/>
  <c r="B330" i="5" s="1"/>
  <c r="H330" i="5" s="1"/>
  <c r="B357" i="5" s="1"/>
  <c r="H357" i="5" s="1"/>
  <c r="B384" i="5" s="1"/>
  <c r="H384" i="5" s="1"/>
  <c r="B411" i="5" s="1"/>
  <c r="H411" i="5" s="1"/>
  <c r="B438" i="5" s="1"/>
  <c r="H438" i="5" s="1"/>
  <c r="B465" i="5" s="1"/>
  <c r="H465" i="5" s="1"/>
  <c r="I6" i="5"/>
  <c r="H5" i="5"/>
  <c r="B32" i="5" s="1"/>
  <c r="H32" i="5" s="1"/>
  <c r="B59" i="5" s="1"/>
  <c r="H59" i="5" s="1"/>
  <c r="B86" i="5" s="1"/>
  <c r="H86" i="5" s="1"/>
  <c r="B113" i="5" s="1"/>
  <c r="H113" i="5" s="1"/>
  <c r="B140" i="5" s="1"/>
  <c r="H140" i="5" s="1"/>
  <c r="B167" i="5" s="1"/>
  <c r="H167" i="5" s="1"/>
  <c r="B194" i="5" s="1"/>
  <c r="H194" i="5" s="1"/>
  <c r="B221" i="5" s="1"/>
  <c r="H221" i="5" s="1"/>
  <c r="B248" i="5" s="1"/>
  <c r="H248" i="5" s="1"/>
  <c r="B275" i="5" s="1"/>
  <c r="H275" i="5" s="1"/>
  <c r="B302" i="5" s="1"/>
  <c r="H302" i="5" s="1"/>
  <c r="B329" i="5" s="1"/>
  <c r="H329" i="5" s="1"/>
  <c r="B356" i="5" s="1"/>
  <c r="H356" i="5" s="1"/>
  <c r="B383" i="5" s="1"/>
  <c r="H383" i="5" s="1"/>
  <c r="B410" i="5" s="1"/>
  <c r="H410" i="5" s="1"/>
  <c r="B437" i="5" s="1"/>
  <c r="H437" i="5" s="1"/>
  <c r="B464" i="5" s="1"/>
  <c r="H464" i="5" s="1"/>
  <c r="I5" i="5"/>
  <c r="I4" i="5"/>
  <c r="H4" i="5"/>
  <c r="B31" i="5" s="1"/>
  <c r="H31" i="5" s="1"/>
  <c r="B58" i="5" s="1"/>
  <c r="H58" i="5" s="1"/>
  <c r="B85" i="5" s="1"/>
  <c r="H85" i="5" s="1"/>
  <c r="B112" i="5" s="1"/>
  <c r="H112" i="5" s="1"/>
  <c r="B139" i="5" s="1"/>
  <c r="H139" i="5" s="1"/>
  <c r="B30" i="5"/>
  <c r="G24" i="5"/>
  <c r="I3" i="5"/>
  <c r="I524" i="4"/>
  <c r="I526" i="4" s="1"/>
  <c r="H524" i="4"/>
  <c r="I496" i="4"/>
  <c r="H496" i="4"/>
  <c r="G498" i="4"/>
  <c r="I476" i="4"/>
  <c r="I498" i="4" s="1"/>
  <c r="H468" i="4"/>
  <c r="B23" i="3" s="1"/>
  <c r="H23" i="3" s="1"/>
  <c r="B50" i="3" s="1"/>
  <c r="H50" i="3" s="1"/>
  <c r="B77" i="3" s="1"/>
  <c r="H77" i="3" s="1"/>
  <c r="B104" i="3" s="1"/>
  <c r="H104" i="3" s="1"/>
  <c r="B131" i="3" s="1"/>
  <c r="H131" i="3" s="1"/>
  <c r="B158" i="3" s="1"/>
  <c r="H158" i="3" s="1"/>
  <c r="B185" i="3" s="1"/>
  <c r="H185" i="3" s="1"/>
  <c r="B212" i="3" s="1"/>
  <c r="H212" i="3" s="1"/>
  <c r="B239" i="3" s="1"/>
  <c r="H239" i="3" s="1"/>
  <c r="B266" i="3" s="1"/>
  <c r="H266" i="3" s="1"/>
  <c r="B293" i="3" s="1"/>
  <c r="H293" i="3" s="1"/>
  <c r="B320" i="3" s="1"/>
  <c r="H320" i="3" s="1"/>
  <c r="B347" i="3" s="1"/>
  <c r="H347" i="3" s="1"/>
  <c r="B374" i="3" s="1"/>
  <c r="H374" i="3" s="1"/>
  <c r="B401" i="3" s="1"/>
  <c r="H401" i="3" s="1"/>
  <c r="B429" i="3" s="1"/>
  <c r="H429" i="3" s="1"/>
  <c r="B457" i="3" s="1"/>
  <c r="H457" i="3" s="1"/>
  <c r="B485" i="3" s="1"/>
  <c r="H485" i="3" s="1"/>
  <c r="B513" i="3" s="1"/>
  <c r="H513" i="3" s="1"/>
  <c r="B541" i="3" s="1"/>
  <c r="H541" i="3" s="1"/>
  <c r="B569" i="3" s="1"/>
  <c r="H569" i="3" s="1"/>
  <c r="B597" i="3" s="1"/>
  <c r="H597" i="3" s="1"/>
  <c r="B24" i="2" s="1"/>
  <c r="H24" i="2" s="1"/>
  <c r="B52" i="2" s="1"/>
  <c r="H52" i="2" s="1"/>
  <c r="B80" i="2" s="1"/>
  <c r="H80" i="2" s="1"/>
  <c r="B108" i="2" s="1"/>
  <c r="H108" i="2" s="1"/>
  <c r="B136" i="2" s="1"/>
  <c r="H136" i="2" s="1"/>
  <c r="B164" i="2" s="1"/>
  <c r="H164" i="2" s="1"/>
  <c r="B192" i="2" s="1"/>
  <c r="H192" i="2" s="1"/>
  <c r="B220" i="2" s="1"/>
  <c r="H220" i="2" s="1"/>
  <c r="B248" i="2" s="1"/>
  <c r="H248" i="2" s="1"/>
  <c r="B276" i="2" s="1"/>
  <c r="H276" i="2" s="1"/>
  <c r="B304" i="2" s="1"/>
  <c r="H304" i="2" s="1"/>
  <c r="B332" i="2" s="1"/>
  <c r="H332" i="2" s="1"/>
  <c r="B360" i="2" s="1"/>
  <c r="H360" i="2" s="1"/>
  <c r="B388" i="2" s="1"/>
  <c r="H388" i="2" s="1"/>
  <c r="B416" i="2" s="1"/>
  <c r="H416" i="2" s="1"/>
  <c r="B444" i="2" s="1"/>
  <c r="H444" i="2" s="1"/>
  <c r="B472" i="2" s="1"/>
  <c r="H472" i="2" s="1"/>
  <c r="B511" i="2" s="1"/>
  <c r="H511" i="2" s="1"/>
  <c r="I468" i="4"/>
  <c r="I448" i="4"/>
  <c r="I470" i="4" s="1"/>
  <c r="G470" i="4"/>
  <c r="I440" i="4"/>
  <c r="H440" i="4"/>
  <c r="I420" i="4"/>
  <c r="I442" i="4" s="1"/>
  <c r="G442" i="4"/>
  <c r="H412" i="4"/>
  <c r="I412" i="4"/>
  <c r="I396" i="4"/>
  <c r="I414" i="4" s="1"/>
  <c r="G414" i="4"/>
  <c r="I384" i="4"/>
  <c r="H384" i="4"/>
  <c r="G386" i="4"/>
  <c r="I364" i="4"/>
  <c r="I386" i="4" s="1"/>
  <c r="H356" i="4"/>
  <c r="I356" i="4"/>
  <c r="G358" i="4"/>
  <c r="I336" i="4"/>
  <c r="I358" i="4" s="1"/>
  <c r="I328" i="4"/>
  <c r="H328" i="4"/>
  <c r="G330" i="4"/>
  <c r="I308" i="4"/>
  <c r="I330" i="4" s="1"/>
  <c r="I300" i="4"/>
  <c r="H300" i="4"/>
  <c r="I280" i="4"/>
  <c r="I302" i="4" s="1"/>
  <c r="G302" i="4"/>
  <c r="I272" i="4"/>
  <c r="H272" i="4"/>
  <c r="G274" i="4"/>
  <c r="I262" i="4"/>
  <c r="I274" i="4" s="1"/>
  <c r="I244" i="4"/>
  <c r="H244" i="4"/>
  <c r="I224" i="4"/>
  <c r="I246" i="4" s="1"/>
  <c r="G246" i="4"/>
  <c r="I216" i="4"/>
  <c r="H216" i="4"/>
  <c r="I196" i="4"/>
  <c r="I218" i="4" s="1"/>
  <c r="G218" i="4"/>
  <c r="I188" i="4"/>
  <c r="H188" i="4"/>
  <c r="G190" i="4"/>
  <c r="I168" i="4"/>
  <c r="I190" i="4" s="1"/>
  <c r="H160" i="4"/>
  <c r="I160" i="4"/>
  <c r="I140" i="4"/>
  <c r="G162" i="4"/>
  <c r="H132" i="4"/>
  <c r="I132" i="4"/>
  <c r="I129" i="4"/>
  <c r="G134" i="4"/>
  <c r="I134" i="4"/>
  <c r="I136" i="4"/>
  <c r="I104" i="4"/>
  <c r="H104" i="4"/>
  <c r="I84" i="4"/>
  <c r="G106" i="4"/>
  <c r="G78" i="4"/>
  <c r="I57" i="4"/>
  <c r="G51" i="4"/>
  <c r="I30" i="4"/>
  <c r="H23" i="4"/>
  <c r="B50" i="4" s="1"/>
  <c r="H50" i="4" s="1"/>
  <c r="B77" i="4" s="1"/>
  <c r="H77" i="4" s="1"/>
  <c r="B105" i="4" s="1"/>
  <c r="H105" i="4" s="1"/>
  <c r="B133" i="4" s="1"/>
  <c r="H133" i="4" s="1"/>
  <c r="B161" i="4" s="1"/>
  <c r="H161" i="4" s="1"/>
  <c r="B189" i="4" s="1"/>
  <c r="H189" i="4" s="1"/>
  <c r="B217" i="4" s="1"/>
  <c r="H217" i="4" s="1"/>
  <c r="B245" i="4" s="1"/>
  <c r="H245" i="4" s="1"/>
  <c r="B273" i="4" s="1"/>
  <c r="H273" i="4" s="1"/>
  <c r="B301" i="4" s="1"/>
  <c r="H301" i="4" s="1"/>
  <c r="B329" i="4" s="1"/>
  <c r="H329" i="4" s="1"/>
  <c r="B357" i="4" s="1"/>
  <c r="H357" i="4" s="1"/>
  <c r="B385" i="4" s="1"/>
  <c r="H385" i="4" s="1"/>
  <c r="B413" i="4" s="1"/>
  <c r="H413" i="4" s="1"/>
  <c r="B441" i="4" s="1"/>
  <c r="H441" i="4" s="1"/>
  <c r="B469" i="4" s="1"/>
  <c r="H469" i="4" s="1"/>
  <c r="I23" i="4"/>
  <c r="I22" i="4"/>
  <c r="H22" i="4"/>
  <c r="B49" i="4" s="1"/>
  <c r="H49" i="4" s="1"/>
  <c r="B76" i="4" s="1"/>
  <c r="H76" i="4" s="1"/>
  <c r="B103" i="4" s="1"/>
  <c r="H103" i="4" s="1"/>
  <c r="B131" i="4" s="1"/>
  <c r="H131" i="4" s="1"/>
  <c r="B159" i="4" s="1"/>
  <c r="H159" i="4" s="1"/>
  <c r="B187" i="4" s="1"/>
  <c r="H187" i="4" s="1"/>
  <c r="B215" i="4" s="1"/>
  <c r="H215" i="4" s="1"/>
  <c r="B243" i="4" s="1"/>
  <c r="H243" i="4" s="1"/>
  <c r="B271" i="4" s="1"/>
  <c r="H271" i="4" s="1"/>
  <c r="B299" i="4" s="1"/>
  <c r="H299" i="4" s="1"/>
  <c r="B327" i="4" s="1"/>
  <c r="H327" i="4" s="1"/>
  <c r="B355" i="4" s="1"/>
  <c r="H355" i="4" s="1"/>
  <c r="B383" i="4" s="1"/>
  <c r="H383" i="4" s="1"/>
  <c r="B411" i="4" s="1"/>
  <c r="H411" i="4" s="1"/>
  <c r="B439" i="4" s="1"/>
  <c r="H439" i="4" s="1"/>
  <c r="B467" i="4" s="1"/>
  <c r="H467" i="4" s="1"/>
  <c r="I21" i="4"/>
  <c r="H21" i="4"/>
  <c r="B48" i="4" s="1"/>
  <c r="H48" i="4" s="1"/>
  <c r="B75" i="4" s="1"/>
  <c r="H75" i="4" s="1"/>
  <c r="B102" i="4" s="1"/>
  <c r="H102" i="4" s="1"/>
  <c r="B130" i="4" s="1"/>
  <c r="H130" i="4" s="1"/>
  <c r="B158" i="4" s="1"/>
  <c r="H158" i="4" s="1"/>
  <c r="B186" i="4" s="1"/>
  <c r="H186" i="4" s="1"/>
  <c r="B214" i="4" s="1"/>
  <c r="H214" i="4" s="1"/>
  <c r="B242" i="4" s="1"/>
  <c r="H242" i="4" s="1"/>
  <c r="B270" i="4" s="1"/>
  <c r="H270" i="4" s="1"/>
  <c r="B298" i="4" s="1"/>
  <c r="H298" i="4" s="1"/>
  <c r="B326" i="4" s="1"/>
  <c r="H326" i="4" s="1"/>
  <c r="B354" i="4" s="1"/>
  <c r="H354" i="4" s="1"/>
  <c r="B382" i="4" s="1"/>
  <c r="H382" i="4" s="1"/>
  <c r="B410" i="4" s="1"/>
  <c r="H410" i="4" s="1"/>
  <c r="B438" i="4" s="1"/>
  <c r="H438" i="4" s="1"/>
  <c r="B466" i="4" s="1"/>
  <c r="H466" i="4" s="1"/>
  <c r="I20" i="4"/>
  <c r="H20" i="4"/>
  <c r="B47" i="4" s="1"/>
  <c r="H47" i="4" s="1"/>
  <c r="B74" i="4" s="1"/>
  <c r="H74" i="4" s="1"/>
  <c r="B101" i="4" s="1"/>
  <c r="H101" i="4" s="1"/>
  <c r="B129" i="4" s="1"/>
  <c r="H129" i="4" s="1"/>
  <c r="B157" i="4" s="1"/>
  <c r="H157" i="4" s="1"/>
  <c r="B185" i="4" s="1"/>
  <c r="H185" i="4" s="1"/>
  <c r="B213" i="4" s="1"/>
  <c r="H213" i="4" s="1"/>
  <c r="B241" i="4" s="1"/>
  <c r="H241" i="4" s="1"/>
  <c r="B269" i="4" s="1"/>
  <c r="H269" i="4" s="1"/>
  <c r="B297" i="4" s="1"/>
  <c r="H297" i="4" s="1"/>
  <c r="B325" i="4" s="1"/>
  <c r="H325" i="4" s="1"/>
  <c r="B353" i="4" s="1"/>
  <c r="H353" i="4" s="1"/>
  <c r="B381" i="4" s="1"/>
  <c r="H381" i="4" s="1"/>
  <c r="B409" i="4" s="1"/>
  <c r="H409" i="4" s="1"/>
  <c r="B437" i="4" s="1"/>
  <c r="H437" i="4" s="1"/>
  <c r="B465" i="4" s="1"/>
  <c r="H465" i="4" s="1"/>
  <c r="I19" i="4"/>
  <c r="H19" i="4"/>
  <c r="B46" i="4" s="1"/>
  <c r="H46" i="4" s="1"/>
  <c r="B73" i="4" s="1"/>
  <c r="H73" i="4" s="1"/>
  <c r="B100" i="4" s="1"/>
  <c r="H100" i="4" s="1"/>
  <c r="B128" i="4" s="1"/>
  <c r="H128" i="4" s="1"/>
  <c r="B156" i="4" s="1"/>
  <c r="H156" i="4" s="1"/>
  <c r="B184" i="4" s="1"/>
  <c r="H184" i="4" s="1"/>
  <c r="B212" i="4" s="1"/>
  <c r="H212" i="4" s="1"/>
  <c r="B240" i="4" s="1"/>
  <c r="H240" i="4" s="1"/>
  <c r="B268" i="4" s="1"/>
  <c r="H268" i="4" s="1"/>
  <c r="B296" i="4" s="1"/>
  <c r="H296" i="4" s="1"/>
  <c r="B324" i="4" s="1"/>
  <c r="H324" i="4" s="1"/>
  <c r="B352" i="4" s="1"/>
  <c r="H352" i="4" s="1"/>
  <c r="B380" i="4" s="1"/>
  <c r="H380" i="4" s="1"/>
  <c r="B408" i="4" s="1"/>
  <c r="H408" i="4" s="1"/>
  <c r="B436" i="4" s="1"/>
  <c r="H436" i="4" s="1"/>
  <c r="B464" i="4" s="1"/>
  <c r="H464" i="4" s="1"/>
  <c r="I18" i="4"/>
  <c r="H18" i="4"/>
  <c r="B45" i="4" s="1"/>
  <c r="H45" i="4" s="1"/>
  <c r="B72" i="4" s="1"/>
  <c r="H72" i="4" s="1"/>
  <c r="B99" i="4" s="1"/>
  <c r="H99" i="4" s="1"/>
  <c r="B127" i="4" s="1"/>
  <c r="H127" i="4" s="1"/>
  <c r="B155" i="4" s="1"/>
  <c r="H155" i="4" s="1"/>
  <c r="B183" i="4" s="1"/>
  <c r="H183" i="4" s="1"/>
  <c r="B211" i="4" s="1"/>
  <c r="H211" i="4" s="1"/>
  <c r="B239" i="4" s="1"/>
  <c r="H239" i="4" s="1"/>
  <c r="B267" i="4" s="1"/>
  <c r="H267" i="4" s="1"/>
  <c r="B295" i="4" s="1"/>
  <c r="H295" i="4" s="1"/>
  <c r="B323" i="4" s="1"/>
  <c r="H323" i="4" s="1"/>
  <c r="B351" i="4" s="1"/>
  <c r="H351" i="4" s="1"/>
  <c r="B379" i="4" s="1"/>
  <c r="H379" i="4" s="1"/>
  <c r="B407" i="4" s="1"/>
  <c r="H407" i="4" s="1"/>
  <c r="B435" i="4" s="1"/>
  <c r="H435" i="4" s="1"/>
  <c r="B463" i="4" s="1"/>
  <c r="H463" i="4" s="1"/>
  <c r="I17" i="4"/>
  <c r="H17" i="4"/>
  <c r="B44" i="4" s="1"/>
  <c r="H44" i="4" s="1"/>
  <c r="B71" i="4" s="1"/>
  <c r="H71" i="4" s="1"/>
  <c r="B98" i="4" s="1"/>
  <c r="H98" i="4" s="1"/>
  <c r="B126" i="4" s="1"/>
  <c r="H126" i="4" s="1"/>
  <c r="B154" i="4" s="1"/>
  <c r="H154" i="4" s="1"/>
  <c r="B182" i="4" s="1"/>
  <c r="H182" i="4" s="1"/>
  <c r="B210" i="4" s="1"/>
  <c r="H210" i="4" s="1"/>
  <c r="B238" i="4" s="1"/>
  <c r="H238" i="4" s="1"/>
  <c r="B266" i="4" s="1"/>
  <c r="H266" i="4" s="1"/>
  <c r="B294" i="4" s="1"/>
  <c r="H294" i="4" s="1"/>
  <c r="B322" i="4" s="1"/>
  <c r="H322" i="4" s="1"/>
  <c r="B350" i="4" s="1"/>
  <c r="H350" i="4" s="1"/>
  <c r="B378" i="4" s="1"/>
  <c r="H378" i="4" s="1"/>
  <c r="B406" i="4" s="1"/>
  <c r="H406" i="4" s="1"/>
  <c r="B434" i="4" s="1"/>
  <c r="H434" i="4" s="1"/>
  <c r="B462" i="4" s="1"/>
  <c r="H462" i="4" s="1"/>
  <c r="H16" i="4"/>
  <c r="B43" i="4" s="1"/>
  <c r="H43" i="4" s="1"/>
  <c r="B70" i="4" s="1"/>
  <c r="H70" i="4" s="1"/>
  <c r="B97" i="4" s="1"/>
  <c r="H97" i="4" s="1"/>
  <c r="B125" i="4" s="1"/>
  <c r="H125" i="4" s="1"/>
  <c r="B153" i="4" s="1"/>
  <c r="H153" i="4" s="1"/>
  <c r="B181" i="4" s="1"/>
  <c r="H181" i="4" s="1"/>
  <c r="B209" i="4" s="1"/>
  <c r="H209" i="4" s="1"/>
  <c r="B237" i="4" s="1"/>
  <c r="H237" i="4" s="1"/>
  <c r="B265" i="4" s="1"/>
  <c r="H265" i="4" s="1"/>
  <c r="B293" i="4" s="1"/>
  <c r="H293" i="4" s="1"/>
  <c r="B321" i="4" s="1"/>
  <c r="H321" i="4" s="1"/>
  <c r="B349" i="4" s="1"/>
  <c r="H349" i="4" s="1"/>
  <c r="B377" i="4" s="1"/>
  <c r="H377" i="4" s="1"/>
  <c r="B405" i="4" s="1"/>
  <c r="H405" i="4" s="1"/>
  <c r="B433" i="4" s="1"/>
  <c r="H433" i="4" s="1"/>
  <c r="B461" i="4" s="1"/>
  <c r="H461" i="4" s="1"/>
  <c r="I16" i="4"/>
  <c r="I15" i="4"/>
  <c r="H15" i="4"/>
  <c r="B42" i="4" s="1"/>
  <c r="H42" i="4" s="1"/>
  <c r="B69" i="4" s="1"/>
  <c r="H69" i="4" s="1"/>
  <c r="B96" i="4" s="1"/>
  <c r="H96" i="4" s="1"/>
  <c r="B124" i="4" s="1"/>
  <c r="H124" i="4" s="1"/>
  <c r="B152" i="4" s="1"/>
  <c r="H152" i="4" s="1"/>
  <c r="B180" i="4" s="1"/>
  <c r="H180" i="4" s="1"/>
  <c r="B208" i="4" s="1"/>
  <c r="H208" i="4" s="1"/>
  <c r="B236" i="4" s="1"/>
  <c r="H236" i="4" s="1"/>
  <c r="B264" i="4" s="1"/>
  <c r="H264" i="4" s="1"/>
  <c r="B292" i="4" s="1"/>
  <c r="H292" i="4" s="1"/>
  <c r="B320" i="4" s="1"/>
  <c r="H320" i="4" s="1"/>
  <c r="B348" i="4" s="1"/>
  <c r="H348" i="4" s="1"/>
  <c r="B376" i="4" s="1"/>
  <c r="H376" i="4" s="1"/>
  <c r="B404" i="4" s="1"/>
  <c r="H404" i="4" s="1"/>
  <c r="B432" i="4" s="1"/>
  <c r="H432" i="4" s="1"/>
  <c r="B460" i="4" s="1"/>
  <c r="H460" i="4" s="1"/>
  <c r="I14" i="4"/>
  <c r="H14" i="4"/>
  <c r="B41" i="4" s="1"/>
  <c r="H41" i="4" s="1"/>
  <c r="B68" i="4" s="1"/>
  <c r="H68" i="4" s="1"/>
  <c r="B95" i="4" s="1"/>
  <c r="H95" i="4" s="1"/>
  <c r="B123" i="4" s="1"/>
  <c r="H123" i="4" s="1"/>
  <c r="B151" i="4" s="1"/>
  <c r="H151" i="4" s="1"/>
  <c r="B179" i="4" s="1"/>
  <c r="H179" i="4" s="1"/>
  <c r="B207" i="4" s="1"/>
  <c r="H207" i="4" s="1"/>
  <c r="B235" i="4" s="1"/>
  <c r="H235" i="4" s="1"/>
  <c r="B263" i="4" s="1"/>
  <c r="H263" i="4" s="1"/>
  <c r="B291" i="4" s="1"/>
  <c r="H291" i="4" s="1"/>
  <c r="B319" i="4" s="1"/>
  <c r="H319" i="4" s="1"/>
  <c r="B347" i="4" s="1"/>
  <c r="H347" i="4" s="1"/>
  <c r="B375" i="4" s="1"/>
  <c r="H375" i="4" s="1"/>
  <c r="B403" i="4" s="1"/>
  <c r="H403" i="4" s="1"/>
  <c r="B431" i="4" s="1"/>
  <c r="H431" i="4" s="1"/>
  <c r="B459" i="4" s="1"/>
  <c r="H459" i="4" s="1"/>
  <c r="I13" i="4"/>
  <c r="H13" i="4"/>
  <c r="B40" i="4" s="1"/>
  <c r="H40" i="4" s="1"/>
  <c r="B67" i="4" s="1"/>
  <c r="H67" i="4" s="1"/>
  <c r="B94" i="4" s="1"/>
  <c r="H94" i="4" s="1"/>
  <c r="B122" i="4" s="1"/>
  <c r="H122" i="4" s="1"/>
  <c r="B150" i="4" s="1"/>
  <c r="H150" i="4" s="1"/>
  <c r="B178" i="4" s="1"/>
  <c r="H178" i="4" s="1"/>
  <c r="B206" i="4" s="1"/>
  <c r="H206" i="4" s="1"/>
  <c r="B234" i="4" s="1"/>
  <c r="H234" i="4" s="1"/>
  <c r="B262" i="4" s="1"/>
  <c r="H262" i="4" s="1"/>
  <c r="B290" i="4" s="1"/>
  <c r="H290" i="4" s="1"/>
  <c r="B318" i="4" s="1"/>
  <c r="H318" i="4" s="1"/>
  <c r="B346" i="4" s="1"/>
  <c r="H346" i="4" s="1"/>
  <c r="B374" i="4" s="1"/>
  <c r="H374" i="4" s="1"/>
  <c r="B402" i="4" s="1"/>
  <c r="H402" i="4" s="1"/>
  <c r="B430" i="4" s="1"/>
  <c r="H430" i="4" s="1"/>
  <c r="B458" i="4" s="1"/>
  <c r="H458" i="4" s="1"/>
  <c r="I12" i="4"/>
  <c r="H12" i="4"/>
  <c r="B39" i="4" s="1"/>
  <c r="H39" i="4" s="1"/>
  <c r="B66" i="4" s="1"/>
  <c r="H66" i="4" s="1"/>
  <c r="B93" i="4" s="1"/>
  <c r="H93" i="4" s="1"/>
  <c r="B121" i="4" s="1"/>
  <c r="H121" i="4" s="1"/>
  <c r="B149" i="4" s="1"/>
  <c r="H149" i="4" s="1"/>
  <c r="B177" i="4" s="1"/>
  <c r="H177" i="4" s="1"/>
  <c r="B205" i="4" s="1"/>
  <c r="H205" i="4" s="1"/>
  <c r="B233" i="4" s="1"/>
  <c r="H233" i="4" s="1"/>
  <c r="B261" i="4" s="1"/>
  <c r="H261" i="4" s="1"/>
  <c r="B289" i="4" s="1"/>
  <c r="H289" i="4" s="1"/>
  <c r="B317" i="4" s="1"/>
  <c r="H317" i="4" s="1"/>
  <c r="B345" i="4" s="1"/>
  <c r="H345" i="4" s="1"/>
  <c r="B373" i="4" s="1"/>
  <c r="H373" i="4" s="1"/>
  <c r="B401" i="4" s="1"/>
  <c r="H401" i="4" s="1"/>
  <c r="B429" i="4" s="1"/>
  <c r="H429" i="4" s="1"/>
  <c r="B457" i="4" s="1"/>
  <c r="H457" i="4" s="1"/>
  <c r="I11" i="4"/>
  <c r="H11" i="4"/>
  <c r="B38" i="4" s="1"/>
  <c r="H38" i="4" s="1"/>
  <c r="B65" i="4" s="1"/>
  <c r="H65" i="4" s="1"/>
  <c r="B92" i="4" s="1"/>
  <c r="H92" i="4" s="1"/>
  <c r="B120" i="4" s="1"/>
  <c r="H120" i="4" s="1"/>
  <c r="B148" i="4" s="1"/>
  <c r="H148" i="4" s="1"/>
  <c r="B176" i="4" s="1"/>
  <c r="H176" i="4" s="1"/>
  <c r="B204" i="4" s="1"/>
  <c r="H204" i="4" s="1"/>
  <c r="B232" i="4" s="1"/>
  <c r="H232" i="4" s="1"/>
  <c r="B260" i="4" s="1"/>
  <c r="H260" i="4" s="1"/>
  <c r="B288" i="4" s="1"/>
  <c r="H288" i="4" s="1"/>
  <c r="B316" i="4" s="1"/>
  <c r="H316" i="4" s="1"/>
  <c r="B344" i="4" s="1"/>
  <c r="H344" i="4" s="1"/>
  <c r="B372" i="4" s="1"/>
  <c r="H372" i="4" s="1"/>
  <c r="B400" i="4" s="1"/>
  <c r="H400" i="4" s="1"/>
  <c r="B428" i="4" s="1"/>
  <c r="H428" i="4" s="1"/>
  <c r="B456" i="4" s="1"/>
  <c r="H456" i="4" s="1"/>
  <c r="I10" i="4"/>
  <c r="H10" i="4"/>
  <c r="B37" i="4" s="1"/>
  <c r="H37" i="4" s="1"/>
  <c r="B64" i="4" s="1"/>
  <c r="H64" i="4" s="1"/>
  <c r="B91" i="4" s="1"/>
  <c r="H91" i="4" s="1"/>
  <c r="B119" i="4" s="1"/>
  <c r="H119" i="4" s="1"/>
  <c r="B147" i="4" s="1"/>
  <c r="H147" i="4" s="1"/>
  <c r="B175" i="4" s="1"/>
  <c r="H175" i="4" s="1"/>
  <c r="B203" i="4" s="1"/>
  <c r="H203" i="4" s="1"/>
  <c r="B231" i="4" s="1"/>
  <c r="H231" i="4" s="1"/>
  <c r="B259" i="4" s="1"/>
  <c r="H259" i="4" s="1"/>
  <c r="B287" i="4" s="1"/>
  <c r="H287" i="4" s="1"/>
  <c r="B315" i="4" s="1"/>
  <c r="H315" i="4" s="1"/>
  <c r="B343" i="4" s="1"/>
  <c r="H343" i="4" s="1"/>
  <c r="B371" i="4" s="1"/>
  <c r="H371" i="4" s="1"/>
  <c r="B399" i="4" s="1"/>
  <c r="H399" i="4" s="1"/>
  <c r="B427" i="4" s="1"/>
  <c r="H427" i="4" s="1"/>
  <c r="B455" i="4" s="1"/>
  <c r="H455" i="4" s="1"/>
  <c r="I9" i="4"/>
  <c r="H9" i="4"/>
  <c r="B36" i="4" s="1"/>
  <c r="H36" i="4" s="1"/>
  <c r="B63" i="4" s="1"/>
  <c r="H63" i="4" s="1"/>
  <c r="B90" i="4" s="1"/>
  <c r="H90" i="4" s="1"/>
  <c r="B118" i="4" s="1"/>
  <c r="H118" i="4" s="1"/>
  <c r="B146" i="4" s="1"/>
  <c r="H146" i="4" s="1"/>
  <c r="B174" i="4" s="1"/>
  <c r="H174" i="4" s="1"/>
  <c r="B202" i="4" s="1"/>
  <c r="H202" i="4" s="1"/>
  <c r="B230" i="4" s="1"/>
  <c r="H230" i="4" s="1"/>
  <c r="B258" i="4" s="1"/>
  <c r="H258" i="4" s="1"/>
  <c r="B286" i="4" s="1"/>
  <c r="H286" i="4" s="1"/>
  <c r="B314" i="4" s="1"/>
  <c r="H314" i="4" s="1"/>
  <c r="B342" i="4" s="1"/>
  <c r="H342" i="4" s="1"/>
  <c r="B370" i="4" s="1"/>
  <c r="H370" i="4" s="1"/>
  <c r="B398" i="4" s="1"/>
  <c r="H398" i="4" s="1"/>
  <c r="B426" i="4" s="1"/>
  <c r="H426" i="4" s="1"/>
  <c r="B454" i="4" s="1"/>
  <c r="H454" i="4" s="1"/>
  <c r="H8" i="4"/>
  <c r="B35" i="4" s="1"/>
  <c r="H35" i="4" s="1"/>
  <c r="B62" i="4" s="1"/>
  <c r="H62" i="4" s="1"/>
  <c r="B89" i="4" s="1"/>
  <c r="H89" i="4" s="1"/>
  <c r="B117" i="4" s="1"/>
  <c r="H117" i="4" s="1"/>
  <c r="B145" i="4" s="1"/>
  <c r="H145" i="4" s="1"/>
  <c r="B173" i="4" s="1"/>
  <c r="H173" i="4" s="1"/>
  <c r="B201" i="4" s="1"/>
  <c r="H201" i="4" s="1"/>
  <c r="B229" i="4" s="1"/>
  <c r="H229" i="4" s="1"/>
  <c r="B257" i="4" s="1"/>
  <c r="H257" i="4" s="1"/>
  <c r="B285" i="4" s="1"/>
  <c r="H285" i="4" s="1"/>
  <c r="B313" i="4" s="1"/>
  <c r="H313" i="4" s="1"/>
  <c r="B341" i="4" s="1"/>
  <c r="H341" i="4" s="1"/>
  <c r="B369" i="4" s="1"/>
  <c r="H369" i="4" s="1"/>
  <c r="B397" i="4" s="1"/>
  <c r="H397" i="4" s="1"/>
  <c r="B425" i="4" s="1"/>
  <c r="H425" i="4" s="1"/>
  <c r="B453" i="4" s="1"/>
  <c r="H453" i="4" s="1"/>
  <c r="I8" i="4"/>
  <c r="I7" i="4"/>
  <c r="H7" i="4"/>
  <c r="B34" i="4" s="1"/>
  <c r="H34" i="4" s="1"/>
  <c r="B61" i="4" s="1"/>
  <c r="H61" i="4" s="1"/>
  <c r="B88" i="4" s="1"/>
  <c r="H88" i="4" s="1"/>
  <c r="B116" i="4" s="1"/>
  <c r="H116" i="4" s="1"/>
  <c r="B144" i="4" s="1"/>
  <c r="H144" i="4" s="1"/>
  <c r="B172" i="4" s="1"/>
  <c r="H172" i="4" s="1"/>
  <c r="B200" i="4" s="1"/>
  <c r="H200" i="4" s="1"/>
  <c r="B228" i="4" s="1"/>
  <c r="H228" i="4" s="1"/>
  <c r="B256" i="4" s="1"/>
  <c r="H256" i="4" s="1"/>
  <c r="B284" i="4" s="1"/>
  <c r="H284" i="4" s="1"/>
  <c r="B312" i="4" s="1"/>
  <c r="H312" i="4" s="1"/>
  <c r="B340" i="4" s="1"/>
  <c r="H340" i="4" s="1"/>
  <c r="B368" i="4" s="1"/>
  <c r="H368" i="4" s="1"/>
  <c r="B396" i="4" s="1"/>
  <c r="H396" i="4" s="1"/>
  <c r="B424" i="4" s="1"/>
  <c r="H424" i="4" s="1"/>
  <c r="B452" i="4" s="1"/>
  <c r="H452" i="4" s="1"/>
  <c r="H6" i="4"/>
  <c r="B33" i="4" s="1"/>
  <c r="H33" i="4" s="1"/>
  <c r="B60" i="4" s="1"/>
  <c r="H60" i="4" s="1"/>
  <c r="B87" i="4" s="1"/>
  <c r="H87" i="4" s="1"/>
  <c r="B115" i="4" s="1"/>
  <c r="H115" i="4" s="1"/>
  <c r="B143" i="4" s="1"/>
  <c r="H143" i="4" s="1"/>
  <c r="B171" i="4" s="1"/>
  <c r="H171" i="4" s="1"/>
  <c r="B199" i="4" s="1"/>
  <c r="H199" i="4" s="1"/>
  <c r="B227" i="4" s="1"/>
  <c r="H227" i="4" s="1"/>
  <c r="B255" i="4" s="1"/>
  <c r="H255" i="4" s="1"/>
  <c r="B283" i="4" s="1"/>
  <c r="H283" i="4" s="1"/>
  <c r="B311" i="4" s="1"/>
  <c r="H311" i="4" s="1"/>
  <c r="B339" i="4" s="1"/>
  <c r="H339" i="4" s="1"/>
  <c r="B367" i="4" s="1"/>
  <c r="H367" i="4" s="1"/>
  <c r="B395" i="4" s="1"/>
  <c r="H395" i="4" s="1"/>
  <c r="B423" i="4" s="1"/>
  <c r="H423" i="4" s="1"/>
  <c r="B451" i="4" s="1"/>
  <c r="H451" i="4" s="1"/>
  <c r="I6" i="4"/>
  <c r="H5" i="4"/>
  <c r="B32" i="4" s="1"/>
  <c r="H32" i="4" s="1"/>
  <c r="B59" i="4" s="1"/>
  <c r="H59" i="4" s="1"/>
  <c r="B86" i="4" s="1"/>
  <c r="H86" i="4" s="1"/>
  <c r="B114" i="4" s="1"/>
  <c r="H114" i="4" s="1"/>
  <c r="B142" i="4" s="1"/>
  <c r="H142" i="4" s="1"/>
  <c r="B170" i="4" s="1"/>
  <c r="H170" i="4" s="1"/>
  <c r="B198" i="4" s="1"/>
  <c r="H198" i="4" s="1"/>
  <c r="B226" i="4" s="1"/>
  <c r="H226" i="4" s="1"/>
  <c r="B254" i="4" s="1"/>
  <c r="H254" i="4" s="1"/>
  <c r="B282" i="4" s="1"/>
  <c r="H282" i="4" s="1"/>
  <c r="B310" i="4" s="1"/>
  <c r="H310" i="4" s="1"/>
  <c r="B338" i="4" s="1"/>
  <c r="H338" i="4" s="1"/>
  <c r="B366" i="4" s="1"/>
  <c r="H366" i="4" s="1"/>
  <c r="B394" i="4" s="1"/>
  <c r="H394" i="4" s="1"/>
  <c r="B422" i="4" s="1"/>
  <c r="H422" i="4" s="1"/>
  <c r="B450" i="4" s="1"/>
  <c r="H450" i="4" s="1"/>
  <c r="I5" i="4"/>
  <c r="H4" i="4"/>
  <c r="B31" i="4" s="1"/>
  <c r="H31" i="4" s="1"/>
  <c r="B58" i="4" s="1"/>
  <c r="H58" i="4" s="1"/>
  <c r="B85" i="4" s="1"/>
  <c r="H85" i="4" s="1"/>
  <c r="B113" i="4" s="1"/>
  <c r="H113" i="4" s="1"/>
  <c r="B141" i="4" s="1"/>
  <c r="H141" i="4" s="1"/>
  <c r="B169" i="4" s="1"/>
  <c r="H169" i="4" s="1"/>
  <c r="B197" i="4" s="1"/>
  <c r="H197" i="4" s="1"/>
  <c r="B225" i="4" s="1"/>
  <c r="H225" i="4" s="1"/>
  <c r="B253" i="4" s="1"/>
  <c r="H253" i="4" s="1"/>
  <c r="B281" i="4" s="1"/>
  <c r="H281" i="4" s="1"/>
  <c r="B309" i="4" s="1"/>
  <c r="H309" i="4" s="1"/>
  <c r="B337" i="4" s="1"/>
  <c r="H337" i="4" s="1"/>
  <c r="B365" i="4" s="1"/>
  <c r="H365" i="4" s="1"/>
  <c r="B393" i="4" s="1"/>
  <c r="H393" i="4" s="1"/>
  <c r="B421" i="4" s="1"/>
  <c r="H421" i="4" s="1"/>
  <c r="B449" i="4" s="1"/>
  <c r="H449" i="4" s="1"/>
  <c r="I4" i="4"/>
  <c r="I3" i="4"/>
  <c r="G24" i="4"/>
  <c r="H3" i="4"/>
  <c r="G599" i="3"/>
  <c r="I594" i="3"/>
  <c r="I599" i="3" s="1"/>
  <c r="G571" i="3"/>
  <c r="I548" i="3"/>
  <c r="I571" i="3" s="1"/>
  <c r="I520" i="3"/>
  <c r="I543" i="3" s="1"/>
  <c r="G543" i="3"/>
  <c r="G515" i="3"/>
  <c r="I492" i="3"/>
  <c r="I515" i="3" s="1"/>
  <c r="I470" i="3"/>
  <c r="I487" i="3" s="1"/>
  <c r="G487" i="3"/>
  <c r="G459" i="3"/>
  <c r="I436" i="3"/>
  <c r="I459" i="3" s="1"/>
  <c r="H427" i="3"/>
  <c r="B455" i="3" s="1"/>
  <c r="H455" i="3" s="1"/>
  <c r="B483" i="3" s="1"/>
  <c r="H483" i="3" s="1"/>
  <c r="B511" i="3" s="1"/>
  <c r="H511" i="3" s="1"/>
  <c r="B539" i="3" s="1"/>
  <c r="H539" i="3" s="1"/>
  <c r="B567" i="3" s="1"/>
  <c r="H567" i="3" s="1"/>
  <c r="B595" i="3" s="1"/>
  <c r="H595" i="3" s="1"/>
  <c r="B22" i="2" s="1"/>
  <c r="H22" i="2" s="1"/>
  <c r="B50" i="2" s="1"/>
  <c r="H50" i="2" s="1"/>
  <c r="B78" i="2" s="1"/>
  <c r="H78" i="2" s="1"/>
  <c r="B106" i="2" s="1"/>
  <c r="H106" i="2" s="1"/>
  <c r="B134" i="2" s="1"/>
  <c r="H134" i="2" s="1"/>
  <c r="B162" i="2" s="1"/>
  <c r="H162" i="2" s="1"/>
  <c r="B190" i="2" s="1"/>
  <c r="H190" i="2" s="1"/>
  <c r="B218" i="2" s="1"/>
  <c r="H218" i="2" s="1"/>
  <c r="B246" i="2" s="1"/>
  <c r="H246" i="2" s="1"/>
  <c r="B274" i="2" s="1"/>
  <c r="H274" i="2" s="1"/>
  <c r="B302" i="2" s="1"/>
  <c r="H302" i="2" s="1"/>
  <c r="B330" i="2" s="1"/>
  <c r="H330" i="2" s="1"/>
  <c r="B358" i="2" s="1"/>
  <c r="H358" i="2" s="1"/>
  <c r="B386" i="2" s="1"/>
  <c r="H386" i="2" s="1"/>
  <c r="B414" i="2" s="1"/>
  <c r="H414" i="2" s="1"/>
  <c r="B442" i="2" s="1"/>
  <c r="H442" i="2" s="1"/>
  <c r="B470" i="2" s="1"/>
  <c r="H470" i="2" s="1"/>
  <c r="B509" i="2" s="1"/>
  <c r="H509" i="2" s="1"/>
  <c r="B50" i="1" s="1"/>
  <c r="H50" i="1" s="1"/>
  <c r="B78" i="1" s="1"/>
  <c r="H78" i="1" s="1"/>
  <c r="B106" i="1" s="1"/>
  <c r="H106" i="1" s="1"/>
  <c r="B134" i="1" s="1"/>
  <c r="H134" i="1" s="1"/>
  <c r="B162" i="1" s="1"/>
  <c r="H162" i="1" s="1"/>
  <c r="B190" i="1" s="1"/>
  <c r="H190" i="1" s="1"/>
  <c r="B218" i="1" s="1"/>
  <c r="H218" i="1" s="1"/>
  <c r="B246" i="1" s="1"/>
  <c r="H246" i="1" s="1"/>
  <c r="B274" i="1" s="1"/>
  <c r="H274" i="1" s="1"/>
  <c r="I427" i="3"/>
  <c r="G431" i="3"/>
  <c r="I408" i="3"/>
  <c r="I431" i="3" s="1"/>
  <c r="G403" i="3"/>
  <c r="I381" i="3"/>
  <c r="I403" i="3" s="1"/>
  <c r="G376" i="3"/>
  <c r="I354" i="3"/>
  <c r="I376" i="3" s="1"/>
  <c r="G349" i="3"/>
  <c r="I342" i="3"/>
  <c r="I349" i="3" s="1"/>
  <c r="G295" i="3"/>
  <c r="I273" i="3"/>
  <c r="I295" i="3" s="1"/>
  <c r="G268" i="3"/>
  <c r="I246" i="3"/>
  <c r="I268" i="3" s="1"/>
  <c r="G241" i="3"/>
  <c r="I219" i="3"/>
  <c r="I241" i="3" s="1"/>
  <c r="I192" i="3"/>
  <c r="I214" i="3" s="1"/>
  <c r="G214" i="3"/>
  <c r="I165" i="3"/>
  <c r="I187" i="3" s="1"/>
  <c r="G187" i="3"/>
  <c r="I138" i="3"/>
  <c r="I160" i="3" s="1"/>
  <c r="G160" i="3"/>
  <c r="G133" i="3"/>
  <c r="I111" i="3"/>
  <c r="I133" i="3" s="1"/>
  <c r="I90" i="3"/>
  <c r="I106" i="3" s="1"/>
  <c r="G106" i="3"/>
  <c r="G79" i="3"/>
  <c r="I57" i="3"/>
  <c r="I79" i="3" s="1"/>
  <c r="G52" i="3"/>
  <c r="I30" i="3"/>
  <c r="I52" i="3" s="1"/>
  <c r="I3" i="3"/>
  <c r="I25" i="3" s="1"/>
  <c r="G25" i="3"/>
  <c r="G513" i="2"/>
  <c r="I490" i="2"/>
  <c r="I513" i="2" s="1"/>
  <c r="G474" i="2"/>
  <c r="I468" i="2"/>
  <c r="I474" i="2" s="1"/>
  <c r="G446" i="2"/>
  <c r="I423" i="2"/>
  <c r="I446" i="2" s="1"/>
  <c r="G418" i="2"/>
  <c r="I395" i="2"/>
  <c r="I418" i="2" s="1"/>
  <c r="G390" i="2"/>
  <c r="I367" i="2"/>
  <c r="I390" i="2" s="1"/>
  <c r="I345" i="2"/>
  <c r="I362" i="2" s="1"/>
  <c r="G362" i="2"/>
  <c r="G334" i="2"/>
  <c r="I311" i="2"/>
  <c r="I334" i="2" s="1"/>
  <c r="G306" i="2"/>
  <c r="I283" i="2"/>
  <c r="I306" i="2" s="1"/>
  <c r="G278" i="2"/>
  <c r="I255" i="2"/>
  <c r="I278" i="2" s="1"/>
  <c r="G250" i="2"/>
  <c r="I227" i="2"/>
  <c r="I250" i="2" s="1"/>
  <c r="I218" i="2"/>
  <c r="I222" i="2" s="1"/>
  <c r="G222" i="2"/>
  <c r="G194" i="2"/>
  <c r="I171" i="2"/>
  <c r="I194" i="2" s="1"/>
  <c r="G166" i="2"/>
  <c r="I143" i="2"/>
  <c r="I166" i="2" s="1"/>
  <c r="I115" i="2"/>
  <c r="I138" i="2" s="1"/>
  <c r="G138" i="2"/>
  <c r="I94" i="2"/>
  <c r="I110" i="2" s="1"/>
  <c r="G110" i="2"/>
  <c r="G82" i="2"/>
  <c r="I59" i="2"/>
  <c r="I82" i="2" s="1"/>
  <c r="G54" i="2"/>
  <c r="I31" i="2"/>
  <c r="I54" i="2" s="1"/>
  <c r="I3" i="2"/>
  <c r="I26" i="2" s="1"/>
  <c r="G26" i="2"/>
  <c r="I255" i="1"/>
  <c r="I278" i="1" s="1"/>
  <c r="G278" i="1"/>
  <c r="G250" i="1"/>
  <c r="I248" i="1"/>
  <c r="I250" i="1" s="1"/>
  <c r="I199" i="1"/>
  <c r="I222" i="1" s="1"/>
  <c r="G222" i="1"/>
  <c r="I171" i="1"/>
  <c r="I194" i="1" s="1"/>
  <c r="G194" i="1"/>
  <c r="G166" i="1"/>
  <c r="I143" i="1"/>
  <c r="I166" i="1" s="1"/>
  <c r="G138" i="1"/>
  <c r="I115" i="1"/>
  <c r="I138" i="1" s="1"/>
  <c r="I87" i="1"/>
  <c r="I110" i="1" s="1"/>
  <c r="G110" i="1"/>
  <c r="G82" i="1"/>
  <c r="I59" i="1"/>
  <c r="I82" i="1" s="1"/>
  <c r="G54" i="1"/>
  <c r="I31" i="1"/>
  <c r="I54" i="1" s="1"/>
  <c r="N387" i="6"/>
  <c r="N372" i="6"/>
  <c r="N350" i="6"/>
  <c r="N331" i="6"/>
  <c r="N316" i="6"/>
  <c r="N298" i="6"/>
  <c r="N282" i="6"/>
  <c r="N265" i="6"/>
  <c r="N248" i="6"/>
  <c r="N233" i="6"/>
  <c r="N220" i="6"/>
  <c r="N204" i="6"/>
  <c r="N188" i="6"/>
  <c r="N172" i="6"/>
  <c r="N157" i="6"/>
  <c r="N140" i="6"/>
  <c r="N124" i="6"/>
  <c r="N104" i="6"/>
  <c r="N87" i="6"/>
  <c r="N74" i="6"/>
  <c r="N57" i="6"/>
  <c r="N24" i="6"/>
  <c r="N9" i="6"/>
  <c r="B52" i="1" l="1"/>
  <c r="H52" i="1" s="1"/>
  <c r="B80" i="1" s="1"/>
  <c r="H80" i="1" s="1"/>
  <c r="B108" i="1" s="1"/>
  <c r="H108" i="1" s="1"/>
  <c r="B136" i="1" s="1"/>
  <c r="H136" i="1" s="1"/>
  <c r="B164" i="1" s="1"/>
  <c r="H164" i="1" s="1"/>
  <c r="B192" i="1" s="1"/>
  <c r="H192" i="1" s="1"/>
  <c r="B220" i="1" s="1"/>
  <c r="H220" i="1" s="1"/>
  <c r="B248" i="1" s="1"/>
  <c r="H248" i="1" s="1"/>
  <c r="B276" i="1" s="1"/>
  <c r="H276" i="1" s="1"/>
  <c r="I483" i="5"/>
  <c r="I485" i="5"/>
  <c r="I456" i="5"/>
  <c r="I458" i="5"/>
  <c r="I429" i="5"/>
  <c r="I431" i="5"/>
  <c r="I375" i="5"/>
  <c r="I377" i="5"/>
  <c r="I348" i="5"/>
  <c r="I350" i="5"/>
  <c r="I323" i="5"/>
  <c r="I321" i="5"/>
  <c r="I294" i="5"/>
  <c r="I296" i="5"/>
  <c r="I240" i="5"/>
  <c r="I242" i="5"/>
  <c r="I215" i="5"/>
  <c r="I213" i="5"/>
  <c r="I188" i="5"/>
  <c r="I186" i="5"/>
  <c r="I161" i="5"/>
  <c r="I159" i="5"/>
  <c r="I132" i="5"/>
  <c r="I134" i="5"/>
  <c r="I105" i="5"/>
  <c r="I107" i="5"/>
  <c r="I78" i="5"/>
  <c r="I80" i="5"/>
  <c r="I53" i="5"/>
  <c r="I51" i="5"/>
  <c r="H144" i="5"/>
  <c r="B171" i="5" s="1"/>
  <c r="H171" i="5" s="1"/>
  <c r="B198" i="5" s="1"/>
  <c r="H198" i="5" s="1"/>
  <c r="B225" i="5" s="1"/>
  <c r="H225" i="5" s="1"/>
  <c r="B252" i="5" s="1"/>
  <c r="H252" i="5" s="1"/>
  <c r="B279" i="5" s="1"/>
  <c r="H279" i="5" s="1"/>
  <c r="B306" i="5" s="1"/>
  <c r="H306" i="5" s="1"/>
  <c r="B333" i="5" s="1"/>
  <c r="H333" i="5" s="1"/>
  <c r="B360" i="5" s="1"/>
  <c r="H360" i="5" s="1"/>
  <c r="B387" i="5" s="1"/>
  <c r="H387" i="5" s="1"/>
  <c r="B414" i="5" s="1"/>
  <c r="H414" i="5" s="1"/>
  <c r="B441" i="5" s="1"/>
  <c r="H441" i="5" s="1"/>
  <c r="B468" i="5" s="1"/>
  <c r="H468" i="5" s="1"/>
  <c r="B166" i="5"/>
  <c r="H166" i="5" s="1"/>
  <c r="B193" i="5" s="1"/>
  <c r="H193" i="5" s="1"/>
  <c r="B220" i="5" s="1"/>
  <c r="H220" i="5" s="1"/>
  <c r="B247" i="5" s="1"/>
  <c r="H247" i="5" s="1"/>
  <c r="B274" i="5" s="1"/>
  <c r="H274" i="5" s="1"/>
  <c r="B301" i="5" s="1"/>
  <c r="H301" i="5" s="1"/>
  <c r="B328" i="5" s="1"/>
  <c r="H328" i="5" s="1"/>
  <c r="B355" i="5" s="1"/>
  <c r="H355" i="5" s="1"/>
  <c r="B382" i="5" s="1"/>
  <c r="H382" i="5" s="1"/>
  <c r="B409" i="5" s="1"/>
  <c r="H409" i="5" s="1"/>
  <c r="B436" i="5" s="1"/>
  <c r="H436" i="5" s="1"/>
  <c r="B463" i="5" s="1"/>
  <c r="H463" i="5" s="1"/>
  <c r="B51" i="5"/>
  <c r="H30" i="5"/>
  <c r="I24" i="5"/>
  <c r="I26" i="5"/>
  <c r="I162" i="4"/>
  <c r="I164" i="4"/>
  <c r="I106" i="4"/>
  <c r="I108" i="4"/>
  <c r="I78" i="4"/>
  <c r="I80" i="4"/>
  <c r="I51" i="4"/>
  <c r="I53" i="4"/>
  <c r="B497" i="4"/>
  <c r="H497" i="4" s="1"/>
  <c r="B525" i="4" s="1"/>
  <c r="H525" i="4" s="1"/>
  <c r="B24" i="3"/>
  <c r="H24" i="3" s="1"/>
  <c r="B51" i="3" s="1"/>
  <c r="H51" i="3" s="1"/>
  <c r="B78" i="3" s="1"/>
  <c r="H78" i="3" s="1"/>
  <c r="B105" i="3" s="1"/>
  <c r="H105" i="3" s="1"/>
  <c r="B132" i="3" s="1"/>
  <c r="H132" i="3" s="1"/>
  <c r="B159" i="3" s="1"/>
  <c r="H159" i="3" s="1"/>
  <c r="B186" i="3" s="1"/>
  <c r="H186" i="3" s="1"/>
  <c r="B213" i="3" s="1"/>
  <c r="H213" i="3" s="1"/>
  <c r="B240" i="3" s="1"/>
  <c r="H240" i="3" s="1"/>
  <c r="B267" i="3" s="1"/>
  <c r="H267" i="3" s="1"/>
  <c r="B294" i="3" s="1"/>
  <c r="H294" i="3" s="1"/>
  <c r="B321" i="3" s="1"/>
  <c r="H321" i="3" s="1"/>
  <c r="B348" i="3" s="1"/>
  <c r="H348" i="3" s="1"/>
  <c r="B375" i="3" s="1"/>
  <c r="H375" i="3" s="1"/>
  <c r="B402" i="3" s="1"/>
  <c r="H402" i="3" s="1"/>
  <c r="B430" i="3" s="1"/>
  <c r="H430" i="3" s="1"/>
  <c r="B458" i="3" s="1"/>
  <c r="H458" i="3" s="1"/>
  <c r="B486" i="3" s="1"/>
  <c r="H486" i="3" s="1"/>
  <c r="B514" i="3" s="1"/>
  <c r="H514" i="3" s="1"/>
  <c r="B542" i="3" s="1"/>
  <c r="H542" i="3" s="1"/>
  <c r="B570" i="3" s="1"/>
  <c r="H570" i="3" s="1"/>
  <c r="B598" i="3" s="1"/>
  <c r="H598" i="3" s="1"/>
  <c r="B25" i="2" s="1"/>
  <c r="H25" i="2" s="1"/>
  <c r="B53" i="2" s="1"/>
  <c r="H53" i="2" s="1"/>
  <c r="B81" i="2" s="1"/>
  <c r="H81" i="2" s="1"/>
  <c r="B109" i="2" s="1"/>
  <c r="H109" i="2" s="1"/>
  <c r="B137" i="2" s="1"/>
  <c r="H137" i="2" s="1"/>
  <c r="B165" i="2" s="1"/>
  <c r="H165" i="2" s="1"/>
  <c r="B193" i="2" s="1"/>
  <c r="H193" i="2" s="1"/>
  <c r="B221" i="2" s="1"/>
  <c r="H221" i="2" s="1"/>
  <c r="B249" i="2" s="1"/>
  <c r="H249" i="2" s="1"/>
  <c r="B277" i="2" s="1"/>
  <c r="H277" i="2" s="1"/>
  <c r="B305" i="2" s="1"/>
  <c r="H305" i="2" s="1"/>
  <c r="B333" i="2" s="1"/>
  <c r="H333" i="2" s="1"/>
  <c r="B361" i="2" s="1"/>
  <c r="H361" i="2" s="1"/>
  <c r="B389" i="2" s="1"/>
  <c r="H389" i="2" s="1"/>
  <c r="B417" i="2" s="1"/>
  <c r="H417" i="2" s="1"/>
  <c r="B445" i="2" s="1"/>
  <c r="H445" i="2" s="1"/>
  <c r="B473" i="2" s="1"/>
  <c r="H473" i="2" s="1"/>
  <c r="B512" i="2" s="1"/>
  <c r="H512" i="2" s="1"/>
  <c r="B53" i="1" s="1"/>
  <c r="H53" i="1" s="1"/>
  <c r="B81" i="1" s="1"/>
  <c r="H81" i="1" s="1"/>
  <c r="B109" i="1" s="1"/>
  <c r="H109" i="1" s="1"/>
  <c r="B137" i="1" s="1"/>
  <c r="H137" i="1" s="1"/>
  <c r="B165" i="1" s="1"/>
  <c r="H165" i="1" s="1"/>
  <c r="B193" i="1" s="1"/>
  <c r="H193" i="1" s="1"/>
  <c r="B221" i="1" s="1"/>
  <c r="H221" i="1" s="1"/>
  <c r="B249" i="1" s="1"/>
  <c r="H249" i="1" s="1"/>
  <c r="B277" i="1" s="1"/>
  <c r="H277" i="1" s="1"/>
  <c r="B495" i="4"/>
  <c r="H495" i="4" s="1"/>
  <c r="B523" i="4" s="1"/>
  <c r="H523" i="4" s="1"/>
  <c r="B22" i="3"/>
  <c r="H22" i="3" s="1"/>
  <c r="B49" i="3" s="1"/>
  <c r="H49" i="3" s="1"/>
  <c r="B76" i="3" s="1"/>
  <c r="H76" i="3" s="1"/>
  <c r="B103" i="3" s="1"/>
  <c r="H103" i="3" s="1"/>
  <c r="B130" i="3" s="1"/>
  <c r="H130" i="3" s="1"/>
  <c r="B157" i="3" s="1"/>
  <c r="H157" i="3" s="1"/>
  <c r="B184" i="3" s="1"/>
  <c r="H184" i="3" s="1"/>
  <c r="B211" i="3" s="1"/>
  <c r="H211" i="3" s="1"/>
  <c r="B238" i="3" s="1"/>
  <c r="H238" i="3" s="1"/>
  <c r="B265" i="3" s="1"/>
  <c r="H265" i="3" s="1"/>
  <c r="B292" i="3" s="1"/>
  <c r="H292" i="3" s="1"/>
  <c r="B319" i="3" s="1"/>
  <c r="H319" i="3" s="1"/>
  <c r="B346" i="3" s="1"/>
  <c r="H346" i="3" s="1"/>
  <c r="B373" i="3" s="1"/>
  <c r="H373" i="3" s="1"/>
  <c r="B400" i="3" s="1"/>
  <c r="H400" i="3" s="1"/>
  <c r="B428" i="3" s="1"/>
  <c r="H428" i="3" s="1"/>
  <c r="B456" i="3" s="1"/>
  <c r="H456" i="3" s="1"/>
  <c r="B484" i="3" s="1"/>
  <c r="H484" i="3" s="1"/>
  <c r="B512" i="3" s="1"/>
  <c r="H512" i="3" s="1"/>
  <c r="B540" i="3" s="1"/>
  <c r="H540" i="3" s="1"/>
  <c r="B568" i="3" s="1"/>
  <c r="H568" i="3" s="1"/>
  <c r="B596" i="3" s="1"/>
  <c r="H596" i="3" s="1"/>
  <c r="B23" i="2" s="1"/>
  <c r="H23" i="2" s="1"/>
  <c r="B51" i="2" s="1"/>
  <c r="H51" i="2" s="1"/>
  <c r="B79" i="2" s="1"/>
  <c r="H79" i="2" s="1"/>
  <c r="B107" i="2" s="1"/>
  <c r="H107" i="2" s="1"/>
  <c r="B135" i="2" s="1"/>
  <c r="H135" i="2" s="1"/>
  <c r="B163" i="2" s="1"/>
  <c r="H163" i="2" s="1"/>
  <c r="B191" i="2" s="1"/>
  <c r="H191" i="2" s="1"/>
  <c r="B219" i="2" s="1"/>
  <c r="H219" i="2" s="1"/>
  <c r="B247" i="2" s="1"/>
  <c r="H247" i="2" s="1"/>
  <c r="B275" i="2" s="1"/>
  <c r="H275" i="2" s="1"/>
  <c r="B303" i="2" s="1"/>
  <c r="H303" i="2" s="1"/>
  <c r="B331" i="2" s="1"/>
  <c r="H331" i="2" s="1"/>
  <c r="B359" i="2" s="1"/>
  <c r="H359" i="2" s="1"/>
  <c r="B387" i="2" s="1"/>
  <c r="H387" i="2" s="1"/>
  <c r="B415" i="2" s="1"/>
  <c r="H415" i="2" s="1"/>
  <c r="B443" i="2" s="1"/>
  <c r="H443" i="2" s="1"/>
  <c r="B471" i="2" s="1"/>
  <c r="H471" i="2" s="1"/>
  <c r="B510" i="2" s="1"/>
  <c r="H510" i="2" s="1"/>
  <c r="B51" i="1" s="1"/>
  <c r="H51" i="1" s="1"/>
  <c r="B79" i="1" s="1"/>
  <c r="H79" i="1" s="1"/>
  <c r="B107" i="1" s="1"/>
  <c r="H107" i="1" s="1"/>
  <c r="B135" i="1" s="1"/>
  <c r="H135" i="1" s="1"/>
  <c r="B163" i="1" s="1"/>
  <c r="H163" i="1" s="1"/>
  <c r="B191" i="1" s="1"/>
  <c r="H191" i="1" s="1"/>
  <c r="B219" i="1" s="1"/>
  <c r="H219" i="1" s="1"/>
  <c r="B247" i="1" s="1"/>
  <c r="H247" i="1" s="1"/>
  <c r="B275" i="1" s="1"/>
  <c r="H275" i="1" s="1"/>
  <c r="B494" i="4"/>
  <c r="H494" i="4" s="1"/>
  <c r="B522" i="4" s="1"/>
  <c r="H522" i="4" s="1"/>
  <c r="B21" i="3"/>
  <c r="H21" i="3" s="1"/>
  <c r="B48" i="3" s="1"/>
  <c r="H48" i="3" s="1"/>
  <c r="B75" i="3" s="1"/>
  <c r="H75" i="3" s="1"/>
  <c r="B102" i="3" s="1"/>
  <c r="H102" i="3" s="1"/>
  <c r="B129" i="3" s="1"/>
  <c r="H129" i="3" s="1"/>
  <c r="B156" i="3" s="1"/>
  <c r="H156" i="3" s="1"/>
  <c r="B183" i="3" s="1"/>
  <c r="H183" i="3" s="1"/>
  <c r="B210" i="3" s="1"/>
  <c r="H210" i="3" s="1"/>
  <c r="B237" i="3" s="1"/>
  <c r="H237" i="3" s="1"/>
  <c r="B264" i="3" s="1"/>
  <c r="H264" i="3" s="1"/>
  <c r="B291" i="3" s="1"/>
  <c r="H291" i="3" s="1"/>
  <c r="B318" i="3" s="1"/>
  <c r="H318" i="3" s="1"/>
  <c r="B345" i="3" s="1"/>
  <c r="H345" i="3" s="1"/>
  <c r="B372" i="3" s="1"/>
  <c r="H372" i="3" s="1"/>
  <c r="B399" i="3" s="1"/>
  <c r="H399" i="3" s="1"/>
  <c r="B426" i="3" s="1"/>
  <c r="H426" i="3" s="1"/>
  <c r="B454" i="3" s="1"/>
  <c r="H454" i="3" s="1"/>
  <c r="B482" i="3" s="1"/>
  <c r="H482" i="3" s="1"/>
  <c r="B510" i="3" s="1"/>
  <c r="H510" i="3" s="1"/>
  <c r="B538" i="3" s="1"/>
  <c r="H538" i="3" s="1"/>
  <c r="B566" i="3" s="1"/>
  <c r="H566" i="3" s="1"/>
  <c r="B594" i="3" s="1"/>
  <c r="H594" i="3" s="1"/>
  <c r="B21" i="2" s="1"/>
  <c r="H21" i="2" s="1"/>
  <c r="B49" i="2" s="1"/>
  <c r="H49" i="2" s="1"/>
  <c r="B77" i="2" s="1"/>
  <c r="H77" i="2" s="1"/>
  <c r="B105" i="2" s="1"/>
  <c r="H105" i="2" s="1"/>
  <c r="B133" i="2" s="1"/>
  <c r="H133" i="2" s="1"/>
  <c r="B161" i="2" s="1"/>
  <c r="H161" i="2" s="1"/>
  <c r="B189" i="2" s="1"/>
  <c r="H189" i="2" s="1"/>
  <c r="B217" i="2" s="1"/>
  <c r="H217" i="2" s="1"/>
  <c r="B245" i="2" s="1"/>
  <c r="H245" i="2" s="1"/>
  <c r="B273" i="2" s="1"/>
  <c r="H273" i="2" s="1"/>
  <c r="B301" i="2" s="1"/>
  <c r="H301" i="2" s="1"/>
  <c r="B329" i="2" s="1"/>
  <c r="H329" i="2" s="1"/>
  <c r="B357" i="2" s="1"/>
  <c r="H357" i="2" s="1"/>
  <c r="B385" i="2" s="1"/>
  <c r="H385" i="2" s="1"/>
  <c r="B413" i="2" s="1"/>
  <c r="H413" i="2" s="1"/>
  <c r="B441" i="2" s="1"/>
  <c r="H441" i="2" s="1"/>
  <c r="B469" i="2" s="1"/>
  <c r="H469" i="2" s="1"/>
  <c r="B508" i="2" s="1"/>
  <c r="H508" i="2" s="1"/>
  <c r="B49" i="1" s="1"/>
  <c r="H49" i="1" s="1"/>
  <c r="B77" i="1" s="1"/>
  <c r="H77" i="1" s="1"/>
  <c r="B105" i="1" s="1"/>
  <c r="H105" i="1" s="1"/>
  <c r="B133" i="1" s="1"/>
  <c r="H133" i="1" s="1"/>
  <c r="B161" i="1" s="1"/>
  <c r="H161" i="1" s="1"/>
  <c r="B189" i="1" s="1"/>
  <c r="H189" i="1" s="1"/>
  <c r="B217" i="1" s="1"/>
  <c r="H217" i="1" s="1"/>
  <c r="B245" i="1" s="1"/>
  <c r="H245" i="1" s="1"/>
  <c r="B273" i="1" s="1"/>
  <c r="H273" i="1" s="1"/>
  <c r="B493" i="4"/>
  <c r="H493" i="4" s="1"/>
  <c r="B521" i="4" s="1"/>
  <c r="H521" i="4" s="1"/>
  <c r="B20" i="3"/>
  <c r="H20" i="3" s="1"/>
  <c r="B47" i="3" s="1"/>
  <c r="H47" i="3" s="1"/>
  <c r="B74" i="3" s="1"/>
  <c r="H74" i="3" s="1"/>
  <c r="B101" i="3" s="1"/>
  <c r="H101" i="3" s="1"/>
  <c r="B128" i="3" s="1"/>
  <c r="H128" i="3" s="1"/>
  <c r="B155" i="3" s="1"/>
  <c r="H155" i="3" s="1"/>
  <c r="B182" i="3" s="1"/>
  <c r="H182" i="3" s="1"/>
  <c r="B209" i="3" s="1"/>
  <c r="H209" i="3" s="1"/>
  <c r="B236" i="3" s="1"/>
  <c r="H236" i="3" s="1"/>
  <c r="B263" i="3" s="1"/>
  <c r="H263" i="3" s="1"/>
  <c r="B290" i="3" s="1"/>
  <c r="H290" i="3" s="1"/>
  <c r="B317" i="3" s="1"/>
  <c r="H317" i="3" s="1"/>
  <c r="B344" i="3" s="1"/>
  <c r="H344" i="3" s="1"/>
  <c r="B371" i="3" s="1"/>
  <c r="H371" i="3" s="1"/>
  <c r="B398" i="3" s="1"/>
  <c r="H398" i="3" s="1"/>
  <c r="B425" i="3" s="1"/>
  <c r="H425" i="3" s="1"/>
  <c r="B453" i="3" s="1"/>
  <c r="H453" i="3" s="1"/>
  <c r="B481" i="3" s="1"/>
  <c r="H481" i="3" s="1"/>
  <c r="B509" i="3" s="1"/>
  <c r="H509" i="3" s="1"/>
  <c r="B537" i="3" s="1"/>
  <c r="H537" i="3" s="1"/>
  <c r="B565" i="3" s="1"/>
  <c r="H565" i="3" s="1"/>
  <c r="B593" i="3" s="1"/>
  <c r="H593" i="3" s="1"/>
  <c r="B20" i="2" s="1"/>
  <c r="H20" i="2" s="1"/>
  <c r="B48" i="2" s="1"/>
  <c r="H48" i="2" s="1"/>
  <c r="B76" i="2" s="1"/>
  <c r="H76" i="2" s="1"/>
  <c r="B104" i="2" s="1"/>
  <c r="H104" i="2" s="1"/>
  <c r="B132" i="2" s="1"/>
  <c r="H132" i="2" s="1"/>
  <c r="B160" i="2" s="1"/>
  <c r="H160" i="2" s="1"/>
  <c r="B188" i="2" s="1"/>
  <c r="H188" i="2" s="1"/>
  <c r="B216" i="2" s="1"/>
  <c r="H216" i="2" s="1"/>
  <c r="B244" i="2" s="1"/>
  <c r="H244" i="2" s="1"/>
  <c r="B272" i="2" s="1"/>
  <c r="H272" i="2" s="1"/>
  <c r="B300" i="2" s="1"/>
  <c r="H300" i="2" s="1"/>
  <c r="B328" i="2" s="1"/>
  <c r="H328" i="2" s="1"/>
  <c r="B356" i="2" s="1"/>
  <c r="H356" i="2" s="1"/>
  <c r="B384" i="2" s="1"/>
  <c r="H384" i="2" s="1"/>
  <c r="B412" i="2" s="1"/>
  <c r="H412" i="2" s="1"/>
  <c r="B440" i="2" s="1"/>
  <c r="H440" i="2" s="1"/>
  <c r="B468" i="2" s="1"/>
  <c r="H468" i="2" s="1"/>
  <c r="B507" i="2" s="1"/>
  <c r="H507" i="2" s="1"/>
  <c r="B48" i="1" s="1"/>
  <c r="H48" i="1" s="1"/>
  <c r="B76" i="1" s="1"/>
  <c r="H76" i="1" s="1"/>
  <c r="B104" i="1" s="1"/>
  <c r="H104" i="1" s="1"/>
  <c r="B132" i="1" s="1"/>
  <c r="H132" i="1" s="1"/>
  <c r="B160" i="1" s="1"/>
  <c r="H160" i="1" s="1"/>
  <c r="B188" i="1" s="1"/>
  <c r="H188" i="1" s="1"/>
  <c r="B216" i="1" s="1"/>
  <c r="H216" i="1" s="1"/>
  <c r="B244" i="1" s="1"/>
  <c r="H244" i="1" s="1"/>
  <c r="B272" i="1" s="1"/>
  <c r="H272" i="1" s="1"/>
  <c r="B492" i="4"/>
  <c r="H492" i="4" s="1"/>
  <c r="B520" i="4" s="1"/>
  <c r="H520" i="4" s="1"/>
  <c r="B19" i="3"/>
  <c r="H19" i="3" s="1"/>
  <c r="B46" i="3" s="1"/>
  <c r="H46" i="3" s="1"/>
  <c r="B73" i="3" s="1"/>
  <c r="H73" i="3" s="1"/>
  <c r="B100" i="3" s="1"/>
  <c r="H100" i="3" s="1"/>
  <c r="B127" i="3" s="1"/>
  <c r="H127" i="3" s="1"/>
  <c r="B154" i="3" s="1"/>
  <c r="H154" i="3" s="1"/>
  <c r="B181" i="3" s="1"/>
  <c r="H181" i="3" s="1"/>
  <c r="B208" i="3" s="1"/>
  <c r="H208" i="3" s="1"/>
  <c r="B235" i="3" s="1"/>
  <c r="H235" i="3" s="1"/>
  <c r="B262" i="3" s="1"/>
  <c r="H262" i="3" s="1"/>
  <c r="B289" i="3" s="1"/>
  <c r="H289" i="3" s="1"/>
  <c r="B316" i="3" s="1"/>
  <c r="H316" i="3" s="1"/>
  <c r="B343" i="3" s="1"/>
  <c r="H343" i="3" s="1"/>
  <c r="B370" i="3" s="1"/>
  <c r="H370" i="3" s="1"/>
  <c r="B397" i="3" s="1"/>
  <c r="H397" i="3" s="1"/>
  <c r="B424" i="3" s="1"/>
  <c r="H424" i="3" s="1"/>
  <c r="B452" i="3" s="1"/>
  <c r="H452" i="3" s="1"/>
  <c r="B480" i="3" s="1"/>
  <c r="H480" i="3" s="1"/>
  <c r="B508" i="3" s="1"/>
  <c r="H508" i="3" s="1"/>
  <c r="B536" i="3" s="1"/>
  <c r="H536" i="3" s="1"/>
  <c r="B564" i="3" s="1"/>
  <c r="H564" i="3" s="1"/>
  <c r="B592" i="3" s="1"/>
  <c r="H592" i="3" s="1"/>
  <c r="B19" i="2" s="1"/>
  <c r="H19" i="2" s="1"/>
  <c r="B47" i="2" s="1"/>
  <c r="H47" i="2" s="1"/>
  <c r="B75" i="2" s="1"/>
  <c r="H75" i="2" s="1"/>
  <c r="B103" i="2" s="1"/>
  <c r="H103" i="2" s="1"/>
  <c r="B131" i="2" s="1"/>
  <c r="H131" i="2" s="1"/>
  <c r="B159" i="2" s="1"/>
  <c r="H159" i="2" s="1"/>
  <c r="B187" i="2" s="1"/>
  <c r="H187" i="2" s="1"/>
  <c r="B215" i="2" s="1"/>
  <c r="H215" i="2" s="1"/>
  <c r="B243" i="2" s="1"/>
  <c r="H243" i="2" s="1"/>
  <c r="B271" i="2" s="1"/>
  <c r="H271" i="2" s="1"/>
  <c r="B299" i="2" s="1"/>
  <c r="H299" i="2" s="1"/>
  <c r="B327" i="2" s="1"/>
  <c r="H327" i="2" s="1"/>
  <c r="B355" i="2" s="1"/>
  <c r="H355" i="2" s="1"/>
  <c r="B383" i="2" s="1"/>
  <c r="H383" i="2" s="1"/>
  <c r="B411" i="2" s="1"/>
  <c r="H411" i="2" s="1"/>
  <c r="B439" i="2" s="1"/>
  <c r="H439" i="2" s="1"/>
  <c r="B467" i="2" s="1"/>
  <c r="H467" i="2" s="1"/>
  <c r="B506" i="2" s="1"/>
  <c r="H506" i="2" s="1"/>
  <c r="B47" i="1" s="1"/>
  <c r="H47" i="1" s="1"/>
  <c r="B75" i="1" s="1"/>
  <c r="H75" i="1" s="1"/>
  <c r="B103" i="1" s="1"/>
  <c r="H103" i="1" s="1"/>
  <c r="B131" i="1" s="1"/>
  <c r="H131" i="1" s="1"/>
  <c r="B159" i="1" s="1"/>
  <c r="H159" i="1" s="1"/>
  <c r="B187" i="1" s="1"/>
  <c r="H187" i="1" s="1"/>
  <c r="B215" i="1" s="1"/>
  <c r="H215" i="1" s="1"/>
  <c r="B243" i="1" s="1"/>
  <c r="H243" i="1" s="1"/>
  <c r="B271" i="1" s="1"/>
  <c r="H271" i="1" s="1"/>
  <c r="B491" i="4"/>
  <c r="H491" i="4" s="1"/>
  <c r="B519" i="4" s="1"/>
  <c r="H519" i="4" s="1"/>
  <c r="B18" i="3"/>
  <c r="H18" i="3" s="1"/>
  <c r="B45" i="3" s="1"/>
  <c r="H45" i="3" s="1"/>
  <c r="B72" i="3" s="1"/>
  <c r="H72" i="3" s="1"/>
  <c r="B99" i="3" s="1"/>
  <c r="H99" i="3" s="1"/>
  <c r="B126" i="3" s="1"/>
  <c r="H126" i="3" s="1"/>
  <c r="B153" i="3" s="1"/>
  <c r="H153" i="3" s="1"/>
  <c r="B180" i="3" s="1"/>
  <c r="H180" i="3" s="1"/>
  <c r="B207" i="3" s="1"/>
  <c r="H207" i="3" s="1"/>
  <c r="B234" i="3" s="1"/>
  <c r="H234" i="3" s="1"/>
  <c r="B261" i="3" s="1"/>
  <c r="H261" i="3" s="1"/>
  <c r="B288" i="3" s="1"/>
  <c r="H288" i="3" s="1"/>
  <c r="B315" i="3" s="1"/>
  <c r="H315" i="3" s="1"/>
  <c r="B342" i="3" s="1"/>
  <c r="H342" i="3" s="1"/>
  <c r="B369" i="3" s="1"/>
  <c r="H369" i="3" s="1"/>
  <c r="B396" i="3" s="1"/>
  <c r="H396" i="3" s="1"/>
  <c r="B423" i="3" s="1"/>
  <c r="H423" i="3" s="1"/>
  <c r="B451" i="3" s="1"/>
  <c r="H451" i="3" s="1"/>
  <c r="B479" i="3" s="1"/>
  <c r="H479" i="3" s="1"/>
  <c r="B507" i="3" s="1"/>
  <c r="H507" i="3" s="1"/>
  <c r="B535" i="3" s="1"/>
  <c r="H535" i="3" s="1"/>
  <c r="B563" i="3" s="1"/>
  <c r="H563" i="3" s="1"/>
  <c r="B591" i="3" s="1"/>
  <c r="H591" i="3" s="1"/>
  <c r="B18" i="2" s="1"/>
  <c r="H18" i="2" s="1"/>
  <c r="B46" i="2" s="1"/>
  <c r="H46" i="2" s="1"/>
  <c r="B74" i="2" s="1"/>
  <c r="H74" i="2" s="1"/>
  <c r="B102" i="2" s="1"/>
  <c r="H102" i="2" s="1"/>
  <c r="B130" i="2" s="1"/>
  <c r="H130" i="2" s="1"/>
  <c r="B158" i="2" s="1"/>
  <c r="H158" i="2" s="1"/>
  <c r="B186" i="2" s="1"/>
  <c r="H186" i="2" s="1"/>
  <c r="B214" i="2" s="1"/>
  <c r="H214" i="2" s="1"/>
  <c r="B242" i="2" s="1"/>
  <c r="H242" i="2" s="1"/>
  <c r="B270" i="2" s="1"/>
  <c r="H270" i="2" s="1"/>
  <c r="B298" i="2" s="1"/>
  <c r="H298" i="2" s="1"/>
  <c r="B326" i="2" s="1"/>
  <c r="H326" i="2" s="1"/>
  <c r="B354" i="2" s="1"/>
  <c r="H354" i="2" s="1"/>
  <c r="B382" i="2" s="1"/>
  <c r="H382" i="2" s="1"/>
  <c r="B410" i="2" s="1"/>
  <c r="H410" i="2" s="1"/>
  <c r="B438" i="2" s="1"/>
  <c r="H438" i="2" s="1"/>
  <c r="B466" i="2" s="1"/>
  <c r="H466" i="2" s="1"/>
  <c r="B505" i="2" s="1"/>
  <c r="H505" i="2" s="1"/>
  <c r="B46" i="1" s="1"/>
  <c r="H46" i="1" s="1"/>
  <c r="B74" i="1" s="1"/>
  <c r="H74" i="1" s="1"/>
  <c r="B102" i="1" s="1"/>
  <c r="H102" i="1" s="1"/>
  <c r="B130" i="1" s="1"/>
  <c r="H130" i="1" s="1"/>
  <c r="B158" i="1" s="1"/>
  <c r="H158" i="1" s="1"/>
  <c r="B186" i="1" s="1"/>
  <c r="H186" i="1" s="1"/>
  <c r="B214" i="1" s="1"/>
  <c r="H214" i="1" s="1"/>
  <c r="B242" i="1" s="1"/>
  <c r="H242" i="1" s="1"/>
  <c r="B270" i="1" s="1"/>
  <c r="H270" i="1" s="1"/>
  <c r="B490" i="4"/>
  <c r="H490" i="4" s="1"/>
  <c r="B518" i="4" s="1"/>
  <c r="H518" i="4" s="1"/>
  <c r="B17" i="3"/>
  <c r="H17" i="3" s="1"/>
  <c r="B44" i="3" s="1"/>
  <c r="H44" i="3" s="1"/>
  <c r="B71" i="3" s="1"/>
  <c r="H71" i="3" s="1"/>
  <c r="B98" i="3" s="1"/>
  <c r="H98" i="3" s="1"/>
  <c r="B125" i="3" s="1"/>
  <c r="H125" i="3" s="1"/>
  <c r="B152" i="3" s="1"/>
  <c r="H152" i="3" s="1"/>
  <c r="B179" i="3" s="1"/>
  <c r="H179" i="3" s="1"/>
  <c r="B206" i="3" s="1"/>
  <c r="H206" i="3" s="1"/>
  <c r="B233" i="3" s="1"/>
  <c r="H233" i="3" s="1"/>
  <c r="B260" i="3" s="1"/>
  <c r="H260" i="3" s="1"/>
  <c r="B287" i="3" s="1"/>
  <c r="H287" i="3" s="1"/>
  <c r="B314" i="3" s="1"/>
  <c r="H314" i="3" s="1"/>
  <c r="B341" i="3" s="1"/>
  <c r="H341" i="3" s="1"/>
  <c r="B368" i="3" s="1"/>
  <c r="H368" i="3" s="1"/>
  <c r="B395" i="3" s="1"/>
  <c r="H395" i="3" s="1"/>
  <c r="B422" i="3" s="1"/>
  <c r="H422" i="3" s="1"/>
  <c r="B450" i="3" s="1"/>
  <c r="H450" i="3" s="1"/>
  <c r="B478" i="3" s="1"/>
  <c r="H478" i="3" s="1"/>
  <c r="B506" i="3" s="1"/>
  <c r="H506" i="3" s="1"/>
  <c r="B534" i="3" s="1"/>
  <c r="H534" i="3" s="1"/>
  <c r="B562" i="3" s="1"/>
  <c r="H562" i="3" s="1"/>
  <c r="B590" i="3" s="1"/>
  <c r="H590" i="3" s="1"/>
  <c r="B17" i="2" s="1"/>
  <c r="H17" i="2" s="1"/>
  <c r="B45" i="2" s="1"/>
  <c r="H45" i="2" s="1"/>
  <c r="B73" i="2" s="1"/>
  <c r="H73" i="2" s="1"/>
  <c r="B101" i="2" s="1"/>
  <c r="H101" i="2" s="1"/>
  <c r="B129" i="2" s="1"/>
  <c r="H129" i="2" s="1"/>
  <c r="B157" i="2" s="1"/>
  <c r="H157" i="2" s="1"/>
  <c r="B185" i="2" s="1"/>
  <c r="H185" i="2" s="1"/>
  <c r="B213" i="2" s="1"/>
  <c r="H213" i="2" s="1"/>
  <c r="B241" i="2" s="1"/>
  <c r="H241" i="2" s="1"/>
  <c r="B269" i="2" s="1"/>
  <c r="H269" i="2" s="1"/>
  <c r="B297" i="2" s="1"/>
  <c r="H297" i="2" s="1"/>
  <c r="B325" i="2" s="1"/>
  <c r="H325" i="2" s="1"/>
  <c r="B353" i="2" s="1"/>
  <c r="H353" i="2" s="1"/>
  <c r="B381" i="2" s="1"/>
  <c r="H381" i="2" s="1"/>
  <c r="B409" i="2" s="1"/>
  <c r="H409" i="2" s="1"/>
  <c r="B437" i="2" s="1"/>
  <c r="H437" i="2" s="1"/>
  <c r="B465" i="2" s="1"/>
  <c r="H465" i="2" s="1"/>
  <c r="B504" i="2" s="1"/>
  <c r="H504" i="2" s="1"/>
  <c r="B45" i="1" s="1"/>
  <c r="H45" i="1" s="1"/>
  <c r="B73" i="1" s="1"/>
  <c r="H73" i="1" s="1"/>
  <c r="B101" i="1" s="1"/>
  <c r="H101" i="1" s="1"/>
  <c r="B129" i="1" s="1"/>
  <c r="H129" i="1" s="1"/>
  <c r="B157" i="1" s="1"/>
  <c r="H157" i="1" s="1"/>
  <c r="B185" i="1" s="1"/>
  <c r="H185" i="1" s="1"/>
  <c r="B213" i="1" s="1"/>
  <c r="H213" i="1" s="1"/>
  <c r="B241" i="1" s="1"/>
  <c r="H241" i="1" s="1"/>
  <c r="B269" i="1" s="1"/>
  <c r="H269" i="1" s="1"/>
  <c r="B489" i="4"/>
  <c r="H489" i="4" s="1"/>
  <c r="B517" i="4" s="1"/>
  <c r="H517" i="4" s="1"/>
  <c r="B16" i="3"/>
  <c r="H16" i="3" s="1"/>
  <c r="B43" i="3" s="1"/>
  <c r="H43" i="3" s="1"/>
  <c r="B70" i="3" s="1"/>
  <c r="H70" i="3" s="1"/>
  <c r="B97" i="3" s="1"/>
  <c r="H97" i="3" s="1"/>
  <c r="B124" i="3" s="1"/>
  <c r="H124" i="3" s="1"/>
  <c r="B151" i="3" s="1"/>
  <c r="H151" i="3" s="1"/>
  <c r="B178" i="3" s="1"/>
  <c r="H178" i="3" s="1"/>
  <c r="B205" i="3" s="1"/>
  <c r="H205" i="3" s="1"/>
  <c r="B232" i="3" s="1"/>
  <c r="H232" i="3" s="1"/>
  <c r="B259" i="3" s="1"/>
  <c r="H259" i="3" s="1"/>
  <c r="B286" i="3" s="1"/>
  <c r="H286" i="3" s="1"/>
  <c r="B313" i="3" s="1"/>
  <c r="H313" i="3" s="1"/>
  <c r="B340" i="3" s="1"/>
  <c r="H340" i="3" s="1"/>
  <c r="B367" i="3" s="1"/>
  <c r="H367" i="3" s="1"/>
  <c r="B394" i="3" s="1"/>
  <c r="H394" i="3" s="1"/>
  <c r="B421" i="3" s="1"/>
  <c r="H421" i="3" s="1"/>
  <c r="B449" i="3" s="1"/>
  <c r="H449" i="3" s="1"/>
  <c r="B477" i="3" s="1"/>
  <c r="H477" i="3" s="1"/>
  <c r="B505" i="3" s="1"/>
  <c r="H505" i="3" s="1"/>
  <c r="B533" i="3" s="1"/>
  <c r="H533" i="3" s="1"/>
  <c r="B561" i="3" s="1"/>
  <c r="H561" i="3" s="1"/>
  <c r="B589" i="3" s="1"/>
  <c r="H589" i="3" s="1"/>
  <c r="B16" i="2" s="1"/>
  <c r="H16" i="2" s="1"/>
  <c r="B44" i="2" s="1"/>
  <c r="H44" i="2" s="1"/>
  <c r="B72" i="2" s="1"/>
  <c r="H72" i="2" s="1"/>
  <c r="B100" i="2" s="1"/>
  <c r="H100" i="2" s="1"/>
  <c r="B128" i="2" s="1"/>
  <c r="H128" i="2" s="1"/>
  <c r="B156" i="2" s="1"/>
  <c r="H156" i="2" s="1"/>
  <c r="B184" i="2" s="1"/>
  <c r="H184" i="2" s="1"/>
  <c r="B212" i="2" s="1"/>
  <c r="H212" i="2" s="1"/>
  <c r="B240" i="2" s="1"/>
  <c r="H240" i="2" s="1"/>
  <c r="B268" i="2" s="1"/>
  <c r="H268" i="2" s="1"/>
  <c r="B296" i="2" s="1"/>
  <c r="H296" i="2" s="1"/>
  <c r="B324" i="2" s="1"/>
  <c r="H324" i="2" s="1"/>
  <c r="B352" i="2" s="1"/>
  <c r="H352" i="2" s="1"/>
  <c r="B380" i="2" s="1"/>
  <c r="H380" i="2" s="1"/>
  <c r="B408" i="2" s="1"/>
  <c r="H408" i="2" s="1"/>
  <c r="B436" i="2" s="1"/>
  <c r="H436" i="2" s="1"/>
  <c r="B464" i="2" s="1"/>
  <c r="H464" i="2" s="1"/>
  <c r="B503" i="2" s="1"/>
  <c r="H503" i="2" s="1"/>
  <c r="B44" i="1" s="1"/>
  <c r="H44" i="1" s="1"/>
  <c r="B72" i="1" s="1"/>
  <c r="H72" i="1" s="1"/>
  <c r="B100" i="1" s="1"/>
  <c r="H100" i="1" s="1"/>
  <c r="B128" i="1" s="1"/>
  <c r="H128" i="1" s="1"/>
  <c r="B156" i="1" s="1"/>
  <c r="H156" i="1" s="1"/>
  <c r="B184" i="1" s="1"/>
  <c r="H184" i="1" s="1"/>
  <c r="B212" i="1" s="1"/>
  <c r="H212" i="1" s="1"/>
  <c r="B240" i="1" s="1"/>
  <c r="H240" i="1" s="1"/>
  <c r="B268" i="1" s="1"/>
  <c r="H268" i="1" s="1"/>
  <c r="B488" i="4"/>
  <c r="H488" i="4" s="1"/>
  <c r="B516" i="4" s="1"/>
  <c r="H516" i="4" s="1"/>
  <c r="B15" i="3"/>
  <c r="H15" i="3" s="1"/>
  <c r="B42" i="3" s="1"/>
  <c r="H42" i="3" s="1"/>
  <c r="B69" i="3" s="1"/>
  <c r="H69" i="3" s="1"/>
  <c r="B96" i="3" s="1"/>
  <c r="H96" i="3" s="1"/>
  <c r="B123" i="3" s="1"/>
  <c r="H123" i="3" s="1"/>
  <c r="B150" i="3" s="1"/>
  <c r="H150" i="3" s="1"/>
  <c r="B177" i="3" s="1"/>
  <c r="H177" i="3" s="1"/>
  <c r="B204" i="3" s="1"/>
  <c r="H204" i="3" s="1"/>
  <c r="B231" i="3" s="1"/>
  <c r="H231" i="3" s="1"/>
  <c r="B258" i="3" s="1"/>
  <c r="H258" i="3" s="1"/>
  <c r="B285" i="3" s="1"/>
  <c r="H285" i="3" s="1"/>
  <c r="B312" i="3" s="1"/>
  <c r="H312" i="3" s="1"/>
  <c r="B339" i="3" s="1"/>
  <c r="H339" i="3" s="1"/>
  <c r="B366" i="3" s="1"/>
  <c r="H366" i="3" s="1"/>
  <c r="B393" i="3" s="1"/>
  <c r="H393" i="3" s="1"/>
  <c r="B420" i="3" s="1"/>
  <c r="H420" i="3" s="1"/>
  <c r="B448" i="3" s="1"/>
  <c r="H448" i="3" s="1"/>
  <c r="B476" i="3" s="1"/>
  <c r="H476" i="3" s="1"/>
  <c r="B504" i="3" s="1"/>
  <c r="H504" i="3" s="1"/>
  <c r="B532" i="3" s="1"/>
  <c r="H532" i="3" s="1"/>
  <c r="B560" i="3" s="1"/>
  <c r="H560" i="3" s="1"/>
  <c r="B588" i="3" s="1"/>
  <c r="H588" i="3" s="1"/>
  <c r="B15" i="2" s="1"/>
  <c r="H15" i="2" s="1"/>
  <c r="B43" i="2" s="1"/>
  <c r="H43" i="2" s="1"/>
  <c r="B71" i="2" s="1"/>
  <c r="H71" i="2" s="1"/>
  <c r="B99" i="2" s="1"/>
  <c r="H99" i="2" s="1"/>
  <c r="B127" i="2" s="1"/>
  <c r="H127" i="2" s="1"/>
  <c r="B155" i="2" s="1"/>
  <c r="H155" i="2" s="1"/>
  <c r="B183" i="2" s="1"/>
  <c r="H183" i="2" s="1"/>
  <c r="B211" i="2" s="1"/>
  <c r="H211" i="2" s="1"/>
  <c r="B239" i="2" s="1"/>
  <c r="H239" i="2" s="1"/>
  <c r="B267" i="2" s="1"/>
  <c r="H267" i="2" s="1"/>
  <c r="B295" i="2" s="1"/>
  <c r="H295" i="2" s="1"/>
  <c r="B323" i="2" s="1"/>
  <c r="H323" i="2" s="1"/>
  <c r="B351" i="2" s="1"/>
  <c r="H351" i="2" s="1"/>
  <c r="B379" i="2" s="1"/>
  <c r="H379" i="2" s="1"/>
  <c r="B407" i="2" s="1"/>
  <c r="H407" i="2" s="1"/>
  <c r="B435" i="2" s="1"/>
  <c r="H435" i="2" s="1"/>
  <c r="B463" i="2" s="1"/>
  <c r="H463" i="2" s="1"/>
  <c r="B502" i="2" s="1"/>
  <c r="H502" i="2" s="1"/>
  <c r="B43" i="1" s="1"/>
  <c r="H43" i="1" s="1"/>
  <c r="B71" i="1" s="1"/>
  <c r="H71" i="1" s="1"/>
  <c r="B99" i="1" s="1"/>
  <c r="H99" i="1" s="1"/>
  <c r="B127" i="1" s="1"/>
  <c r="H127" i="1" s="1"/>
  <c r="B155" i="1" s="1"/>
  <c r="H155" i="1" s="1"/>
  <c r="B183" i="1" s="1"/>
  <c r="H183" i="1" s="1"/>
  <c r="B211" i="1" s="1"/>
  <c r="H211" i="1" s="1"/>
  <c r="B239" i="1" s="1"/>
  <c r="H239" i="1" s="1"/>
  <c r="B267" i="1" s="1"/>
  <c r="H267" i="1" s="1"/>
  <c r="B487" i="4"/>
  <c r="H487" i="4" s="1"/>
  <c r="B515" i="4" s="1"/>
  <c r="H515" i="4" s="1"/>
  <c r="B14" i="3"/>
  <c r="H14" i="3" s="1"/>
  <c r="B41" i="3" s="1"/>
  <c r="H41" i="3" s="1"/>
  <c r="B68" i="3" s="1"/>
  <c r="H68" i="3" s="1"/>
  <c r="B95" i="3" s="1"/>
  <c r="H95" i="3" s="1"/>
  <c r="B122" i="3" s="1"/>
  <c r="H122" i="3" s="1"/>
  <c r="B149" i="3" s="1"/>
  <c r="H149" i="3" s="1"/>
  <c r="B176" i="3" s="1"/>
  <c r="H176" i="3" s="1"/>
  <c r="B203" i="3" s="1"/>
  <c r="H203" i="3" s="1"/>
  <c r="B230" i="3" s="1"/>
  <c r="H230" i="3" s="1"/>
  <c r="B257" i="3" s="1"/>
  <c r="H257" i="3" s="1"/>
  <c r="B284" i="3" s="1"/>
  <c r="H284" i="3" s="1"/>
  <c r="B311" i="3" s="1"/>
  <c r="H311" i="3" s="1"/>
  <c r="B338" i="3" s="1"/>
  <c r="H338" i="3" s="1"/>
  <c r="B365" i="3" s="1"/>
  <c r="H365" i="3" s="1"/>
  <c r="B392" i="3" s="1"/>
  <c r="H392" i="3" s="1"/>
  <c r="B419" i="3" s="1"/>
  <c r="H419" i="3" s="1"/>
  <c r="B447" i="3" s="1"/>
  <c r="H447" i="3" s="1"/>
  <c r="B475" i="3" s="1"/>
  <c r="H475" i="3" s="1"/>
  <c r="B503" i="3" s="1"/>
  <c r="H503" i="3" s="1"/>
  <c r="B531" i="3" s="1"/>
  <c r="H531" i="3" s="1"/>
  <c r="B559" i="3" s="1"/>
  <c r="H559" i="3" s="1"/>
  <c r="B587" i="3" s="1"/>
  <c r="H587" i="3" s="1"/>
  <c r="B14" i="2" s="1"/>
  <c r="H14" i="2" s="1"/>
  <c r="B42" i="2" s="1"/>
  <c r="H42" i="2" s="1"/>
  <c r="B70" i="2" s="1"/>
  <c r="H70" i="2" s="1"/>
  <c r="B98" i="2" s="1"/>
  <c r="H98" i="2" s="1"/>
  <c r="B126" i="2" s="1"/>
  <c r="H126" i="2" s="1"/>
  <c r="B154" i="2" s="1"/>
  <c r="H154" i="2" s="1"/>
  <c r="B182" i="2" s="1"/>
  <c r="H182" i="2" s="1"/>
  <c r="B210" i="2" s="1"/>
  <c r="H210" i="2" s="1"/>
  <c r="B238" i="2" s="1"/>
  <c r="H238" i="2" s="1"/>
  <c r="B266" i="2" s="1"/>
  <c r="H266" i="2" s="1"/>
  <c r="B294" i="2" s="1"/>
  <c r="H294" i="2" s="1"/>
  <c r="B322" i="2" s="1"/>
  <c r="H322" i="2" s="1"/>
  <c r="B350" i="2" s="1"/>
  <c r="H350" i="2" s="1"/>
  <c r="B378" i="2" s="1"/>
  <c r="H378" i="2" s="1"/>
  <c r="B406" i="2" s="1"/>
  <c r="H406" i="2" s="1"/>
  <c r="B434" i="2" s="1"/>
  <c r="H434" i="2" s="1"/>
  <c r="B462" i="2" s="1"/>
  <c r="H462" i="2" s="1"/>
  <c r="B501" i="2" s="1"/>
  <c r="H501" i="2" s="1"/>
  <c r="B42" i="1" s="1"/>
  <c r="H42" i="1" s="1"/>
  <c r="B70" i="1" s="1"/>
  <c r="H70" i="1" s="1"/>
  <c r="B98" i="1" s="1"/>
  <c r="H98" i="1" s="1"/>
  <c r="B126" i="1" s="1"/>
  <c r="H126" i="1" s="1"/>
  <c r="B154" i="1" s="1"/>
  <c r="H154" i="1" s="1"/>
  <c r="B182" i="1" s="1"/>
  <c r="H182" i="1" s="1"/>
  <c r="B210" i="1" s="1"/>
  <c r="H210" i="1" s="1"/>
  <c r="B238" i="1" s="1"/>
  <c r="H238" i="1" s="1"/>
  <c r="B266" i="1" s="1"/>
  <c r="H266" i="1" s="1"/>
  <c r="B486" i="4"/>
  <c r="H486" i="4" s="1"/>
  <c r="B514" i="4" s="1"/>
  <c r="H514" i="4" s="1"/>
  <c r="B13" i="3"/>
  <c r="H13" i="3" s="1"/>
  <c r="B40" i="3" s="1"/>
  <c r="H40" i="3" s="1"/>
  <c r="B67" i="3" s="1"/>
  <c r="H67" i="3" s="1"/>
  <c r="B94" i="3" s="1"/>
  <c r="H94" i="3" s="1"/>
  <c r="B121" i="3" s="1"/>
  <c r="H121" i="3" s="1"/>
  <c r="B148" i="3" s="1"/>
  <c r="H148" i="3" s="1"/>
  <c r="B175" i="3" s="1"/>
  <c r="H175" i="3" s="1"/>
  <c r="B202" i="3" s="1"/>
  <c r="H202" i="3" s="1"/>
  <c r="B229" i="3" s="1"/>
  <c r="H229" i="3" s="1"/>
  <c r="B256" i="3" s="1"/>
  <c r="H256" i="3" s="1"/>
  <c r="B283" i="3" s="1"/>
  <c r="H283" i="3" s="1"/>
  <c r="B310" i="3" s="1"/>
  <c r="H310" i="3" s="1"/>
  <c r="B337" i="3" s="1"/>
  <c r="H337" i="3" s="1"/>
  <c r="B364" i="3" s="1"/>
  <c r="H364" i="3" s="1"/>
  <c r="B391" i="3" s="1"/>
  <c r="H391" i="3" s="1"/>
  <c r="B418" i="3" s="1"/>
  <c r="H418" i="3" s="1"/>
  <c r="B446" i="3" s="1"/>
  <c r="H446" i="3" s="1"/>
  <c r="B474" i="3" s="1"/>
  <c r="H474" i="3" s="1"/>
  <c r="B502" i="3" s="1"/>
  <c r="H502" i="3" s="1"/>
  <c r="B530" i="3" s="1"/>
  <c r="H530" i="3" s="1"/>
  <c r="B558" i="3" s="1"/>
  <c r="H558" i="3" s="1"/>
  <c r="B586" i="3" s="1"/>
  <c r="H586" i="3" s="1"/>
  <c r="B13" i="2" s="1"/>
  <c r="H13" i="2" s="1"/>
  <c r="B41" i="2" s="1"/>
  <c r="H41" i="2" s="1"/>
  <c r="B69" i="2" s="1"/>
  <c r="H69" i="2" s="1"/>
  <c r="B97" i="2" s="1"/>
  <c r="H97" i="2" s="1"/>
  <c r="B125" i="2" s="1"/>
  <c r="H125" i="2" s="1"/>
  <c r="B153" i="2" s="1"/>
  <c r="H153" i="2" s="1"/>
  <c r="B181" i="2" s="1"/>
  <c r="H181" i="2" s="1"/>
  <c r="B209" i="2" s="1"/>
  <c r="H209" i="2" s="1"/>
  <c r="B237" i="2" s="1"/>
  <c r="H237" i="2" s="1"/>
  <c r="B265" i="2" s="1"/>
  <c r="H265" i="2" s="1"/>
  <c r="B293" i="2" s="1"/>
  <c r="H293" i="2" s="1"/>
  <c r="B321" i="2" s="1"/>
  <c r="H321" i="2" s="1"/>
  <c r="B349" i="2" s="1"/>
  <c r="H349" i="2" s="1"/>
  <c r="B377" i="2" s="1"/>
  <c r="H377" i="2" s="1"/>
  <c r="B405" i="2" s="1"/>
  <c r="H405" i="2" s="1"/>
  <c r="B433" i="2" s="1"/>
  <c r="H433" i="2" s="1"/>
  <c r="B461" i="2" s="1"/>
  <c r="H461" i="2" s="1"/>
  <c r="B500" i="2" s="1"/>
  <c r="H500" i="2" s="1"/>
  <c r="B41" i="1" s="1"/>
  <c r="H41" i="1" s="1"/>
  <c r="B69" i="1" s="1"/>
  <c r="H69" i="1" s="1"/>
  <c r="B97" i="1" s="1"/>
  <c r="H97" i="1" s="1"/>
  <c r="B125" i="1" s="1"/>
  <c r="H125" i="1" s="1"/>
  <c r="B153" i="1" s="1"/>
  <c r="H153" i="1" s="1"/>
  <c r="B181" i="1" s="1"/>
  <c r="H181" i="1" s="1"/>
  <c r="B209" i="1" s="1"/>
  <c r="H209" i="1" s="1"/>
  <c r="B237" i="1" s="1"/>
  <c r="H237" i="1" s="1"/>
  <c r="B265" i="1" s="1"/>
  <c r="H265" i="1" s="1"/>
  <c r="B485" i="4"/>
  <c r="H485" i="4" s="1"/>
  <c r="B513" i="4" s="1"/>
  <c r="H513" i="4" s="1"/>
  <c r="B12" i="3"/>
  <c r="H12" i="3" s="1"/>
  <c r="B39" i="3" s="1"/>
  <c r="H39" i="3" s="1"/>
  <c r="B66" i="3" s="1"/>
  <c r="H66" i="3" s="1"/>
  <c r="B93" i="3" s="1"/>
  <c r="H93" i="3" s="1"/>
  <c r="B120" i="3" s="1"/>
  <c r="H120" i="3" s="1"/>
  <c r="B147" i="3" s="1"/>
  <c r="H147" i="3" s="1"/>
  <c r="B174" i="3" s="1"/>
  <c r="H174" i="3" s="1"/>
  <c r="B201" i="3" s="1"/>
  <c r="H201" i="3" s="1"/>
  <c r="B228" i="3" s="1"/>
  <c r="H228" i="3" s="1"/>
  <c r="B255" i="3" s="1"/>
  <c r="H255" i="3" s="1"/>
  <c r="B282" i="3" s="1"/>
  <c r="H282" i="3" s="1"/>
  <c r="B309" i="3" s="1"/>
  <c r="H309" i="3" s="1"/>
  <c r="B336" i="3" s="1"/>
  <c r="H336" i="3" s="1"/>
  <c r="B363" i="3" s="1"/>
  <c r="H363" i="3" s="1"/>
  <c r="B390" i="3" s="1"/>
  <c r="H390" i="3" s="1"/>
  <c r="B417" i="3" s="1"/>
  <c r="H417" i="3" s="1"/>
  <c r="B445" i="3" s="1"/>
  <c r="H445" i="3" s="1"/>
  <c r="B473" i="3" s="1"/>
  <c r="H473" i="3" s="1"/>
  <c r="B501" i="3" s="1"/>
  <c r="H501" i="3" s="1"/>
  <c r="B529" i="3" s="1"/>
  <c r="H529" i="3" s="1"/>
  <c r="B557" i="3" s="1"/>
  <c r="H557" i="3" s="1"/>
  <c r="B585" i="3" s="1"/>
  <c r="H585" i="3" s="1"/>
  <c r="B12" i="2" s="1"/>
  <c r="H12" i="2" s="1"/>
  <c r="B40" i="2" s="1"/>
  <c r="H40" i="2" s="1"/>
  <c r="B68" i="2" s="1"/>
  <c r="H68" i="2" s="1"/>
  <c r="B96" i="2" s="1"/>
  <c r="H96" i="2" s="1"/>
  <c r="B124" i="2" s="1"/>
  <c r="H124" i="2" s="1"/>
  <c r="B152" i="2" s="1"/>
  <c r="H152" i="2" s="1"/>
  <c r="B180" i="2" s="1"/>
  <c r="H180" i="2" s="1"/>
  <c r="B208" i="2" s="1"/>
  <c r="H208" i="2" s="1"/>
  <c r="B236" i="2" s="1"/>
  <c r="H236" i="2" s="1"/>
  <c r="B264" i="2" s="1"/>
  <c r="H264" i="2" s="1"/>
  <c r="B292" i="2" s="1"/>
  <c r="H292" i="2" s="1"/>
  <c r="B320" i="2" s="1"/>
  <c r="H320" i="2" s="1"/>
  <c r="B348" i="2" s="1"/>
  <c r="H348" i="2" s="1"/>
  <c r="B376" i="2" s="1"/>
  <c r="H376" i="2" s="1"/>
  <c r="B404" i="2" s="1"/>
  <c r="H404" i="2" s="1"/>
  <c r="B432" i="2" s="1"/>
  <c r="H432" i="2" s="1"/>
  <c r="B460" i="2" s="1"/>
  <c r="H460" i="2" s="1"/>
  <c r="B499" i="2" s="1"/>
  <c r="H499" i="2" s="1"/>
  <c r="B40" i="1" s="1"/>
  <c r="H40" i="1" s="1"/>
  <c r="B68" i="1" s="1"/>
  <c r="H68" i="1" s="1"/>
  <c r="B96" i="1" s="1"/>
  <c r="H96" i="1" s="1"/>
  <c r="B124" i="1" s="1"/>
  <c r="H124" i="1" s="1"/>
  <c r="B152" i="1" s="1"/>
  <c r="H152" i="1" s="1"/>
  <c r="B180" i="1" s="1"/>
  <c r="H180" i="1" s="1"/>
  <c r="B208" i="1" s="1"/>
  <c r="H208" i="1" s="1"/>
  <c r="B236" i="1" s="1"/>
  <c r="H236" i="1" s="1"/>
  <c r="B264" i="1" s="1"/>
  <c r="H264" i="1" s="1"/>
  <c r="B484" i="4"/>
  <c r="H484" i="4" s="1"/>
  <c r="B512" i="4" s="1"/>
  <c r="H512" i="4" s="1"/>
  <c r="B11" i="3"/>
  <c r="H11" i="3" s="1"/>
  <c r="B38" i="3" s="1"/>
  <c r="H38" i="3" s="1"/>
  <c r="B65" i="3" s="1"/>
  <c r="H65" i="3" s="1"/>
  <c r="B92" i="3" s="1"/>
  <c r="H92" i="3" s="1"/>
  <c r="B119" i="3" s="1"/>
  <c r="H119" i="3" s="1"/>
  <c r="B146" i="3" s="1"/>
  <c r="H146" i="3" s="1"/>
  <c r="B173" i="3" s="1"/>
  <c r="H173" i="3" s="1"/>
  <c r="B200" i="3" s="1"/>
  <c r="H200" i="3" s="1"/>
  <c r="B227" i="3" s="1"/>
  <c r="H227" i="3" s="1"/>
  <c r="B254" i="3" s="1"/>
  <c r="H254" i="3" s="1"/>
  <c r="B281" i="3" s="1"/>
  <c r="H281" i="3" s="1"/>
  <c r="B308" i="3" s="1"/>
  <c r="H308" i="3" s="1"/>
  <c r="B335" i="3" s="1"/>
  <c r="H335" i="3" s="1"/>
  <c r="B362" i="3" s="1"/>
  <c r="H362" i="3" s="1"/>
  <c r="B389" i="3" s="1"/>
  <c r="H389" i="3" s="1"/>
  <c r="B416" i="3" s="1"/>
  <c r="H416" i="3" s="1"/>
  <c r="B444" i="3" s="1"/>
  <c r="H444" i="3" s="1"/>
  <c r="B472" i="3" s="1"/>
  <c r="H472" i="3" s="1"/>
  <c r="B500" i="3" s="1"/>
  <c r="H500" i="3" s="1"/>
  <c r="B528" i="3" s="1"/>
  <c r="H528" i="3" s="1"/>
  <c r="B556" i="3" s="1"/>
  <c r="H556" i="3" s="1"/>
  <c r="B584" i="3" s="1"/>
  <c r="H584" i="3" s="1"/>
  <c r="B11" i="2" s="1"/>
  <c r="H11" i="2" s="1"/>
  <c r="B39" i="2" s="1"/>
  <c r="H39" i="2" s="1"/>
  <c r="B67" i="2" s="1"/>
  <c r="H67" i="2" s="1"/>
  <c r="B95" i="2" s="1"/>
  <c r="H95" i="2" s="1"/>
  <c r="B123" i="2" s="1"/>
  <c r="H123" i="2" s="1"/>
  <c r="B151" i="2" s="1"/>
  <c r="H151" i="2" s="1"/>
  <c r="B179" i="2" s="1"/>
  <c r="H179" i="2" s="1"/>
  <c r="B207" i="2" s="1"/>
  <c r="H207" i="2" s="1"/>
  <c r="B235" i="2" s="1"/>
  <c r="H235" i="2" s="1"/>
  <c r="B263" i="2" s="1"/>
  <c r="H263" i="2" s="1"/>
  <c r="B291" i="2" s="1"/>
  <c r="H291" i="2" s="1"/>
  <c r="B319" i="2" s="1"/>
  <c r="H319" i="2" s="1"/>
  <c r="B347" i="2" s="1"/>
  <c r="H347" i="2" s="1"/>
  <c r="B375" i="2" s="1"/>
  <c r="H375" i="2" s="1"/>
  <c r="B403" i="2" s="1"/>
  <c r="H403" i="2" s="1"/>
  <c r="B431" i="2" s="1"/>
  <c r="H431" i="2" s="1"/>
  <c r="B459" i="2" s="1"/>
  <c r="H459" i="2" s="1"/>
  <c r="B498" i="2" s="1"/>
  <c r="H498" i="2" s="1"/>
  <c r="B39" i="1" s="1"/>
  <c r="H39" i="1" s="1"/>
  <c r="B67" i="1" s="1"/>
  <c r="H67" i="1" s="1"/>
  <c r="B95" i="1" s="1"/>
  <c r="H95" i="1" s="1"/>
  <c r="B123" i="1" s="1"/>
  <c r="H123" i="1" s="1"/>
  <c r="B151" i="1" s="1"/>
  <c r="H151" i="1" s="1"/>
  <c r="B179" i="1" s="1"/>
  <c r="H179" i="1" s="1"/>
  <c r="B207" i="1" s="1"/>
  <c r="H207" i="1" s="1"/>
  <c r="B235" i="1" s="1"/>
  <c r="H235" i="1" s="1"/>
  <c r="B263" i="1" s="1"/>
  <c r="H263" i="1" s="1"/>
  <c r="B483" i="4"/>
  <c r="H483" i="4" s="1"/>
  <c r="B511" i="4" s="1"/>
  <c r="H511" i="4" s="1"/>
  <c r="B10" i="3"/>
  <c r="H10" i="3" s="1"/>
  <c r="B37" i="3" s="1"/>
  <c r="H37" i="3" s="1"/>
  <c r="B64" i="3" s="1"/>
  <c r="H64" i="3" s="1"/>
  <c r="B91" i="3" s="1"/>
  <c r="H91" i="3" s="1"/>
  <c r="B118" i="3" s="1"/>
  <c r="H118" i="3" s="1"/>
  <c r="B145" i="3" s="1"/>
  <c r="H145" i="3" s="1"/>
  <c r="B172" i="3" s="1"/>
  <c r="H172" i="3" s="1"/>
  <c r="B199" i="3" s="1"/>
  <c r="H199" i="3" s="1"/>
  <c r="B226" i="3" s="1"/>
  <c r="H226" i="3" s="1"/>
  <c r="B253" i="3" s="1"/>
  <c r="H253" i="3" s="1"/>
  <c r="B280" i="3" s="1"/>
  <c r="H280" i="3" s="1"/>
  <c r="B307" i="3" s="1"/>
  <c r="H307" i="3" s="1"/>
  <c r="B334" i="3" s="1"/>
  <c r="H334" i="3" s="1"/>
  <c r="B361" i="3" s="1"/>
  <c r="H361" i="3" s="1"/>
  <c r="B388" i="3" s="1"/>
  <c r="H388" i="3" s="1"/>
  <c r="B415" i="3" s="1"/>
  <c r="H415" i="3" s="1"/>
  <c r="B443" i="3" s="1"/>
  <c r="H443" i="3" s="1"/>
  <c r="B471" i="3" s="1"/>
  <c r="H471" i="3" s="1"/>
  <c r="B499" i="3" s="1"/>
  <c r="H499" i="3" s="1"/>
  <c r="B527" i="3" s="1"/>
  <c r="H527" i="3" s="1"/>
  <c r="B555" i="3" s="1"/>
  <c r="H555" i="3" s="1"/>
  <c r="B583" i="3" s="1"/>
  <c r="H583" i="3" s="1"/>
  <c r="B10" i="2" s="1"/>
  <c r="H10" i="2" s="1"/>
  <c r="B38" i="2" s="1"/>
  <c r="H38" i="2" s="1"/>
  <c r="B66" i="2" s="1"/>
  <c r="H66" i="2" s="1"/>
  <c r="B94" i="2" s="1"/>
  <c r="H94" i="2" s="1"/>
  <c r="B122" i="2" s="1"/>
  <c r="H122" i="2" s="1"/>
  <c r="B150" i="2" s="1"/>
  <c r="H150" i="2" s="1"/>
  <c r="B178" i="2" s="1"/>
  <c r="H178" i="2" s="1"/>
  <c r="B206" i="2" s="1"/>
  <c r="H206" i="2" s="1"/>
  <c r="B234" i="2" s="1"/>
  <c r="H234" i="2" s="1"/>
  <c r="B262" i="2" s="1"/>
  <c r="H262" i="2" s="1"/>
  <c r="B290" i="2" s="1"/>
  <c r="H290" i="2" s="1"/>
  <c r="B318" i="2" s="1"/>
  <c r="H318" i="2" s="1"/>
  <c r="B346" i="2" s="1"/>
  <c r="H346" i="2" s="1"/>
  <c r="B374" i="2" s="1"/>
  <c r="H374" i="2" s="1"/>
  <c r="B402" i="2" s="1"/>
  <c r="H402" i="2" s="1"/>
  <c r="B430" i="2" s="1"/>
  <c r="H430" i="2" s="1"/>
  <c r="B458" i="2" s="1"/>
  <c r="H458" i="2" s="1"/>
  <c r="B497" i="2" s="1"/>
  <c r="H497" i="2" s="1"/>
  <c r="B38" i="1" s="1"/>
  <c r="H38" i="1" s="1"/>
  <c r="B66" i="1" s="1"/>
  <c r="H66" i="1" s="1"/>
  <c r="B94" i="1" s="1"/>
  <c r="H94" i="1" s="1"/>
  <c r="B122" i="1" s="1"/>
  <c r="H122" i="1" s="1"/>
  <c r="B150" i="1" s="1"/>
  <c r="H150" i="1" s="1"/>
  <c r="B178" i="1" s="1"/>
  <c r="H178" i="1" s="1"/>
  <c r="B206" i="1" s="1"/>
  <c r="H206" i="1" s="1"/>
  <c r="B234" i="1" s="1"/>
  <c r="H234" i="1" s="1"/>
  <c r="B262" i="1" s="1"/>
  <c r="H262" i="1" s="1"/>
  <c r="B482" i="4"/>
  <c r="H482" i="4" s="1"/>
  <c r="B510" i="4" s="1"/>
  <c r="H510" i="4" s="1"/>
  <c r="B9" i="3"/>
  <c r="H9" i="3" s="1"/>
  <c r="B36" i="3" s="1"/>
  <c r="H36" i="3" s="1"/>
  <c r="B63" i="3" s="1"/>
  <c r="H63" i="3" s="1"/>
  <c r="B90" i="3" s="1"/>
  <c r="H90" i="3" s="1"/>
  <c r="B117" i="3" s="1"/>
  <c r="H117" i="3" s="1"/>
  <c r="B144" i="3" s="1"/>
  <c r="H144" i="3" s="1"/>
  <c r="B171" i="3" s="1"/>
  <c r="H171" i="3" s="1"/>
  <c r="B198" i="3" s="1"/>
  <c r="H198" i="3" s="1"/>
  <c r="B225" i="3" s="1"/>
  <c r="H225" i="3" s="1"/>
  <c r="B252" i="3" s="1"/>
  <c r="H252" i="3" s="1"/>
  <c r="B279" i="3" s="1"/>
  <c r="H279" i="3" s="1"/>
  <c r="B306" i="3" s="1"/>
  <c r="H306" i="3" s="1"/>
  <c r="B333" i="3" s="1"/>
  <c r="H333" i="3" s="1"/>
  <c r="B360" i="3" s="1"/>
  <c r="H360" i="3" s="1"/>
  <c r="B387" i="3" s="1"/>
  <c r="H387" i="3" s="1"/>
  <c r="B414" i="3" s="1"/>
  <c r="H414" i="3" s="1"/>
  <c r="B442" i="3" s="1"/>
  <c r="H442" i="3" s="1"/>
  <c r="B470" i="3" s="1"/>
  <c r="H470" i="3" s="1"/>
  <c r="B498" i="3" s="1"/>
  <c r="H498" i="3" s="1"/>
  <c r="B526" i="3" s="1"/>
  <c r="H526" i="3" s="1"/>
  <c r="B554" i="3" s="1"/>
  <c r="H554" i="3" s="1"/>
  <c r="B582" i="3" s="1"/>
  <c r="H582" i="3" s="1"/>
  <c r="B9" i="2" s="1"/>
  <c r="H9" i="2" s="1"/>
  <c r="B37" i="2" s="1"/>
  <c r="H37" i="2" s="1"/>
  <c r="B65" i="2" s="1"/>
  <c r="H65" i="2" s="1"/>
  <c r="B93" i="2" s="1"/>
  <c r="H93" i="2" s="1"/>
  <c r="B121" i="2" s="1"/>
  <c r="H121" i="2" s="1"/>
  <c r="B149" i="2" s="1"/>
  <c r="H149" i="2" s="1"/>
  <c r="B177" i="2" s="1"/>
  <c r="H177" i="2" s="1"/>
  <c r="B205" i="2" s="1"/>
  <c r="H205" i="2" s="1"/>
  <c r="B233" i="2" s="1"/>
  <c r="H233" i="2" s="1"/>
  <c r="B261" i="2" s="1"/>
  <c r="H261" i="2" s="1"/>
  <c r="B289" i="2" s="1"/>
  <c r="H289" i="2" s="1"/>
  <c r="B317" i="2" s="1"/>
  <c r="H317" i="2" s="1"/>
  <c r="B345" i="2" s="1"/>
  <c r="H345" i="2" s="1"/>
  <c r="B373" i="2" s="1"/>
  <c r="H373" i="2" s="1"/>
  <c r="B401" i="2" s="1"/>
  <c r="H401" i="2" s="1"/>
  <c r="B429" i="2" s="1"/>
  <c r="H429" i="2" s="1"/>
  <c r="B457" i="2" s="1"/>
  <c r="H457" i="2" s="1"/>
  <c r="B496" i="2" s="1"/>
  <c r="H496" i="2" s="1"/>
  <c r="B37" i="1" s="1"/>
  <c r="H37" i="1" s="1"/>
  <c r="B65" i="1" s="1"/>
  <c r="H65" i="1" s="1"/>
  <c r="B93" i="1" s="1"/>
  <c r="H93" i="1" s="1"/>
  <c r="B121" i="1" s="1"/>
  <c r="H121" i="1" s="1"/>
  <c r="B149" i="1" s="1"/>
  <c r="H149" i="1" s="1"/>
  <c r="B177" i="1" s="1"/>
  <c r="H177" i="1" s="1"/>
  <c r="B205" i="1" s="1"/>
  <c r="H205" i="1" s="1"/>
  <c r="B233" i="1" s="1"/>
  <c r="H233" i="1" s="1"/>
  <c r="B261" i="1" s="1"/>
  <c r="H261" i="1" s="1"/>
  <c r="B481" i="4"/>
  <c r="H481" i="4" s="1"/>
  <c r="B509" i="4" s="1"/>
  <c r="H509" i="4" s="1"/>
  <c r="B8" i="3"/>
  <c r="H8" i="3" s="1"/>
  <c r="B35" i="3" s="1"/>
  <c r="H35" i="3" s="1"/>
  <c r="B62" i="3" s="1"/>
  <c r="H62" i="3" s="1"/>
  <c r="B89" i="3" s="1"/>
  <c r="H89" i="3" s="1"/>
  <c r="B116" i="3" s="1"/>
  <c r="H116" i="3" s="1"/>
  <c r="B143" i="3" s="1"/>
  <c r="H143" i="3" s="1"/>
  <c r="B170" i="3" s="1"/>
  <c r="H170" i="3" s="1"/>
  <c r="B197" i="3" s="1"/>
  <c r="H197" i="3" s="1"/>
  <c r="B224" i="3" s="1"/>
  <c r="H224" i="3" s="1"/>
  <c r="B251" i="3" s="1"/>
  <c r="H251" i="3" s="1"/>
  <c r="B278" i="3" s="1"/>
  <c r="H278" i="3" s="1"/>
  <c r="B305" i="3" s="1"/>
  <c r="H305" i="3" s="1"/>
  <c r="B332" i="3" s="1"/>
  <c r="H332" i="3" s="1"/>
  <c r="B359" i="3" s="1"/>
  <c r="H359" i="3" s="1"/>
  <c r="B386" i="3" s="1"/>
  <c r="H386" i="3" s="1"/>
  <c r="B413" i="3" s="1"/>
  <c r="H413" i="3" s="1"/>
  <c r="B441" i="3" s="1"/>
  <c r="H441" i="3" s="1"/>
  <c r="B469" i="3" s="1"/>
  <c r="H469" i="3" s="1"/>
  <c r="B497" i="3" s="1"/>
  <c r="H497" i="3" s="1"/>
  <c r="B525" i="3" s="1"/>
  <c r="H525" i="3" s="1"/>
  <c r="B553" i="3" s="1"/>
  <c r="H553" i="3" s="1"/>
  <c r="B581" i="3" s="1"/>
  <c r="H581" i="3" s="1"/>
  <c r="B8" i="2" s="1"/>
  <c r="H8" i="2" s="1"/>
  <c r="B36" i="2" s="1"/>
  <c r="H36" i="2" s="1"/>
  <c r="B64" i="2" s="1"/>
  <c r="H64" i="2" s="1"/>
  <c r="B92" i="2" s="1"/>
  <c r="H92" i="2" s="1"/>
  <c r="B120" i="2" s="1"/>
  <c r="H120" i="2" s="1"/>
  <c r="B148" i="2" s="1"/>
  <c r="H148" i="2" s="1"/>
  <c r="B176" i="2" s="1"/>
  <c r="H176" i="2" s="1"/>
  <c r="B204" i="2" s="1"/>
  <c r="H204" i="2" s="1"/>
  <c r="B232" i="2" s="1"/>
  <c r="H232" i="2" s="1"/>
  <c r="B260" i="2" s="1"/>
  <c r="H260" i="2" s="1"/>
  <c r="B288" i="2" s="1"/>
  <c r="H288" i="2" s="1"/>
  <c r="B316" i="2" s="1"/>
  <c r="H316" i="2" s="1"/>
  <c r="B344" i="2" s="1"/>
  <c r="H344" i="2" s="1"/>
  <c r="B372" i="2" s="1"/>
  <c r="H372" i="2" s="1"/>
  <c r="B400" i="2" s="1"/>
  <c r="H400" i="2" s="1"/>
  <c r="B428" i="2" s="1"/>
  <c r="H428" i="2" s="1"/>
  <c r="B456" i="2" s="1"/>
  <c r="H456" i="2" s="1"/>
  <c r="B495" i="2" s="1"/>
  <c r="H495" i="2" s="1"/>
  <c r="B36" i="1" s="1"/>
  <c r="H36" i="1" s="1"/>
  <c r="B64" i="1" s="1"/>
  <c r="H64" i="1" s="1"/>
  <c r="B92" i="1" s="1"/>
  <c r="H92" i="1" s="1"/>
  <c r="B120" i="1" s="1"/>
  <c r="H120" i="1" s="1"/>
  <c r="B148" i="1" s="1"/>
  <c r="H148" i="1" s="1"/>
  <c r="B176" i="1" s="1"/>
  <c r="H176" i="1" s="1"/>
  <c r="B204" i="1" s="1"/>
  <c r="H204" i="1" s="1"/>
  <c r="B232" i="1" s="1"/>
  <c r="H232" i="1" s="1"/>
  <c r="B260" i="1" s="1"/>
  <c r="H260" i="1" s="1"/>
  <c r="B480" i="4"/>
  <c r="H480" i="4" s="1"/>
  <c r="B508" i="4" s="1"/>
  <c r="H508" i="4" s="1"/>
  <c r="B7" i="3"/>
  <c r="H7" i="3" s="1"/>
  <c r="B34" i="3" s="1"/>
  <c r="H34" i="3" s="1"/>
  <c r="B61" i="3" s="1"/>
  <c r="H61" i="3" s="1"/>
  <c r="B88" i="3" s="1"/>
  <c r="H88" i="3" s="1"/>
  <c r="B115" i="3" s="1"/>
  <c r="H115" i="3" s="1"/>
  <c r="B142" i="3" s="1"/>
  <c r="H142" i="3" s="1"/>
  <c r="B169" i="3" s="1"/>
  <c r="H169" i="3" s="1"/>
  <c r="B196" i="3" s="1"/>
  <c r="H196" i="3" s="1"/>
  <c r="B223" i="3" s="1"/>
  <c r="H223" i="3" s="1"/>
  <c r="B250" i="3" s="1"/>
  <c r="H250" i="3" s="1"/>
  <c r="B277" i="3" s="1"/>
  <c r="H277" i="3" s="1"/>
  <c r="B304" i="3" s="1"/>
  <c r="H304" i="3" s="1"/>
  <c r="B331" i="3" s="1"/>
  <c r="H331" i="3" s="1"/>
  <c r="B358" i="3" s="1"/>
  <c r="H358" i="3" s="1"/>
  <c r="B385" i="3" s="1"/>
  <c r="H385" i="3" s="1"/>
  <c r="B412" i="3" s="1"/>
  <c r="H412" i="3" s="1"/>
  <c r="B440" i="3" s="1"/>
  <c r="H440" i="3" s="1"/>
  <c r="B468" i="3" s="1"/>
  <c r="H468" i="3" s="1"/>
  <c r="B496" i="3" s="1"/>
  <c r="H496" i="3" s="1"/>
  <c r="B524" i="3" s="1"/>
  <c r="H524" i="3" s="1"/>
  <c r="B552" i="3" s="1"/>
  <c r="H552" i="3" s="1"/>
  <c r="B580" i="3" s="1"/>
  <c r="H580" i="3" s="1"/>
  <c r="B7" i="2" s="1"/>
  <c r="H7" i="2" s="1"/>
  <c r="B35" i="2" s="1"/>
  <c r="H35" i="2" s="1"/>
  <c r="B63" i="2" s="1"/>
  <c r="H63" i="2" s="1"/>
  <c r="B91" i="2" s="1"/>
  <c r="H91" i="2" s="1"/>
  <c r="B119" i="2" s="1"/>
  <c r="H119" i="2" s="1"/>
  <c r="B147" i="2" s="1"/>
  <c r="H147" i="2" s="1"/>
  <c r="B175" i="2" s="1"/>
  <c r="H175" i="2" s="1"/>
  <c r="B203" i="2" s="1"/>
  <c r="H203" i="2" s="1"/>
  <c r="B231" i="2" s="1"/>
  <c r="H231" i="2" s="1"/>
  <c r="B259" i="2" s="1"/>
  <c r="H259" i="2" s="1"/>
  <c r="B287" i="2" s="1"/>
  <c r="H287" i="2" s="1"/>
  <c r="B315" i="2" s="1"/>
  <c r="H315" i="2" s="1"/>
  <c r="B343" i="2" s="1"/>
  <c r="H343" i="2" s="1"/>
  <c r="B371" i="2" s="1"/>
  <c r="H371" i="2" s="1"/>
  <c r="B399" i="2" s="1"/>
  <c r="H399" i="2" s="1"/>
  <c r="B427" i="2" s="1"/>
  <c r="H427" i="2" s="1"/>
  <c r="B455" i="2" s="1"/>
  <c r="H455" i="2" s="1"/>
  <c r="B494" i="2" s="1"/>
  <c r="H494" i="2" s="1"/>
  <c r="B35" i="1" s="1"/>
  <c r="H35" i="1" s="1"/>
  <c r="B63" i="1" s="1"/>
  <c r="H63" i="1" s="1"/>
  <c r="B91" i="1" s="1"/>
  <c r="H91" i="1" s="1"/>
  <c r="B119" i="1" s="1"/>
  <c r="H119" i="1" s="1"/>
  <c r="B147" i="1" s="1"/>
  <c r="H147" i="1" s="1"/>
  <c r="B175" i="1" s="1"/>
  <c r="H175" i="1" s="1"/>
  <c r="B203" i="1" s="1"/>
  <c r="H203" i="1" s="1"/>
  <c r="B231" i="1" s="1"/>
  <c r="H231" i="1" s="1"/>
  <c r="B259" i="1" s="1"/>
  <c r="H259" i="1" s="1"/>
  <c r="B479" i="4"/>
  <c r="H479" i="4" s="1"/>
  <c r="B507" i="4" s="1"/>
  <c r="H507" i="4" s="1"/>
  <c r="B6" i="3"/>
  <c r="H6" i="3" s="1"/>
  <c r="B33" i="3" s="1"/>
  <c r="H33" i="3" s="1"/>
  <c r="B60" i="3" s="1"/>
  <c r="H60" i="3" s="1"/>
  <c r="B87" i="3" s="1"/>
  <c r="H87" i="3" s="1"/>
  <c r="B114" i="3" s="1"/>
  <c r="H114" i="3" s="1"/>
  <c r="B141" i="3" s="1"/>
  <c r="H141" i="3" s="1"/>
  <c r="B168" i="3" s="1"/>
  <c r="H168" i="3" s="1"/>
  <c r="B195" i="3" s="1"/>
  <c r="H195" i="3" s="1"/>
  <c r="B222" i="3" s="1"/>
  <c r="H222" i="3" s="1"/>
  <c r="B249" i="3" s="1"/>
  <c r="H249" i="3" s="1"/>
  <c r="B276" i="3" s="1"/>
  <c r="H276" i="3" s="1"/>
  <c r="B303" i="3" s="1"/>
  <c r="H303" i="3" s="1"/>
  <c r="B330" i="3" s="1"/>
  <c r="H330" i="3" s="1"/>
  <c r="B357" i="3" s="1"/>
  <c r="H357" i="3" s="1"/>
  <c r="B384" i="3" s="1"/>
  <c r="H384" i="3" s="1"/>
  <c r="B411" i="3" s="1"/>
  <c r="H411" i="3" s="1"/>
  <c r="B439" i="3" s="1"/>
  <c r="H439" i="3" s="1"/>
  <c r="B467" i="3" s="1"/>
  <c r="H467" i="3" s="1"/>
  <c r="B495" i="3" s="1"/>
  <c r="H495" i="3" s="1"/>
  <c r="B523" i="3" s="1"/>
  <c r="H523" i="3" s="1"/>
  <c r="B551" i="3" s="1"/>
  <c r="H551" i="3" s="1"/>
  <c r="B579" i="3" s="1"/>
  <c r="H579" i="3" s="1"/>
  <c r="B6" i="2" s="1"/>
  <c r="H6" i="2" s="1"/>
  <c r="B34" i="2" s="1"/>
  <c r="H34" i="2" s="1"/>
  <c r="B62" i="2" s="1"/>
  <c r="H62" i="2" s="1"/>
  <c r="B90" i="2" s="1"/>
  <c r="H90" i="2" s="1"/>
  <c r="B118" i="2" s="1"/>
  <c r="H118" i="2" s="1"/>
  <c r="B146" i="2" s="1"/>
  <c r="H146" i="2" s="1"/>
  <c r="B174" i="2" s="1"/>
  <c r="H174" i="2" s="1"/>
  <c r="B202" i="2" s="1"/>
  <c r="H202" i="2" s="1"/>
  <c r="B230" i="2" s="1"/>
  <c r="H230" i="2" s="1"/>
  <c r="B258" i="2" s="1"/>
  <c r="H258" i="2" s="1"/>
  <c r="B286" i="2" s="1"/>
  <c r="H286" i="2" s="1"/>
  <c r="B314" i="2" s="1"/>
  <c r="H314" i="2" s="1"/>
  <c r="B342" i="2" s="1"/>
  <c r="H342" i="2" s="1"/>
  <c r="B370" i="2" s="1"/>
  <c r="H370" i="2" s="1"/>
  <c r="B398" i="2" s="1"/>
  <c r="H398" i="2" s="1"/>
  <c r="B426" i="2" s="1"/>
  <c r="H426" i="2" s="1"/>
  <c r="B454" i="2" s="1"/>
  <c r="H454" i="2" s="1"/>
  <c r="B493" i="2" s="1"/>
  <c r="H493" i="2" s="1"/>
  <c r="B34" i="1" s="1"/>
  <c r="H34" i="1" s="1"/>
  <c r="B62" i="1" s="1"/>
  <c r="H62" i="1" s="1"/>
  <c r="B90" i="1" s="1"/>
  <c r="H90" i="1" s="1"/>
  <c r="B118" i="1" s="1"/>
  <c r="H118" i="1" s="1"/>
  <c r="B146" i="1" s="1"/>
  <c r="H146" i="1" s="1"/>
  <c r="B174" i="1" s="1"/>
  <c r="H174" i="1" s="1"/>
  <c r="B202" i="1" s="1"/>
  <c r="H202" i="1" s="1"/>
  <c r="B230" i="1" s="1"/>
  <c r="H230" i="1" s="1"/>
  <c r="B258" i="1" s="1"/>
  <c r="H258" i="1" s="1"/>
  <c r="B478" i="4"/>
  <c r="H478" i="4" s="1"/>
  <c r="B506" i="4" s="1"/>
  <c r="H506" i="4" s="1"/>
  <c r="B5" i="3"/>
  <c r="H5" i="3" s="1"/>
  <c r="B32" i="3" s="1"/>
  <c r="H32" i="3" s="1"/>
  <c r="B59" i="3" s="1"/>
  <c r="H59" i="3" s="1"/>
  <c r="B86" i="3" s="1"/>
  <c r="H86" i="3" s="1"/>
  <c r="B113" i="3" s="1"/>
  <c r="H113" i="3" s="1"/>
  <c r="B140" i="3" s="1"/>
  <c r="H140" i="3" s="1"/>
  <c r="B167" i="3" s="1"/>
  <c r="H167" i="3" s="1"/>
  <c r="B194" i="3" s="1"/>
  <c r="H194" i="3" s="1"/>
  <c r="B221" i="3" s="1"/>
  <c r="H221" i="3" s="1"/>
  <c r="B248" i="3" s="1"/>
  <c r="H248" i="3" s="1"/>
  <c r="B275" i="3" s="1"/>
  <c r="H275" i="3" s="1"/>
  <c r="B302" i="3" s="1"/>
  <c r="H302" i="3" s="1"/>
  <c r="B329" i="3" s="1"/>
  <c r="H329" i="3" s="1"/>
  <c r="B356" i="3" s="1"/>
  <c r="H356" i="3" s="1"/>
  <c r="B383" i="3" s="1"/>
  <c r="H383" i="3" s="1"/>
  <c r="B410" i="3" s="1"/>
  <c r="H410" i="3" s="1"/>
  <c r="B438" i="3" s="1"/>
  <c r="H438" i="3" s="1"/>
  <c r="B466" i="3" s="1"/>
  <c r="H466" i="3" s="1"/>
  <c r="B494" i="3" s="1"/>
  <c r="H494" i="3" s="1"/>
  <c r="B522" i="3" s="1"/>
  <c r="H522" i="3" s="1"/>
  <c r="B550" i="3" s="1"/>
  <c r="H550" i="3" s="1"/>
  <c r="B578" i="3" s="1"/>
  <c r="H578" i="3" s="1"/>
  <c r="B5" i="2" s="1"/>
  <c r="H5" i="2" s="1"/>
  <c r="B33" i="2" s="1"/>
  <c r="H33" i="2" s="1"/>
  <c r="B61" i="2" s="1"/>
  <c r="H61" i="2" s="1"/>
  <c r="B89" i="2" s="1"/>
  <c r="H89" i="2" s="1"/>
  <c r="B117" i="2" s="1"/>
  <c r="H117" i="2" s="1"/>
  <c r="B145" i="2" s="1"/>
  <c r="H145" i="2" s="1"/>
  <c r="B173" i="2" s="1"/>
  <c r="H173" i="2" s="1"/>
  <c r="B201" i="2" s="1"/>
  <c r="H201" i="2" s="1"/>
  <c r="B229" i="2" s="1"/>
  <c r="H229" i="2" s="1"/>
  <c r="B257" i="2" s="1"/>
  <c r="H257" i="2" s="1"/>
  <c r="B285" i="2" s="1"/>
  <c r="H285" i="2" s="1"/>
  <c r="B313" i="2" s="1"/>
  <c r="H313" i="2" s="1"/>
  <c r="B341" i="2" s="1"/>
  <c r="H341" i="2" s="1"/>
  <c r="B369" i="2" s="1"/>
  <c r="H369" i="2" s="1"/>
  <c r="B397" i="2" s="1"/>
  <c r="H397" i="2" s="1"/>
  <c r="B425" i="2" s="1"/>
  <c r="H425" i="2" s="1"/>
  <c r="B453" i="2" s="1"/>
  <c r="H453" i="2" s="1"/>
  <c r="B492" i="2" s="1"/>
  <c r="H492" i="2" s="1"/>
  <c r="B33" i="1" s="1"/>
  <c r="H33" i="1" s="1"/>
  <c r="B61" i="1" s="1"/>
  <c r="H61" i="1" s="1"/>
  <c r="B89" i="1" s="1"/>
  <c r="H89" i="1" s="1"/>
  <c r="B117" i="1" s="1"/>
  <c r="H117" i="1" s="1"/>
  <c r="B145" i="1" s="1"/>
  <c r="H145" i="1" s="1"/>
  <c r="B173" i="1" s="1"/>
  <c r="H173" i="1" s="1"/>
  <c r="B201" i="1" s="1"/>
  <c r="H201" i="1" s="1"/>
  <c r="B229" i="1" s="1"/>
  <c r="H229" i="1" s="1"/>
  <c r="B257" i="1" s="1"/>
  <c r="H257" i="1" s="1"/>
  <c r="B477" i="4"/>
  <c r="H477" i="4" s="1"/>
  <c r="B505" i="4" s="1"/>
  <c r="H505" i="4" s="1"/>
  <c r="B4" i="3"/>
  <c r="H4" i="3" s="1"/>
  <c r="B31" i="3" s="1"/>
  <c r="H31" i="3" s="1"/>
  <c r="B58" i="3" s="1"/>
  <c r="H58" i="3" s="1"/>
  <c r="B85" i="3" s="1"/>
  <c r="H85" i="3" s="1"/>
  <c r="B112" i="3" s="1"/>
  <c r="H112" i="3" s="1"/>
  <c r="B139" i="3" s="1"/>
  <c r="H139" i="3" s="1"/>
  <c r="B166" i="3" s="1"/>
  <c r="H166" i="3" s="1"/>
  <c r="B193" i="3" s="1"/>
  <c r="H193" i="3" s="1"/>
  <c r="B220" i="3" s="1"/>
  <c r="H220" i="3" s="1"/>
  <c r="B247" i="3" s="1"/>
  <c r="H247" i="3" s="1"/>
  <c r="B274" i="3" s="1"/>
  <c r="H274" i="3" s="1"/>
  <c r="B301" i="3" s="1"/>
  <c r="H301" i="3" s="1"/>
  <c r="B328" i="3" s="1"/>
  <c r="H328" i="3" s="1"/>
  <c r="B355" i="3" s="1"/>
  <c r="H355" i="3" s="1"/>
  <c r="B382" i="3" s="1"/>
  <c r="H382" i="3" s="1"/>
  <c r="B409" i="3" s="1"/>
  <c r="H409" i="3" s="1"/>
  <c r="B437" i="3" s="1"/>
  <c r="H437" i="3" s="1"/>
  <c r="B465" i="3" s="1"/>
  <c r="H465" i="3" s="1"/>
  <c r="B493" i="3" s="1"/>
  <c r="H493" i="3" s="1"/>
  <c r="B521" i="3" s="1"/>
  <c r="H521" i="3" s="1"/>
  <c r="B549" i="3" s="1"/>
  <c r="H549" i="3" s="1"/>
  <c r="B577" i="3" s="1"/>
  <c r="H577" i="3" s="1"/>
  <c r="B4" i="2" s="1"/>
  <c r="H4" i="2" s="1"/>
  <c r="B32" i="2" s="1"/>
  <c r="H32" i="2" s="1"/>
  <c r="B60" i="2" s="1"/>
  <c r="H60" i="2" s="1"/>
  <c r="B88" i="2" s="1"/>
  <c r="H88" i="2" s="1"/>
  <c r="B116" i="2" s="1"/>
  <c r="H116" i="2" s="1"/>
  <c r="B144" i="2" s="1"/>
  <c r="H144" i="2" s="1"/>
  <c r="B172" i="2" s="1"/>
  <c r="H172" i="2" s="1"/>
  <c r="B200" i="2" s="1"/>
  <c r="H200" i="2" s="1"/>
  <c r="B228" i="2" s="1"/>
  <c r="H228" i="2" s="1"/>
  <c r="B256" i="2" s="1"/>
  <c r="H256" i="2" s="1"/>
  <c r="B284" i="2" s="1"/>
  <c r="H284" i="2" s="1"/>
  <c r="B312" i="2" s="1"/>
  <c r="H312" i="2" s="1"/>
  <c r="B340" i="2" s="1"/>
  <c r="H340" i="2" s="1"/>
  <c r="B368" i="2" s="1"/>
  <c r="H368" i="2" s="1"/>
  <c r="B396" i="2" s="1"/>
  <c r="H396" i="2" s="1"/>
  <c r="B424" i="2" s="1"/>
  <c r="H424" i="2" s="1"/>
  <c r="B452" i="2" s="1"/>
  <c r="H452" i="2" s="1"/>
  <c r="B491" i="2" s="1"/>
  <c r="H491" i="2" s="1"/>
  <c r="B32" i="1" s="1"/>
  <c r="H32" i="1" s="1"/>
  <c r="B60" i="1" s="1"/>
  <c r="H60" i="1" s="1"/>
  <c r="B88" i="1" s="1"/>
  <c r="H88" i="1" s="1"/>
  <c r="B116" i="1" s="1"/>
  <c r="H116" i="1" s="1"/>
  <c r="B144" i="1" s="1"/>
  <c r="H144" i="1" s="1"/>
  <c r="B172" i="1" s="1"/>
  <c r="H172" i="1" s="1"/>
  <c r="B200" i="1" s="1"/>
  <c r="H200" i="1" s="1"/>
  <c r="B228" i="1" s="1"/>
  <c r="H228" i="1" s="1"/>
  <c r="B256" i="1" s="1"/>
  <c r="H256" i="1" s="1"/>
  <c r="I24" i="4"/>
  <c r="I26" i="4"/>
  <c r="H24" i="4"/>
  <c r="B30" i="4"/>
  <c r="B38" i="5"/>
  <c r="H38" i="5" s="1"/>
  <c r="B65" i="5" s="1"/>
  <c r="H65" i="5" s="1"/>
  <c r="B92" i="5" s="1"/>
  <c r="H92" i="5" s="1"/>
  <c r="B119" i="5" s="1"/>
  <c r="H119" i="5" s="1"/>
  <c r="B146" i="5" s="1"/>
  <c r="H146" i="5" s="1"/>
  <c r="B173" i="5" s="1"/>
  <c r="H173" i="5" s="1"/>
  <c r="B200" i="5" s="1"/>
  <c r="H200" i="5" s="1"/>
  <c r="B227" i="5" s="1"/>
  <c r="H227" i="5" s="1"/>
  <c r="B254" i="5" s="1"/>
  <c r="H254" i="5" s="1"/>
  <c r="B281" i="5" s="1"/>
  <c r="H281" i="5" s="1"/>
  <c r="B308" i="5" s="1"/>
  <c r="H308" i="5" s="1"/>
  <c r="B335" i="5" s="1"/>
  <c r="H335" i="5" s="1"/>
  <c r="B362" i="5" s="1"/>
  <c r="H362" i="5" s="1"/>
  <c r="B389" i="5" s="1"/>
  <c r="H389" i="5" s="1"/>
  <c r="B416" i="5" s="1"/>
  <c r="H416" i="5" s="1"/>
  <c r="B443" i="5" s="1"/>
  <c r="H443" i="5" s="1"/>
  <c r="B470" i="5" s="1"/>
  <c r="H470" i="5" s="1"/>
  <c r="H24" i="5"/>
  <c r="H51" i="5" l="1"/>
  <c r="B57" i="5"/>
  <c r="H30" i="4"/>
  <c r="B51" i="4"/>
  <c r="L8" i="4"/>
  <c r="H57" i="5" l="1"/>
  <c r="B78" i="5"/>
  <c r="B57" i="4"/>
  <c r="H51" i="4"/>
  <c r="H78" i="5" l="1"/>
  <c r="B84" i="5"/>
  <c r="H57" i="4"/>
  <c r="B78" i="4"/>
  <c r="H84" i="5" l="1"/>
  <c r="B105" i="5"/>
  <c r="H78" i="4"/>
  <c r="B84" i="4"/>
  <c r="H105" i="5" l="1"/>
  <c r="B111" i="5"/>
  <c r="H84" i="4"/>
  <c r="B106" i="4"/>
  <c r="H111" i="5" l="1"/>
  <c r="B132" i="5"/>
  <c r="H106" i="4"/>
  <c r="B112" i="4"/>
  <c r="H132" i="5" l="1"/>
  <c r="B138" i="5"/>
  <c r="H112" i="4"/>
  <c r="B134" i="4"/>
  <c r="H138" i="5" l="1"/>
  <c r="B159" i="5"/>
  <c r="H134" i="4"/>
  <c r="B140" i="4"/>
  <c r="H159" i="5" l="1"/>
  <c r="B165" i="5"/>
  <c r="H140" i="4"/>
  <c r="B162" i="4"/>
  <c r="H165" i="5" l="1"/>
  <c r="B186" i="5"/>
  <c r="H162" i="4"/>
  <c r="B168" i="4"/>
  <c r="H186" i="5" l="1"/>
  <c r="B192" i="5"/>
  <c r="B190" i="4"/>
  <c r="H168" i="4"/>
  <c r="B213" i="5" l="1"/>
  <c r="H192" i="5"/>
  <c r="H190" i="4"/>
  <c r="B196" i="4"/>
  <c r="H213" i="5" l="1"/>
  <c r="B219" i="5"/>
  <c r="H196" i="4"/>
  <c r="B218" i="4"/>
  <c r="H219" i="5" l="1"/>
  <c r="B240" i="5"/>
  <c r="H218" i="4"/>
  <c r="B224" i="4"/>
  <c r="H240" i="5" l="1"/>
  <c r="B246" i="5"/>
  <c r="H224" i="4"/>
  <c r="B246" i="4"/>
  <c r="H246" i="5" l="1"/>
  <c r="B267" i="5"/>
  <c r="B252" i="4"/>
  <c r="H246" i="4"/>
  <c r="H267" i="5" l="1"/>
  <c r="B273" i="5"/>
  <c r="H252" i="4"/>
  <c r="B274" i="4"/>
  <c r="H273" i="5" l="1"/>
  <c r="B294" i="5"/>
  <c r="H274" i="4"/>
  <c r="B280" i="4"/>
  <c r="H294" i="5" l="1"/>
  <c r="B300" i="5"/>
  <c r="H280" i="4"/>
  <c r="B302" i="4"/>
  <c r="H300" i="5" l="1"/>
  <c r="B321" i="5"/>
  <c r="H302" i="4"/>
  <c r="B308" i="4"/>
  <c r="B327" i="5" l="1"/>
  <c r="H321" i="5"/>
  <c r="H308" i="4"/>
  <c r="B330" i="4"/>
  <c r="B348" i="5" l="1"/>
  <c r="H327" i="5"/>
  <c r="H330" i="4"/>
  <c r="B336" i="4"/>
  <c r="H348" i="5" l="1"/>
  <c r="B354" i="5"/>
  <c r="H336" i="4"/>
  <c r="B358" i="4"/>
  <c r="H354" i="5" l="1"/>
  <c r="B375" i="5"/>
  <c r="H358" i="4"/>
  <c r="B364" i="4"/>
  <c r="H375" i="5" l="1"/>
  <c r="B381" i="5"/>
  <c r="H364" i="4"/>
  <c r="B386" i="4"/>
  <c r="H381" i="5" l="1"/>
  <c r="B402" i="5"/>
  <c r="H386" i="4"/>
  <c r="B392" i="4"/>
  <c r="H402" i="5" l="1"/>
  <c r="B408" i="5"/>
  <c r="H392" i="4"/>
  <c r="B414" i="4"/>
  <c r="H408" i="5" l="1"/>
  <c r="B429" i="5"/>
  <c r="H414" i="4"/>
  <c r="B420" i="4"/>
  <c r="H429" i="5" l="1"/>
  <c r="B435" i="5"/>
  <c r="H420" i="4"/>
  <c r="B442" i="4"/>
  <c r="H435" i="5" l="1"/>
  <c r="B456" i="5"/>
  <c r="H442" i="4"/>
  <c r="B448" i="4"/>
  <c r="H456" i="5" l="1"/>
  <c r="B462" i="5"/>
  <c r="H448" i="4"/>
  <c r="B470" i="4"/>
  <c r="H462" i="5" l="1"/>
  <c r="H483" i="5" s="1"/>
  <c r="B483" i="5"/>
  <c r="H470" i="4"/>
  <c r="B476" i="4"/>
  <c r="B3" i="3"/>
  <c r="H476" i="4" l="1"/>
  <c r="B498" i="4"/>
  <c r="H3" i="3"/>
  <c r="B25" i="3"/>
  <c r="H498" i="4" l="1"/>
  <c r="B504" i="4"/>
  <c r="H25" i="3"/>
  <c r="B30" i="3"/>
  <c r="H504" i="4" l="1"/>
  <c r="H526" i="4" s="1"/>
  <c r="B526" i="4"/>
  <c r="H30" i="3"/>
  <c r="B52" i="3"/>
  <c r="H52" i="3" l="1"/>
  <c r="B57" i="3"/>
  <c r="H57" i="3" l="1"/>
  <c r="B79" i="3"/>
  <c r="H79" i="3" l="1"/>
  <c r="B84" i="3"/>
  <c r="H84" i="3" l="1"/>
  <c r="B106" i="3"/>
  <c r="H106" i="3" l="1"/>
  <c r="B111" i="3"/>
  <c r="H111" i="3" l="1"/>
  <c r="B133" i="3"/>
  <c r="H133" i="3" l="1"/>
  <c r="B138" i="3"/>
  <c r="H138" i="3" l="1"/>
  <c r="B160" i="3"/>
  <c r="H160" i="3" l="1"/>
  <c r="B165" i="3"/>
  <c r="H165" i="3" l="1"/>
  <c r="B187" i="3"/>
  <c r="H187" i="3" l="1"/>
  <c r="B192" i="3"/>
  <c r="H192" i="3" l="1"/>
  <c r="B214" i="3"/>
  <c r="H214" i="3" l="1"/>
  <c r="B219" i="3"/>
  <c r="H219" i="3" l="1"/>
  <c r="B241" i="3"/>
  <c r="H241" i="3" l="1"/>
  <c r="B246" i="3"/>
  <c r="H246" i="3" l="1"/>
  <c r="B268" i="3"/>
  <c r="H268" i="3" l="1"/>
  <c r="B273" i="3"/>
  <c r="H273" i="3" l="1"/>
  <c r="B295" i="3"/>
  <c r="H295" i="3" l="1"/>
  <c r="B300" i="3"/>
  <c r="H300" i="3" l="1"/>
  <c r="B322" i="3"/>
  <c r="H322" i="3" l="1"/>
  <c r="B327" i="3"/>
  <c r="H327" i="3" l="1"/>
  <c r="B349" i="3"/>
  <c r="H349" i="3" l="1"/>
  <c r="B354" i="3"/>
  <c r="B376" i="3" l="1"/>
  <c r="H354" i="3"/>
  <c r="B381" i="3" l="1"/>
  <c r="H376" i="3"/>
  <c r="H381" i="3" l="1"/>
  <c r="B403" i="3"/>
  <c r="H403" i="3" l="1"/>
  <c r="B408" i="3"/>
  <c r="H408" i="3" l="1"/>
  <c r="B431" i="3"/>
  <c r="H431" i="3" l="1"/>
  <c r="B436" i="3"/>
  <c r="H436" i="3" l="1"/>
  <c r="B459" i="3"/>
  <c r="H459" i="3" l="1"/>
  <c r="B464" i="3"/>
  <c r="H464" i="3" l="1"/>
  <c r="B487" i="3"/>
  <c r="H487" i="3" l="1"/>
  <c r="B492" i="3"/>
  <c r="H492" i="3" l="1"/>
  <c r="B515" i="3"/>
  <c r="H515" i="3" l="1"/>
  <c r="B520" i="3"/>
  <c r="H520" i="3" l="1"/>
  <c r="B543" i="3"/>
  <c r="H543" i="3" l="1"/>
  <c r="B548" i="3"/>
  <c r="H548" i="3" l="1"/>
  <c r="B571" i="3"/>
  <c r="H571" i="3" l="1"/>
  <c r="B576" i="3"/>
  <c r="H576" i="3" l="1"/>
  <c r="B599" i="3"/>
  <c r="H599" i="3" l="1"/>
  <c r="B3" i="2"/>
  <c r="H3" i="2" l="1"/>
  <c r="B26" i="2"/>
  <c r="H26" i="2" l="1"/>
  <c r="B31" i="2"/>
  <c r="B54" i="2" l="1"/>
  <c r="H31" i="2"/>
  <c r="H54" i="2" l="1"/>
  <c r="B59" i="2"/>
  <c r="H59" i="2" l="1"/>
  <c r="B82" i="2"/>
  <c r="H82" i="2" l="1"/>
  <c r="B87" i="2"/>
  <c r="H87" i="2" l="1"/>
  <c r="B110" i="2"/>
  <c r="H110" i="2" l="1"/>
  <c r="B115" i="2"/>
  <c r="H115" i="2" l="1"/>
  <c r="B138" i="2"/>
  <c r="H138" i="2" l="1"/>
  <c r="B143" i="2"/>
  <c r="H143" i="2" l="1"/>
  <c r="B166" i="2"/>
  <c r="H166" i="2" l="1"/>
  <c r="B171" i="2"/>
  <c r="H171" i="2" l="1"/>
  <c r="B194" i="2"/>
  <c r="H194" i="2" l="1"/>
  <c r="B199" i="2"/>
  <c r="H199" i="2" l="1"/>
  <c r="B222" i="2"/>
  <c r="H222" i="2" l="1"/>
  <c r="B227" i="2"/>
  <c r="H227" i="2" l="1"/>
  <c r="B250" i="2"/>
  <c r="H250" i="2" l="1"/>
  <c r="B255" i="2"/>
  <c r="H255" i="2" l="1"/>
  <c r="B278" i="2"/>
  <c r="H278" i="2" l="1"/>
  <c r="B283" i="2"/>
  <c r="H283" i="2" l="1"/>
  <c r="B306" i="2"/>
  <c r="H306" i="2" l="1"/>
  <c r="B311" i="2"/>
  <c r="H311" i="2" l="1"/>
  <c r="B334" i="2"/>
  <c r="H334" i="2" l="1"/>
  <c r="B339" i="2"/>
  <c r="H339" i="2" l="1"/>
  <c r="B362" i="2"/>
  <c r="H362" i="2" l="1"/>
  <c r="B367" i="2"/>
  <c r="H367" i="2" l="1"/>
  <c r="B390" i="2"/>
  <c r="H390" i="2" l="1"/>
  <c r="B395" i="2"/>
  <c r="H395" i="2" l="1"/>
  <c r="B418" i="2"/>
  <c r="B423" i="2" l="1"/>
  <c r="H418" i="2"/>
  <c r="H423" i="2" l="1"/>
  <c r="B446" i="2"/>
  <c r="H446" i="2" l="1"/>
  <c r="B451" i="2"/>
  <c r="H451" i="2" l="1"/>
  <c r="B474" i="2"/>
  <c r="H474" i="2" l="1"/>
  <c r="B490" i="2"/>
  <c r="H490" i="2" l="1"/>
  <c r="B513" i="2"/>
  <c r="H513" i="2" l="1"/>
  <c r="B31" i="1" l="1"/>
  <c r="H31" i="1" l="1"/>
  <c r="B54" i="1"/>
  <c r="H54" i="1" l="1"/>
  <c r="B59" i="1"/>
  <c r="H59" i="1" l="1"/>
  <c r="B82" i="1"/>
  <c r="H82" i="1" l="1"/>
  <c r="B87" i="1"/>
  <c r="H87" i="1" l="1"/>
  <c r="B110" i="1"/>
  <c r="H110" i="1" l="1"/>
  <c r="B115" i="1"/>
  <c r="H115" i="1" l="1"/>
  <c r="B138" i="1"/>
  <c r="H138" i="1" l="1"/>
  <c r="B143" i="1"/>
  <c r="H143" i="1" l="1"/>
  <c r="B166" i="1"/>
  <c r="H166" i="1" l="1"/>
  <c r="B171" i="1"/>
  <c r="H171" i="1" l="1"/>
  <c r="B194" i="1"/>
  <c r="H194" i="1" l="1"/>
  <c r="B199" i="1"/>
  <c r="H199" i="1" l="1"/>
  <c r="B222" i="1"/>
  <c r="H222" i="1" l="1"/>
  <c r="B227" i="1"/>
  <c r="H227" i="1" l="1"/>
  <c r="B250" i="1"/>
  <c r="B255" i="1" l="1"/>
  <c r="H250" i="1"/>
  <c r="H255" i="1" l="1"/>
  <c r="H278" i="1" s="1"/>
  <c r="B2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tc={e75f5ad5-fe95-4c88-85fa-e49b37d9d2c0}</author>
  </authors>
  <commentList>
    <comment ref="A474" authorId="0" shapeId="0" xr:uid="{E75F5AD5-FE95-4C88-85FA-E49B37D9D2C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pode apagar essa?
Ja copiei la pra aba de março
</t>
        </r>
      </text>
    </comment>
  </commentList>
</comments>
</file>

<file path=xl/sharedStrings.xml><?xml version="1.0" encoding="utf-8"?>
<sst xmlns="http://schemas.openxmlformats.org/spreadsheetml/2006/main" count="3814" uniqueCount="210">
  <si>
    <t>Data: 04/05/2026</t>
  </si>
  <si>
    <t>SABORES</t>
  </si>
  <si>
    <t>Estoque Inicial</t>
  </si>
  <si>
    <t>Furou</t>
  </si>
  <si>
    <t>Fez</t>
  </si>
  <si>
    <t>Quantidade de Geladinhos</t>
  </si>
  <si>
    <t>Voltaram</t>
  </si>
  <si>
    <t>Vendidos</t>
  </si>
  <si>
    <t>Estoque Final</t>
  </si>
  <si>
    <t>R$</t>
  </si>
  <si>
    <t>Abacate</t>
  </si>
  <si>
    <t>Abacaxi</t>
  </si>
  <si>
    <t>Açaí</t>
  </si>
  <si>
    <t>Amendoim</t>
  </si>
  <si>
    <t>Brigadeiro</t>
  </si>
  <si>
    <t>Buriti</t>
  </si>
  <si>
    <t>Coco</t>
  </si>
  <si>
    <t>Coco Queimado</t>
  </si>
  <si>
    <t>Cupuaçu</t>
  </si>
  <si>
    <t>Maracujá</t>
  </si>
  <si>
    <t>Maracujá com nutella</t>
  </si>
  <si>
    <t>Milho verde</t>
  </si>
  <si>
    <t>Morango</t>
  </si>
  <si>
    <t>Morango com Nutella</t>
  </si>
  <si>
    <t xml:space="preserve">Mousse de limão </t>
  </si>
  <si>
    <t>Ninho com Nutella</t>
  </si>
  <si>
    <t>Ninho com Morango</t>
  </si>
  <si>
    <t>Oreo</t>
  </si>
  <si>
    <t>Prestígio</t>
  </si>
  <si>
    <t>Pudim</t>
  </si>
  <si>
    <t>Uva</t>
  </si>
  <si>
    <t>Zero lactose coco</t>
  </si>
  <si>
    <t>Zero lactose morango</t>
  </si>
  <si>
    <t>TOTAL</t>
  </si>
  <si>
    <t>Saldo</t>
  </si>
  <si>
    <t>Data: 05/05/2026</t>
  </si>
  <si>
    <t>Data: 06/05/2026</t>
  </si>
  <si>
    <t>Data: 07/05/2026</t>
  </si>
  <si>
    <t>Data: 08/05/2026</t>
  </si>
  <si>
    <t>Data: 11/05/2026</t>
  </si>
  <si>
    <t>Data: 12/05/2026</t>
  </si>
  <si>
    <t>Data: 13/05/2026</t>
  </si>
  <si>
    <t>Data: 14/05/2026</t>
  </si>
  <si>
    <t>Data: 15/05/2026</t>
  </si>
  <si>
    <t>Data: 01/04/2026</t>
  </si>
  <si>
    <t>Data: 06/04/2026</t>
  </si>
  <si>
    <t>Data: 07/04/2026</t>
  </si>
  <si>
    <t>Data: 08/04/2026</t>
  </si>
  <si>
    <t>Data: 09/04/2026</t>
  </si>
  <si>
    <t>Data: 10/04/2026</t>
  </si>
  <si>
    <t>Data: 13/04/2026</t>
  </si>
  <si>
    <t>Data: 14/04/2026</t>
  </si>
  <si>
    <t>Data: 15/04/2026</t>
  </si>
  <si>
    <t>Data: 16/04/2026</t>
  </si>
  <si>
    <t>Data: 17/04/2026</t>
  </si>
  <si>
    <t>Data: 22/04/2026</t>
  </si>
  <si>
    <t>Data: 23/04/2026</t>
  </si>
  <si>
    <t>Data: 24/04/2026</t>
  </si>
  <si>
    <t>Data: 27/04/2026</t>
  </si>
  <si>
    <t>Data: 28/04/2026</t>
  </si>
  <si>
    <t>Data: 29/04/2026</t>
  </si>
  <si>
    <t>Data: 30/04/2026</t>
  </si>
  <si>
    <t>Data: 02/03/2026</t>
  </si>
  <si>
    <t>Data: 03/03/2026</t>
  </si>
  <si>
    <t>Data: 04/03/2026</t>
  </si>
  <si>
    <t>Data: 05/03/2026</t>
  </si>
  <si>
    <t>Data: 06/03/2026</t>
  </si>
  <si>
    <t>Data: 09/03/2026</t>
  </si>
  <si>
    <t>Data: 10/03/2026</t>
  </si>
  <si>
    <t>Data: 11/03/2026</t>
  </si>
  <si>
    <t>Data: 12/03/2026</t>
  </si>
  <si>
    <t>Data: 13/03/2026</t>
  </si>
  <si>
    <t>Data: 16/03/2026</t>
  </si>
  <si>
    <t>Data: 17/03/2026</t>
  </si>
  <si>
    <t>Data: 18/03/2026</t>
  </si>
  <si>
    <t>Data: 20/03/2026</t>
  </si>
  <si>
    <t>Data: 21/03/2026</t>
  </si>
  <si>
    <t>Data: 23/03/2026</t>
  </si>
  <si>
    <t>Data: 24/03/2026</t>
  </si>
  <si>
    <t>Prestigio</t>
  </si>
  <si>
    <t>Data: 25/03/2026</t>
  </si>
  <si>
    <t>Data: 26/03/2026</t>
  </si>
  <si>
    <t>Data: 27/03/2026</t>
  </si>
  <si>
    <t>Data: 30/03/2026</t>
  </si>
  <si>
    <t>Data: 31/03/2026</t>
  </si>
  <si>
    <t>Data: 02/02/2026</t>
  </si>
  <si>
    <t>Zero lactose</t>
  </si>
  <si>
    <t>Valor Total de Venda do dia - GELADINHOS</t>
  </si>
  <si>
    <t>Data: 03/02/2026</t>
  </si>
  <si>
    <t>Data: 04/02/2026</t>
  </si>
  <si>
    <t>Data: 05/02/2026</t>
  </si>
  <si>
    <t>Data: 06/02/2026</t>
  </si>
  <si>
    <t>Data: 09/02/2026</t>
  </si>
  <si>
    <t>Data: 10/02/2026</t>
  </si>
  <si>
    <t>Data: 11/02/2026</t>
  </si>
  <si>
    <t>Data: 12/02/2026</t>
  </si>
  <si>
    <t>Data: 13/02/2026</t>
  </si>
  <si>
    <t>Data: 18/02/2026</t>
  </si>
  <si>
    <t>Data: 19/02/2026</t>
  </si>
  <si>
    <t>Data: 20/02/2026</t>
  </si>
  <si>
    <t>Data: 23/02/2026</t>
  </si>
  <si>
    <t>Data: 24/02/2026</t>
  </si>
  <si>
    <t>Data: 25/02/2026</t>
  </si>
  <si>
    <t>Data: 26/02/2026</t>
  </si>
  <si>
    <t>Data: 28/02/2026</t>
  </si>
  <si>
    <t>Data: 05/01/2026</t>
  </si>
  <si>
    <t>Data: 06/01/2026</t>
  </si>
  <si>
    <t>Data: 07/01/2026</t>
  </si>
  <si>
    <t>Data: 08/01/2026</t>
  </si>
  <si>
    <t>Data: 09/01/2026</t>
  </si>
  <si>
    <t>Data: 12/01/2026</t>
  </si>
  <si>
    <t>Data: 15/01/2026</t>
  </si>
  <si>
    <t>Data: 16/01/2026</t>
  </si>
  <si>
    <t>Data: 19/01/2026</t>
  </si>
  <si>
    <t>Data: 20/01/2026</t>
  </si>
  <si>
    <t>Data: 21/01/2026</t>
  </si>
  <si>
    <t>Data: 22/01/2026</t>
  </si>
  <si>
    <t>Data: 23/01/2026</t>
  </si>
  <si>
    <t>Data: 26/01/2026</t>
  </si>
  <si>
    <t>Data: 27/01/2026</t>
  </si>
  <si>
    <t>Data: 28/01/2026</t>
  </si>
  <si>
    <t>Data: 29/01/2026</t>
  </si>
  <si>
    <t>Data: 30/01/2026</t>
  </si>
  <si>
    <t>Controle de gastos</t>
  </si>
  <si>
    <t>Ingredientes</t>
  </si>
  <si>
    <t>Valor produto</t>
  </si>
  <si>
    <t>Volume</t>
  </si>
  <si>
    <t>Valor Unit.</t>
  </si>
  <si>
    <t>Quantidade</t>
  </si>
  <si>
    <t>UN</t>
  </si>
  <si>
    <t xml:space="preserve">Valor </t>
  </si>
  <si>
    <t>Açúcar</t>
  </si>
  <si>
    <t>G</t>
  </si>
  <si>
    <t>Creme de leite</t>
  </si>
  <si>
    <t>CX</t>
  </si>
  <si>
    <t>Embalagem</t>
  </si>
  <si>
    <t>un</t>
  </si>
  <si>
    <t>Etiqueta</t>
  </si>
  <si>
    <t>Gasto Produção</t>
  </si>
  <si>
    <t>Geladinho Produzido</t>
  </si>
  <si>
    <t>Valor Venda</t>
  </si>
  <si>
    <t>Valor Bruto</t>
  </si>
  <si>
    <t>Lucro</t>
  </si>
  <si>
    <t>Leite condensado</t>
  </si>
  <si>
    <t>Leite em pó</t>
  </si>
  <si>
    <t>Leite integral</t>
  </si>
  <si>
    <t>L</t>
  </si>
  <si>
    <t>Liga neutra</t>
  </si>
  <si>
    <t>Polpa</t>
  </si>
  <si>
    <t>pc</t>
  </si>
  <si>
    <t>Total</t>
  </si>
  <si>
    <t>Banana</t>
  </si>
  <si>
    <t>g</t>
  </si>
  <si>
    <t>Base - açaí</t>
  </si>
  <si>
    <t xml:space="preserve">Leite condensado triângulo </t>
  </si>
  <si>
    <t>Coco/Coco queimado</t>
  </si>
  <si>
    <t>Coco Ralado seco</t>
  </si>
  <si>
    <t>Coco Ralado fresco</t>
  </si>
  <si>
    <t>Leite de coco</t>
  </si>
  <si>
    <t>VD</t>
  </si>
  <si>
    <t>LT</t>
  </si>
  <si>
    <t xml:space="preserve">Morango </t>
  </si>
  <si>
    <t>Açúcar geleia</t>
  </si>
  <si>
    <t>Suco</t>
  </si>
  <si>
    <t>Un</t>
  </si>
  <si>
    <t>Chocolate/fracionado</t>
  </si>
  <si>
    <t>Coco ralado seco</t>
  </si>
  <si>
    <t>Coco ralado fresco</t>
  </si>
  <si>
    <t>Cobertura Chocolate</t>
  </si>
  <si>
    <t>Chocolate em pó</t>
  </si>
  <si>
    <t>Granulado</t>
  </si>
  <si>
    <t>Nescau</t>
  </si>
  <si>
    <t>Açúcar - geleia</t>
  </si>
  <si>
    <t>T</t>
  </si>
  <si>
    <t xml:space="preserve">Maracujá </t>
  </si>
  <si>
    <t>Nutella</t>
  </si>
  <si>
    <t>Calda</t>
  </si>
  <si>
    <t>Morango com nutella</t>
  </si>
  <si>
    <t>Ninho com nutella</t>
  </si>
  <si>
    <t>Ninho com morango</t>
  </si>
  <si>
    <t>Cajá</t>
  </si>
  <si>
    <t>zero lactose</t>
  </si>
  <si>
    <t>Coco ralado</t>
  </si>
  <si>
    <t xml:space="preserve">Leite condensado </t>
  </si>
  <si>
    <t>mousse de limão</t>
  </si>
  <si>
    <t>PC</t>
  </si>
  <si>
    <t>Acúcar para a geleia</t>
  </si>
  <si>
    <t>Milho Verde</t>
  </si>
  <si>
    <t>Leite de Coco</t>
  </si>
  <si>
    <t>Vd</t>
  </si>
  <si>
    <t>Acúcar do caramelo</t>
  </si>
  <si>
    <t>Baunilha</t>
  </si>
  <si>
    <t>ml</t>
  </si>
  <si>
    <t>Ovo</t>
  </si>
  <si>
    <t>Sal</t>
  </si>
  <si>
    <t>Trufado de ouro branco</t>
  </si>
  <si>
    <t>Amendoim (cobertura)</t>
  </si>
  <si>
    <t>Chocolate branco fracionado (cobetura)</t>
  </si>
  <si>
    <t>Ouro branco picado</t>
  </si>
  <si>
    <t>Rosquinha de nata</t>
  </si>
  <si>
    <t>Farinha de trigo</t>
  </si>
  <si>
    <t>Fermento</t>
  </si>
  <si>
    <t>COL</t>
  </si>
  <si>
    <t xml:space="preserve">Leite </t>
  </si>
  <si>
    <t>ML</t>
  </si>
  <si>
    <t>Margarina</t>
  </si>
  <si>
    <t>Rosquinhas     Produzidas pacotes</t>
  </si>
  <si>
    <t>Nata de leite</t>
  </si>
  <si>
    <t>Papel manteiga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</si>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</sst>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21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9"/>
      <color rgb="FF7E3794"/>
      <name val="Google Sans Mono"/>
    </font>
    <font>
      <sz val="10"/>
      <color rgb="FFFF0000"/>
      <name val="Arial"/>
    </font>
    <font>
      <b/>
      <sz val="10"/>
      <color theme="1"/>
      <name val="Arial"/>
    </font>
    <font>
      <b/>
      <sz val="9"/>
      <color rgb="FF7E3794"/>
      <name val="Google Sans Mono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rgb="FF980000"/>
      <name val="Arial"/>
      <scheme val="minor"/>
    </font>
    <font>
      <sz val="10"/>
      <color rgb="FF980000"/>
      <name val="Arial"/>
    </font>
    <font>
      <sz val="10"/>
      <color rgb="FFCC0000"/>
      <name val="Arial"/>
    </font>
    <font>
      <sz val="10"/>
      <color rgb="FFCC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FF0000"/>
      <name val="Arial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1" xfId="0" applyFont="1" applyBorder="1"/>
    <xf numFmtId="0" fontId="4" fillId="3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64" fontId="4" fillId="3" borderId="4" xfId="0" applyNumberFormat="1" applyFont="1" applyFill="1" applyBorder="1" applyAlignment="1">
      <alignment horizontal="center" wrapText="1"/>
    </xf>
    <xf numFmtId="0" fontId="1" fillId="0" borderId="4" xfId="0" applyFont="1" applyBorder="1"/>
    <xf numFmtId="0" fontId="6" fillId="7" borderId="4" xfId="0" applyFont="1" applyFill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7" fillId="0" borderId="4" xfId="0" applyFont="1" applyBorder="1"/>
    <xf numFmtId="0" fontId="1" fillId="7" borderId="4" xfId="0" applyFont="1" applyFill="1" applyBorder="1"/>
    <xf numFmtId="0" fontId="1" fillId="8" borderId="4" xfId="0" applyFont="1" applyFill="1" applyBorder="1"/>
    <xf numFmtId="0" fontId="1" fillId="8" borderId="4" xfId="0" applyFont="1" applyFill="1" applyBorder="1" applyAlignment="1">
      <alignment horizontal="right"/>
    </xf>
    <xf numFmtId="164" fontId="1" fillId="8" borderId="4" xfId="0" applyNumberFormat="1" applyFont="1" applyFill="1" applyBorder="1" applyAlignment="1">
      <alignment horizontal="right"/>
    </xf>
    <xf numFmtId="0" fontId="1" fillId="0" borderId="0" xfId="0" applyFont="1"/>
    <xf numFmtId="0" fontId="1" fillId="6" borderId="4" xfId="0" applyFont="1" applyFill="1" applyBorder="1"/>
    <xf numFmtId="164" fontId="1" fillId="0" borderId="4" xfId="0" applyNumberFormat="1" applyFont="1" applyBorder="1"/>
    <xf numFmtId="0" fontId="8" fillId="0" borderId="4" xfId="0" applyFont="1" applyBorder="1"/>
    <xf numFmtId="0" fontId="9" fillId="7" borderId="4" xfId="0" applyFont="1" applyFill="1" applyBorder="1" applyAlignment="1">
      <alignment horizontal="right"/>
    </xf>
    <xf numFmtId="0" fontId="10" fillId="0" borderId="0" xfId="0" applyFont="1"/>
    <xf numFmtId="164" fontId="11" fillId="0" borderId="0" xfId="0" applyNumberFormat="1" applyFont="1"/>
    <xf numFmtId="0" fontId="1" fillId="5" borderId="0" xfId="0" applyFont="1" applyFill="1"/>
    <xf numFmtId="0" fontId="1" fillId="5" borderId="4" xfId="0" applyFont="1" applyFill="1" applyBorder="1"/>
    <xf numFmtId="164" fontId="8" fillId="5" borderId="4" xfId="0" applyNumberFormat="1" applyFont="1" applyFill="1" applyBorder="1" applyAlignment="1">
      <alignment horizontal="right"/>
    </xf>
    <xf numFmtId="0" fontId="11" fillId="0" borderId="0" xfId="0" applyFont="1"/>
    <xf numFmtId="0" fontId="8" fillId="0" borderId="1" xfId="0" applyFont="1" applyBorder="1"/>
    <xf numFmtId="0" fontId="10" fillId="8" borderId="0" xfId="0" applyFont="1" applyFill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1" fillId="0" borderId="4" xfId="0" applyFont="1" applyBorder="1"/>
    <xf numFmtId="164" fontId="11" fillId="0" borderId="4" xfId="0" applyNumberFormat="1" applyFont="1" applyBorder="1"/>
    <xf numFmtId="49" fontId="11" fillId="0" borderId="4" xfId="0" applyNumberFormat="1" applyFont="1" applyBorder="1"/>
    <xf numFmtId="164" fontId="11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vertical="center" wrapText="1"/>
    </xf>
    <xf numFmtId="164" fontId="11" fillId="0" borderId="4" xfId="0" applyNumberFormat="1" applyFont="1" applyBorder="1" applyAlignment="1">
      <alignment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9" fontId="11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164" fontId="12" fillId="0" borderId="4" xfId="0" applyNumberFormat="1" applyFont="1" applyBorder="1"/>
    <xf numFmtId="0" fontId="13" fillId="0" borderId="4" xfId="0" applyFont="1" applyBorder="1"/>
    <xf numFmtId="0" fontId="11" fillId="9" borderId="0" xfId="0" applyFont="1" applyFill="1" applyAlignment="1">
      <alignment horizontal="right"/>
    </xf>
    <xf numFmtId="164" fontId="11" fillId="9" borderId="0" xfId="0" applyNumberFormat="1" applyFont="1" applyFill="1" applyAlignment="1">
      <alignment horizontal="right"/>
    </xf>
    <xf numFmtId="0" fontId="8" fillId="8" borderId="11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1" fillId="8" borderId="10" xfId="0" applyFont="1" applyFill="1" applyBorder="1"/>
    <xf numFmtId="0" fontId="1" fillId="0" borderId="11" xfId="0" applyFont="1" applyBorder="1"/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49" fontId="1" fillId="0" borderId="10" xfId="0" applyNumberFormat="1" applyFont="1" applyBorder="1"/>
    <xf numFmtId="0" fontId="14" fillId="0" borderId="10" xfId="0" applyFont="1" applyBorder="1" applyAlignment="1">
      <alignment horizontal="right"/>
    </xf>
    <xf numFmtId="164" fontId="1" fillId="0" borderId="10" xfId="0" applyNumberFormat="1" applyFont="1" applyBorder="1" applyAlignment="1">
      <alignment horizontal="center"/>
    </xf>
    <xf numFmtId="0" fontId="1" fillId="0" borderId="9" xfId="0" applyFont="1" applyBorder="1"/>
    <xf numFmtId="0" fontId="8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1" fillId="0" borderId="11" xfId="0" applyFont="1" applyBorder="1" applyAlignment="1">
      <alignment wrapText="1"/>
    </xf>
    <xf numFmtId="164" fontId="1" fillId="0" borderId="10" xfId="0" applyNumberFormat="1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164" fontId="1" fillId="0" borderId="10" xfId="0" applyNumberFormat="1" applyFont="1" applyBorder="1" applyAlignment="1">
      <alignment horizontal="center" wrapText="1"/>
    </xf>
    <xf numFmtId="0" fontId="1" fillId="0" borderId="12" xfId="0" applyFont="1" applyBorder="1"/>
    <xf numFmtId="0" fontId="8" fillId="0" borderId="10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10" xfId="0" applyFont="1" applyBorder="1"/>
    <xf numFmtId="0" fontId="15" fillId="0" borderId="10" xfId="0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164" fontId="1" fillId="0" borderId="0" xfId="0" applyNumberFormat="1" applyFont="1"/>
    <xf numFmtId="0" fontId="1" fillId="9" borderId="0" xfId="0" applyFont="1" applyFill="1"/>
    <xf numFmtId="0" fontId="1" fillId="9" borderId="0" xfId="0" applyFont="1" applyFill="1" applyAlignment="1">
      <alignment horizontal="right"/>
    </xf>
    <xf numFmtId="164" fontId="1" fillId="9" borderId="0" xfId="0" applyNumberFormat="1" applyFont="1" applyFill="1" applyAlignment="1">
      <alignment horizontal="right"/>
    </xf>
    <xf numFmtId="0" fontId="16" fillId="0" borderId="4" xfId="0" applyFont="1" applyBorder="1"/>
    <xf numFmtId="0" fontId="10" fillId="0" borderId="4" xfId="0" applyFont="1" applyBorder="1"/>
    <xf numFmtId="0" fontId="10" fillId="9" borderId="0" xfId="0" applyFont="1" applyFill="1" applyAlignment="1">
      <alignment horizontal="right"/>
    </xf>
    <xf numFmtId="164" fontId="11" fillId="0" borderId="4" xfId="0" applyNumberFormat="1" applyFont="1" applyBorder="1" applyAlignment="1">
      <alignment horizontal="center" wrapText="1"/>
    </xf>
    <xf numFmtId="0" fontId="12" fillId="0" borderId="4" xfId="0" applyFont="1" applyBorder="1"/>
    <xf numFmtId="0" fontId="10" fillId="2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/>
    </xf>
    <xf numFmtId="0" fontId="17" fillId="8" borderId="4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18" fillId="0" borderId="4" xfId="0" applyFont="1" applyBorder="1"/>
    <xf numFmtId="164" fontId="18" fillId="0" borderId="4" xfId="0" applyNumberFormat="1" applyFont="1" applyBorder="1"/>
    <xf numFmtId="49" fontId="18" fillId="0" borderId="4" xfId="0" applyNumberFormat="1" applyFont="1" applyBorder="1"/>
    <xf numFmtId="164" fontId="1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vertical="center" wrapText="1"/>
    </xf>
    <xf numFmtId="164" fontId="18" fillId="0" borderId="4" xfId="0" applyNumberFormat="1" applyFont="1" applyBorder="1" applyAlignment="1">
      <alignment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vertical="center" wrapText="1"/>
    </xf>
    <xf numFmtId="0" fontId="18" fillId="0" borderId="0" xfId="0" applyFont="1"/>
    <xf numFmtId="0" fontId="18" fillId="9" borderId="0" xfId="0" applyFont="1" applyFill="1" applyAlignment="1">
      <alignment horizontal="right"/>
    </xf>
    <xf numFmtId="164" fontId="18" fillId="9" borderId="0" xfId="0" applyNumberFormat="1" applyFont="1" applyFill="1" applyAlignment="1">
      <alignment horizontal="right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2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164" fontId="12" fillId="0" borderId="4" xfId="0" applyNumberFormat="1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49" fontId="12" fillId="0" borderId="4" xfId="0" applyNumberFormat="1" applyFont="1" applyBorder="1"/>
    <xf numFmtId="164" fontId="12" fillId="0" borderId="4" xfId="0" applyNumberFormat="1" applyFont="1" applyBorder="1" applyAlignment="1">
      <alignment horizontal="center"/>
    </xf>
    <xf numFmtId="0" fontId="12" fillId="0" borderId="4" xfId="0" applyFont="1" applyBorder="1" applyAlignment="1">
      <alignment vertical="center" wrapText="1"/>
    </xf>
    <xf numFmtId="164" fontId="12" fillId="0" borderId="4" xfId="0" applyNumberFormat="1" applyFont="1" applyBorder="1" applyAlignment="1">
      <alignment vertical="center" wrapText="1"/>
    </xf>
    <xf numFmtId="49" fontId="12" fillId="0" borderId="4" xfId="0" applyNumberFormat="1" applyFont="1" applyBorder="1" applyAlignment="1">
      <alignment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wrapText="1"/>
    </xf>
    <xf numFmtId="164" fontId="18" fillId="0" borderId="4" xfId="0" applyNumberFormat="1" applyFont="1" applyBorder="1" applyAlignment="1">
      <alignment horizontal="right"/>
    </xf>
    <xf numFmtId="0" fontId="18" fillId="0" borderId="4" xfId="0" applyFont="1" applyBorder="1" applyAlignment="1">
      <alignment horizontal="right"/>
    </xf>
    <xf numFmtId="0" fontId="17" fillId="0" borderId="4" xfId="0" applyFont="1" applyBorder="1"/>
    <xf numFmtId="164" fontId="17" fillId="0" borderId="4" xfId="0" applyNumberFormat="1" applyFont="1" applyBorder="1"/>
    <xf numFmtId="49" fontId="17" fillId="0" borderId="4" xfId="0" applyNumberFormat="1" applyFont="1" applyBorder="1"/>
    <xf numFmtId="164" fontId="17" fillId="0" borderId="4" xfId="0" applyNumberFormat="1" applyFont="1" applyBorder="1" applyAlignment="1">
      <alignment horizontal="center"/>
    </xf>
    <xf numFmtId="49" fontId="1" fillId="0" borderId="4" xfId="0" applyNumberFormat="1" applyFont="1" applyBorder="1"/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wrapText="1"/>
    </xf>
    <xf numFmtId="164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49" fontId="1" fillId="0" borderId="4" xfId="0" applyNumberFormat="1" applyFont="1" applyBorder="1" applyAlignment="1">
      <alignment wrapText="1"/>
    </xf>
    <xf numFmtId="164" fontId="1" fillId="0" borderId="4" xfId="0" applyNumberFormat="1" applyFont="1" applyBorder="1" applyAlignment="1">
      <alignment horizontal="center" wrapText="1"/>
    </xf>
    <xf numFmtId="0" fontId="8" fillId="0" borderId="0" xfId="0" applyFont="1"/>
    <xf numFmtId="164" fontId="7" fillId="0" borderId="4" xfId="0" applyNumberFormat="1" applyFont="1" applyBorder="1" applyAlignment="1">
      <alignment horizontal="right"/>
    </xf>
    <xf numFmtId="2" fontId="1" fillId="0" borderId="4" xfId="0" applyNumberFormat="1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8" fillId="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64" fontId="1" fillId="0" borderId="1" xfId="0" applyNumberFormat="1" applyFont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16" xfId="0" applyFont="1" applyBorder="1" applyAlignment="1">
      <alignment horizontal="right" wrapText="1"/>
    </xf>
    <xf numFmtId="0" fontId="8" fillId="6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0" fillId="0" borderId="13" xfId="0" applyFont="1" applyBorder="1" applyAlignment="1">
      <alignment horizontal="right" wrapText="1"/>
    </xf>
    <xf numFmtId="0" fontId="20" fillId="0" borderId="15" xfId="0" applyFont="1" applyBorder="1" applyAlignment="1">
      <alignment horizontal="right" wrapText="1"/>
    </xf>
    <xf numFmtId="0" fontId="20" fillId="0" borderId="1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Jailson Borges Soares" id="{32c0f2e5-71fc-4b94-9ad0-5f38c4328049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74" dT="2026-03-02T21:56:41.00" personId="{32c0f2e5-71fc-4b94-9ad0-5f38c4328049}" id="{e75f5ad5-fe95-4c88-85fa-e49b37d9d2c0}" done="0">
    <x18tc:text xml:space="preserve">pode apagar essa?
Ja copiei la pra aba de março</x18tc:text>
  </x18tc:threadedComment>
</x18tc: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79"/>
  <sheetViews>
    <sheetView tabSelected="1" topLeftCell="A30" workbookViewId="0">
      <pane xSplit="1" topLeftCell="B1" activePane="topRight" state="frozen"/>
      <selection pane="topRight" activeCell="E31" sqref="E31:F53"/>
    </sheetView>
  </sheetViews>
  <sheetFormatPr defaultColWidth="12.5703125" defaultRowHeight="15.75" customHeight="1"/>
  <cols>
    <col min="1" max="1" width="17.28515625" customWidth="1"/>
  </cols>
  <sheetData>
    <row r="1" spans="1:9" ht="15.75" customHeight="1">
      <c r="A1" s="1"/>
      <c r="B1" s="131" t="s">
        <v>0</v>
      </c>
      <c r="C1" s="152"/>
      <c r="D1" s="152"/>
      <c r="E1" s="152"/>
      <c r="F1" s="152"/>
      <c r="G1" s="152"/>
      <c r="H1" s="152"/>
      <c r="I1" s="153"/>
    </row>
    <row r="2" spans="1:9" ht="15.75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6" t="s">
        <v>8</v>
      </c>
      <c r="I2" s="7" t="s">
        <v>9</v>
      </c>
    </row>
    <row r="3" spans="1:9" ht="15.75" customHeight="1" thickBot="1">
      <c r="A3" s="8" t="s">
        <v>10</v>
      </c>
      <c r="B3" s="9">
        <f>ABRIL26!H490</f>
        <v>35</v>
      </c>
      <c r="C3" s="8"/>
      <c r="D3" s="8"/>
      <c r="E3" s="8">
        <v>6</v>
      </c>
      <c r="F3" s="154">
        <v>6</v>
      </c>
      <c r="G3" s="9">
        <f t="shared" ref="G3:G25" si="0">E3-F3</f>
        <v>0</v>
      </c>
      <c r="H3" s="9">
        <f t="shared" ref="H3:H25" si="1">B3-C3+D3-G3</f>
        <v>35</v>
      </c>
      <c r="I3" s="10">
        <f t="shared" ref="I3:I25" si="2">G3*6</f>
        <v>0</v>
      </c>
    </row>
    <row r="4" spans="1:9" ht="15.75" customHeight="1" thickBot="1">
      <c r="A4" s="8" t="s">
        <v>11</v>
      </c>
      <c r="B4" s="9">
        <f>ABRIL26!H491</f>
        <v>28</v>
      </c>
      <c r="C4" s="11"/>
      <c r="D4" s="8"/>
      <c r="E4" s="8">
        <v>3</v>
      </c>
      <c r="F4" s="155">
        <v>3</v>
      </c>
      <c r="G4" s="9">
        <f t="shared" si="0"/>
        <v>0</v>
      </c>
      <c r="H4" s="9">
        <f t="shared" si="1"/>
        <v>28</v>
      </c>
      <c r="I4" s="10">
        <f t="shared" si="2"/>
        <v>0</v>
      </c>
    </row>
    <row r="5" spans="1:9" ht="15.75" customHeight="1" thickBot="1">
      <c r="A5" s="8" t="s">
        <v>12</v>
      </c>
      <c r="B5" s="9">
        <f>ABRIL26!H492</f>
        <v>17</v>
      </c>
      <c r="C5" s="8"/>
      <c r="D5" s="8"/>
      <c r="E5" s="8">
        <v>5</v>
      </c>
      <c r="F5" s="155">
        <v>4</v>
      </c>
      <c r="G5" s="9">
        <f t="shared" si="0"/>
        <v>1</v>
      </c>
      <c r="H5" s="9">
        <f t="shared" si="1"/>
        <v>16</v>
      </c>
      <c r="I5" s="10">
        <f t="shared" si="2"/>
        <v>6</v>
      </c>
    </row>
    <row r="6" spans="1:9" ht="15.75" customHeight="1" thickBot="1">
      <c r="A6" s="8" t="s">
        <v>13</v>
      </c>
      <c r="B6" s="9">
        <f>ABRIL26!H493</f>
        <v>32</v>
      </c>
      <c r="C6" s="12"/>
      <c r="D6" s="8"/>
      <c r="E6" s="8">
        <v>6</v>
      </c>
      <c r="F6" s="155">
        <v>5</v>
      </c>
      <c r="G6" s="9">
        <f t="shared" si="0"/>
        <v>1</v>
      </c>
      <c r="H6" s="9">
        <f t="shared" si="1"/>
        <v>31</v>
      </c>
      <c r="I6" s="10">
        <f t="shared" si="2"/>
        <v>6</v>
      </c>
    </row>
    <row r="7" spans="1:9" ht="15.75" customHeight="1" thickBot="1">
      <c r="A7" s="8" t="s">
        <v>14</v>
      </c>
      <c r="B7" s="9">
        <f>ABRIL26!H494</f>
        <v>24</v>
      </c>
      <c r="C7" s="8"/>
      <c r="D7" s="8"/>
      <c r="E7" s="8">
        <v>4</v>
      </c>
      <c r="F7" s="155">
        <v>3</v>
      </c>
      <c r="G7" s="9">
        <f t="shared" si="0"/>
        <v>1</v>
      </c>
      <c r="H7" s="9">
        <f t="shared" si="1"/>
        <v>23</v>
      </c>
      <c r="I7" s="10">
        <f t="shared" si="2"/>
        <v>6</v>
      </c>
    </row>
    <row r="8" spans="1:9" ht="15.75" customHeight="1" thickBot="1">
      <c r="A8" s="8" t="s">
        <v>15</v>
      </c>
      <c r="B8" s="9">
        <f>ABRIL26!H495</f>
        <v>32</v>
      </c>
      <c r="C8" s="8"/>
      <c r="D8" s="8"/>
      <c r="E8" s="8">
        <v>6</v>
      </c>
      <c r="F8" s="155">
        <v>2</v>
      </c>
      <c r="G8" s="9">
        <f t="shared" si="0"/>
        <v>4</v>
      </c>
      <c r="H8" s="9">
        <f t="shared" si="1"/>
        <v>28</v>
      </c>
      <c r="I8" s="10">
        <f t="shared" si="2"/>
        <v>24</v>
      </c>
    </row>
    <row r="9" spans="1:9" ht="15.75" customHeight="1" thickBot="1">
      <c r="A9" s="8" t="s">
        <v>16</v>
      </c>
      <c r="B9" s="9">
        <f>ABRIL26!H496</f>
        <v>15</v>
      </c>
      <c r="C9" s="8"/>
      <c r="D9" s="8">
        <v>30</v>
      </c>
      <c r="E9" s="8">
        <v>5</v>
      </c>
      <c r="F9" s="155">
        <v>4</v>
      </c>
      <c r="G9" s="9">
        <f t="shared" si="0"/>
        <v>1</v>
      </c>
      <c r="H9" s="9">
        <f t="shared" si="1"/>
        <v>44</v>
      </c>
      <c r="I9" s="10">
        <f t="shared" si="2"/>
        <v>6</v>
      </c>
    </row>
    <row r="10" spans="1:9" ht="15.75" customHeight="1" thickBot="1">
      <c r="A10" s="8" t="s">
        <v>17</v>
      </c>
      <c r="B10" s="9">
        <f>ABRIL26!H497</f>
        <v>15</v>
      </c>
      <c r="C10" s="8"/>
      <c r="D10" s="8"/>
      <c r="E10" s="8">
        <v>4</v>
      </c>
      <c r="F10" s="155">
        <v>3</v>
      </c>
      <c r="G10" s="9">
        <f t="shared" si="0"/>
        <v>1</v>
      </c>
      <c r="H10" s="9">
        <f t="shared" si="1"/>
        <v>14</v>
      </c>
      <c r="I10" s="10">
        <f t="shared" si="2"/>
        <v>6</v>
      </c>
    </row>
    <row r="11" spans="1:9" ht="15.75" customHeight="1" thickBot="1">
      <c r="A11" s="8" t="s">
        <v>18</v>
      </c>
      <c r="B11" s="9">
        <f>ABRIL26!H498</f>
        <v>19</v>
      </c>
      <c r="C11" s="8"/>
      <c r="D11" s="8"/>
      <c r="E11" s="8">
        <v>5</v>
      </c>
      <c r="F11" s="155">
        <v>4</v>
      </c>
      <c r="G11" s="9">
        <f t="shared" si="0"/>
        <v>1</v>
      </c>
      <c r="H11" s="9">
        <f t="shared" si="1"/>
        <v>18</v>
      </c>
      <c r="I11" s="10">
        <f t="shared" si="2"/>
        <v>6</v>
      </c>
    </row>
    <row r="12" spans="1:9" ht="15.75" customHeight="1" thickBot="1">
      <c r="A12" s="8" t="s">
        <v>19</v>
      </c>
      <c r="B12" s="9">
        <f>ABRIL26!H499</f>
        <v>22</v>
      </c>
      <c r="C12" s="8"/>
      <c r="D12" s="8"/>
      <c r="E12" s="8">
        <v>5</v>
      </c>
      <c r="F12" s="155">
        <v>5</v>
      </c>
      <c r="G12" s="9">
        <f t="shared" si="0"/>
        <v>0</v>
      </c>
      <c r="H12" s="9">
        <f t="shared" si="1"/>
        <v>22</v>
      </c>
      <c r="I12" s="10">
        <f t="shared" si="2"/>
        <v>0</v>
      </c>
    </row>
    <row r="13" spans="1:9" ht="15.75" customHeight="1" thickBot="1">
      <c r="A13" s="8" t="s">
        <v>20</v>
      </c>
      <c r="B13" s="9">
        <f>ABRIL26!H500</f>
        <v>35</v>
      </c>
      <c r="C13" s="8"/>
      <c r="D13" s="8"/>
      <c r="E13" s="8">
        <v>5</v>
      </c>
      <c r="F13" s="155">
        <v>5</v>
      </c>
      <c r="G13" s="9">
        <f t="shared" si="0"/>
        <v>0</v>
      </c>
      <c r="H13" s="9">
        <f t="shared" si="1"/>
        <v>35</v>
      </c>
      <c r="I13" s="10">
        <f t="shared" si="2"/>
        <v>0</v>
      </c>
    </row>
    <row r="14" spans="1:9" ht="15.75" customHeight="1" thickBot="1">
      <c r="A14" s="8" t="s">
        <v>21</v>
      </c>
      <c r="B14" s="9">
        <f>ABRIL26!H501</f>
        <v>8</v>
      </c>
      <c r="C14" s="8"/>
      <c r="D14" s="8"/>
      <c r="E14" s="8">
        <v>2</v>
      </c>
      <c r="F14" s="155">
        <v>1</v>
      </c>
      <c r="G14" s="9">
        <f t="shared" si="0"/>
        <v>1</v>
      </c>
      <c r="H14" s="9">
        <f t="shared" si="1"/>
        <v>7</v>
      </c>
      <c r="I14" s="10">
        <f t="shared" si="2"/>
        <v>6</v>
      </c>
    </row>
    <row r="15" spans="1:9" ht="15.75" customHeight="1" thickBot="1">
      <c r="A15" s="8" t="s">
        <v>22</v>
      </c>
      <c r="B15" s="9">
        <f>ABRIL26!H502</f>
        <v>34</v>
      </c>
      <c r="C15" s="8">
        <v>1</v>
      </c>
      <c r="D15" s="8"/>
      <c r="E15" s="8">
        <v>5</v>
      </c>
      <c r="F15" s="155">
        <v>4</v>
      </c>
      <c r="G15" s="9">
        <f t="shared" si="0"/>
        <v>1</v>
      </c>
      <c r="H15" s="9">
        <f t="shared" si="1"/>
        <v>32</v>
      </c>
      <c r="I15" s="10">
        <f t="shared" si="2"/>
        <v>6</v>
      </c>
    </row>
    <row r="16" spans="1:9" ht="15.75" customHeight="1" thickBot="1">
      <c r="A16" s="8" t="s">
        <v>23</v>
      </c>
      <c r="B16" s="9">
        <f>ABRIL26!H503</f>
        <v>32</v>
      </c>
      <c r="C16" s="11"/>
      <c r="D16" s="8"/>
      <c r="E16" s="8">
        <v>6</v>
      </c>
      <c r="F16" s="155">
        <v>5</v>
      </c>
      <c r="G16" s="9">
        <f t="shared" si="0"/>
        <v>1</v>
      </c>
      <c r="H16" s="9">
        <f t="shared" si="1"/>
        <v>31</v>
      </c>
      <c r="I16" s="10">
        <f t="shared" si="2"/>
        <v>6</v>
      </c>
    </row>
    <row r="17" spans="1:9" ht="15.75" customHeight="1" thickBot="1">
      <c r="A17" s="8" t="s">
        <v>24</v>
      </c>
      <c r="B17" s="9">
        <f>ABRIL26!H504</f>
        <v>24</v>
      </c>
      <c r="C17" s="8"/>
      <c r="D17" s="8"/>
      <c r="E17" s="8">
        <v>3</v>
      </c>
      <c r="F17" s="155">
        <v>3</v>
      </c>
      <c r="G17" s="9">
        <f t="shared" si="0"/>
        <v>0</v>
      </c>
      <c r="H17" s="9">
        <f t="shared" si="1"/>
        <v>24</v>
      </c>
      <c r="I17" s="10">
        <f t="shared" si="2"/>
        <v>0</v>
      </c>
    </row>
    <row r="18" spans="1:9" ht="15.75" customHeight="1" thickBot="1">
      <c r="A18" s="8" t="s">
        <v>25</v>
      </c>
      <c r="B18" s="9">
        <f>ABRIL26!H505</f>
        <v>25</v>
      </c>
      <c r="C18" s="8"/>
      <c r="D18" s="8"/>
      <c r="E18" s="8">
        <v>8</v>
      </c>
      <c r="F18" s="155">
        <v>2</v>
      </c>
      <c r="G18" s="9">
        <f t="shared" si="0"/>
        <v>6</v>
      </c>
      <c r="H18" s="9">
        <f t="shared" si="1"/>
        <v>19</v>
      </c>
      <c r="I18" s="10">
        <f t="shared" si="2"/>
        <v>36</v>
      </c>
    </row>
    <row r="19" spans="1:9" ht="15.75" customHeight="1" thickBot="1">
      <c r="A19" s="8" t="s">
        <v>26</v>
      </c>
      <c r="B19" s="9">
        <f>ABRIL26!H506</f>
        <v>17</v>
      </c>
      <c r="C19" s="8"/>
      <c r="D19" s="8"/>
      <c r="E19" s="8">
        <v>4</v>
      </c>
      <c r="F19" s="155">
        <v>2</v>
      </c>
      <c r="G19" s="9">
        <f t="shared" si="0"/>
        <v>2</v>
      </c>
      <c r="H19" s="9">
        <f t="shared" si="1"/>
        <v>15</v>
      </c>
      <c r="I19" s="10">
        <f t="shared" si="2"/>
        <v>12</v>
      </c>
    </row>
    <row r="20" spans="1:9" ht="15.75" customHeight="1" thickBot="1">
      <c r="A20" s="8" t="s">
        <v>27</v>
      </c>
      <c r="B20" s="9">
        <f>ABRIL26!H507</f>
        <v>17</v>
      </c>
      <c r="C20" s="8"/>
      <c r="D20" s="8"/>
      <c r="E20" s="8">
        <v>3</v>
      </c>
      <c r="F20" s="155">
        <v>2</v>
      </c>
      <c r="G20" s="9">
        <f t="shared" si="0"/>
        <v>1</v>
      </c>
      <c r="H20" s="9">
        <f t="shared" si="1"/>
        <v>16</v>
      </c>
      <c r="I20" s="10">
        <f t="shared" si="2"/>
        <v>6</v>
      </c>
    </row>
    <row r="21" spans="1:9" ht="15.75" customHeight="1" thickBot="1">
      <c r="A21" s="8" t="s">
        <v>28</v>
      </c>
      <c r="B21" s="9">
        <f>ABRIL26!H508</f>
        <v>20</v>
      </c>
      <c r="C21" s="8"/>
      <c r="D21" s="8"/>
      <c r="E21" s="8">
        <v>8</v>
      </c>
      <c r="F21" s="155">
        <v>7</v>
      </c>
      <c r="G21" s="9">
        <f t="shared" si="0"/>
        <v>1</v>
      </c>
      <c r="H21" s="9">
        <f t="shared" si="1"/>
        <v>19</v>
      </c>
      <c r="I21" s="10">
        <f t="shared" si="2"/>
        <v>6</v>
      </c>
    </row>
    <row r="22" spans="1:9" ht="15.75" customHeight="1" thickBot="1">
      <c r="A22" s="8" t="s">
        <v>29</v>
      </c>
      <c r="B22" s="9">
        <f>ABRIL26!H509</f>
        <v>158</v>
      </c>
      <c r="C22" s="12"/>
      <c r="D22" s="8"/>
      <c r="E22" s="8">
        <v>25</v>
      </c>
      <c r="F22" s="155">
        <v>13</v>
      </c>
      <c r="G22" s="9">
        <f t="shared" si="0"/>
        <v>12</v>
      </c>
      <c r="H22" s="9">
        <f t="shared" si="1"/>
        <v>146</v>
      </c>
      <c r="I22" s="10">
        <f t="shared" si="2"/>
        <v>72</v>
      </c>
    </row>
    <row r="23" spans="1:9" ht="13.5" thickBot="1">
      <c r="A23" s="8" t="s">
        <v>30</v>
      </c>
      <c r="B23" s="9">
        <f>ABRIL26!H510</f>
        <v>6</v>
      </c>
      <c r="C23" s="8"/>
      <c r="D23" s="8"/>
      <c r="E23" s="8">
        <v>2</v>
      </c>
      <c r="F23" s="155">
        <v>2</v>
      </c>
      <c r="G23" s="9">
        <f t="shared" si="0"/>
        <v>0</v>
      </c>
      <c r="H23" s="9">
        <f t="shared" si="1"/>
        <v>6</v>
      </c>
      <c r="I23" s="10">
        <f t="shared" si="2"/>
        <v>0</v>
      </c>
    </row>
    <row r="24" spans="1:9" ht="13.5" thickBot="1">
      <c r="A24" s="13" t="s">
        <v>31</v>
      </c>
      <c r="B24" s="9">
        <f>ABRIL26!H511</f>
        <v>12</v>
      </c>
      <c r="C24" s="8"/>
      <c r="D24" s="8"/>
      <c r="E24" s="8">
        <v>2</v>
      </c>
      <c r="F24" s="155">
        <v>0</v>
      </c>
      <c r="G24" s="9">
        <f t="shared" si="0"/>
        <v>2</v>
      </c>
      <c r="H24" s="9">
        <f t="shared" si="1"/>
        <v>10</v>
      </c>
      <c r="I24" s="10">
        <f t="shared" si="2"/>
        <v>12</v>
      </c>
    </row>
    <row r="25" spans="1:9" ht="13.5" thickBot="1">
      <c r="A25" s="13" t="s">
        <v>32</v>
      </c>
      <c r="B25" s="9">
        <f>ABRIL26!H512</f>
        <v>16</v>
      </c>
      <c r="C25" s="8"/>
      <c r="D25" s="8"/>
      <c r="E25" s="8">
        <v>2</v>
      </c>
      <c r="F25" s="155">
        <v>2</v>
      </c>
      <c r="G25" s="9">
        <f t="shared" si="0"/>
        <v>0</v>
      </c>
      <c r="H25" s="9">
        <f t="shared" si="1"/>
        <v>16</v>
      </c>
      <c r="I25" s="10">
        <f t="shared" si="2"/>
        <v>0</v>
      </c>
    </row>
    <row r="26" spans="1:9" ht="12.75">
      <c r="A26" s="14" t="s">
        <v>33</v>
      </c>
      <c r="B26" s="15">
        <f t="shared" ref="B26:I26" si="3">SUM(B3:B25)</f>
        <v>643</v>
      </c>
      <c r="C26" s="15">
        <f t="shared" si="3"/>
        <v>1</v>
      </c>
      <c r="D26" s="15">
        <f t="shared" si="3"/>
        <v>30</v>
      </c>
      <c r="E26" s="15">
        <f t="shared" si="3"/>
        <v>124</v>
      </c>
      <c r="F26" s="15">
        <f t="shared" si="3"/>
        <v>87</v>
      </c>
      <c r="G26" s="15">
        <f t="shared" si="3"/>
        <v>37</v>
      </c>
      <c r="H26" s="15">
        <f t="shared" si="3"/>
        <v>635</v>
      </c>
      <c r="I26" s="16">
        <f t="shared" si="3"/>
        <v>222</v>
      </c>
    </row>
    <row r="27" spans="1:9" ht="12.75">
      <c r="A27" s="17"/>
      <c r="B27" s="17"/>
      <c r="C27" s="17"/>
      <c r="D27" s="17"/>
      <c r="E27" s="17"/>
      <c r="F27" s="134" t="s">
        <v>34</v>
      </c>
      <c r="G27" s="151"/>
      <c r="H27" s="18"/>
      <c r="I27" s="19"/>
    </row>
    <row r="29" spans="1:9">
      <c r="A29" s="1"/>
      <c r="B29" s="131" t="s">
        <v>35</v>
      </c>
      <c r="C29" s="132"/>
      <c r="D29" s="132"/>
      <c r="E29" s="132"/>
      <c r="F29" s="132"/>
      <c r="G29" s="132"/>
      <c r="H29" s="132"/>
      <c r="I29" s="133"/>
    </row>
    <row r="30" spans="1:9" ht="45.75" thickBot="1">
      <c r="A30" s="2" t="s">
        <v>1</v>
      </c>
      <c r="B30" s="3" t="s">
        <v>2</v>
      </c>
      <c r="C30" s="4" t="s">
        <v>3</v>
      </c>
      <c r="D30" s="5" t="s">
        <v>4</v>
      </c>
      <c r="E30" s="2" t="s">
        <v>5</v>
      </c>
      <c r="F30" s="2" t="s">
        <v>6</v>
      </c>
      <c r="G30" s="2" t="s">
        <v>7</v>
      </c>
      <c r="H30" s="6" t="s">
        <v>8</v>
      </c>
      <c r="I30" s="7" t="s">
        <v>9</v>
      </c>
    </row>
    <row r="31" spans="1:9" ht="13.5" thickBot="1">
      <c r="A31" s="8" t="s">
        <v>10</v>
      </c>
      <c r="B31" s="9">
        <f t="shared" ref="B31:B53" si="4">H3</f>
        <v>35</v>
      </c>
      <c r="C31" s="8"/>
      <c r="D31" s="8"/>
      <c r="E31" s="154">
        <v>6</v>
      </c>
      <c r="F31" s="156">
        <v>5</v>
      </c>
      <c r="G31" s="9">
        <f t="shared" ref="G31:G53" si="5">E31-F31</f>
        <v>1</v>
      </c>
      <c r="H31" s="9">
        <f t="shared" ref="H31:H53" si="6">B31-C31+D31-G31</f>
        <v>34</v>
      </c>
      <c r="I31" s="10">
        <f t="shared" ref="I31:I53" si="7">G31*6</f>
        <v>6</v>
      </c>
    </row>
    <row r="32" spans="1:9" ht="13.5" thickBot="1">
      <c r="A32" s="8" t="s">
        <v>11</v>
      </c>
      <c r="B32" s="9">
        <f t="shared" si="4"/>
        <v>28</v>
      </c>
      <c r="C32" s="11"/>
      <c r="D32" s="8"/>
      <c r="E32" s="155">
        <v>3</v>
      </c>
      <c r="F32" s="150">
        <v>3</v>
      </c>
      <c r="G32" s="9">
        <f t="shared" si="5"/>
        <v>0</v>
      </c>
      <c r="H32" s="9">
        <f t="shared" si="6"/>
        <v>28</v>
      </c>
      <c r="I32" s="10">
        <f t="shared" si="7"/>
        <v>0</v>
      </c>
    </row>
    <row r="33" spans="1:9" ht="13.5" thickBot="1">
      <c r="A33" s="8" t="s">
        <v>12</v>
      </c>
      <c r="B33" s="9">
        <f t="shared" si="4"/>
        <v>16</v>
      </c>
      <c r="C33" s="8"/>
      <c r="D33" s="8"/>
      <c r="E33" s="155">
        <v>5</v>
      </c>
      <c r="F33" s="150">
        <v>3</v>
      </c>
      <c r="G33" s="9">
        <f t="shared" si="5"/>
        <v>2</v>
      </c>
      <c r="H33" s="9">
        <f t="shared" si="6"/>
        <v>14</v>
      </c>
      <c r="I33" s="10">
        <f t="shared" si="7"/>
        <v>12</v>
      </c>
    </row>
    <row r="34" spans="1:9" ht="13.5" thickBot="1">
      <c r="A34" s="8" t="s">
        <v>13</v>
      </c>
      <c r="B34" s="9">
        <f t="shared" si="4"/>
        <v>31</v>
      </c>
      <c r="C34" s="12"/>
      <c r="D34" s="8"/>
      <c r="E34" s="155">
        <v>6</v>
      </c>
      <c r="F34" s="150">
        <v>3</v>
      </c>
      <c r="G34" s="9">
        <f t="shared" si="5"/>
        <v>3</v>
      </c>
      <c r="H34" s="9">
        <f t="shared" si="6"/>
        <v>28</v>
      </c>
      <c r="I34" s="10">
        <f t="shared" si="7"/>
        <v>18</v>
      </c>
    </row>
    <row r="35" spans="1:9" ht="13.5" thickBot="1">
      <c r="A35" s="8" t="s">
        <v>14</v>
      </c>
      <c r="B35" s="9">
        <f t="shared" si="4"/>
        <v>23</v>
      </c>
      <c r="C35" s="8"/>
      <c r="D35" s="8"/>
      <c r="E35" s="155">
        <v>4</v>
      </c>
      <c r="F35" s="150">
        <v>1</v>
      </c>
      <c r="G35" s="9">
        <f t="shared" si="5"/>
        <v>3</v>
      </c>
      <c r="H35" s="9">
        <f t="shared" si="6"/>
        <v>20</v>
      </c>
      <c r="I35" s="10">
        <f t="shared" si="7"/>
        <v>18</v>
      </c>
    </row>
    <row r="36" spans="1:9" ht="13.5" thickBot="1">
      <c r="A36" s="8" t="s">
        <v>15</v>
      </c>
      <c r="B36" s="9">
        <f t="shared" si="4"/>
        <v>28</v>
      </c>
      <c r="C36" s="8"/>
      <c r="D36" s="8"/>
      <c r="E36" s="155">
        <v>5</v>
      </c>
      <c r="F36" s="150">
        <v>4</v>
      </c>
      <c r="G36" s="9">
        <f t="shared" si="5"/>
        <v>1</v>
      </c>
      <c r="H36" s="9">
        <f t="shared" si="6"/>
        <v>27</v>
      </c>
      <c r="I36" s="10">
        <f t="shared" si="7"/>
        <v>6</v>
      </c>
    </row>
    <row r="37" spans="1:9" ht="13.5" thickBot="1">
      <c r="A37" s="8" t="s">
        <v>16</v>
      </c>
      <c r="B37" s="9">
        <f t="shared" si="4"/>
        <v>44</v>
      </c>
      <c r="C37" s="8"/>
      <c r="D37" s="8"/>
      <c r="E37" s="155">
        <v>5</v>
      </c>
      <c r="F37" s="150">
        <v>4</v>
      </c>
      <c r="G37" s="9">
        <f t="shared" si="5"/>
        <v>1</v>
      </c>
      <c r="H37" s="9">
        <f t="shared" si="6"/>
        <v>43</v>
      </c>
      <c r="I37" s="10">
        <f t="shared" si="7"/>
        <v>6</v>
      </c>
    </row>
    <row r="38" spans="1:9" ht="13.5" thickBot="1">
      <c r="A38" s="8" t="s">
        <v>17</v>
      </c>
      <c r="B38" s="9">
        <f t="shared" si="4"/>
        <v>14</v>
      </c>
      <c r="C38" s="8"/>
      <c r="D38" s="8"/>
      <c r="E38" s="155">
        <v>4</v>
      </c>
      <c r="F38" s="150">
        <v>2</v>
      </c>
      <c r="G38" s="9">
        <f t="shared" si="5"/>
        <v>2</v>
      </c>
      <c r="H38" s="9">
        <f t="shared" si="6"/>
        <v>12</v>
      </c>
      <c r="I38" s="10">
        <f t="shared" si="7"/>
        <v>12</v>
      </c>
    </row>
    <row r="39" spans="1:9" ht="13.5" thickBot="1">
      <c r="A39" s="8" t="s">
        <v>18</v>
      </c>
      <c r="B39" s="9">
        <f t="shared" si="4"/>
        <v>18</v>
      </c>
      <c r="C39" s="8"/>
      <c r="D39" s="8"/>
      <c r="E39" s="155">
        <v>5</v>
      </c>
      <c r="F39" s="150">
        <v>4</v>
      </c>
      <c r="G39" s="9">
        <f t="shared" si="5"/>
        <v>1</v>
      </c>
      <c r="H39" s="9">
        <f t="shared" si="6"/>
        <v>17</v>
      </c>
      <c r="I39" s="10">
        <f t="shared" si="7"/>
        <v>6</v>
      </c>
    </row>
    <row r="40" spans="1:9" ht="13.5" thickBot="1">
      <c r="A40" s="8" t="s">
        <v>19</v>
      </c>
      <c r="B40" s="9">
        <f t="shared" si="4"/>
        <v>22</v>
      </c>
      <c r="C40" s="8"/>
      <c r="D40" s="8"/>
      <c r="E40" s="155">
        <v>5</v>
      </c>
      <c r="F40" s="150">
        <v>3</v>
      </c>
      <c r="G40" s="9">
        <f t="shared" si="5"/>
        <v>2</v>
      </c>
      <c r="H40" s="9">
        <f t="shared" si="6"/>
        <v>20</v>
      </c>
      <c r="I40" s="10">
        <f t="shared" si="7"/>
        <v>12</v>
      </c>
    </row>
    <row r="41" spans="1:9" ht="13.5" thickBot="1">
      <c r="A41" s="8" t="s">
        <v>20</v>
      </c>
      <c r="B41" s="9">
        <f t="shared" si="4"/>
        <v>35</v>
      </c>
      <c r="C41" s="8"/>
      <c r="D41" s="8"/>
      <c r="E41" s="155">
        <v>5</v>
      </c>
      <c r="F41" s="150">
        <v>3</v>
      </c>
      <c r="G41" s="9">
        <f t="shared" si="5"/>
        <v>2</v>
      </c>
      <c r="H41" s="9">
        <f t="shared" si="6"/>
        <v>33</v>
      </c>
      <c r="I41" s="10">
        <f t="shared" si="7"/>
        <v>12</v>
      </c>
    </row>
    <row r="42" spans="1:9" ht="13.5" thickBot="1">
      <c r="A42" s="8" t="s">
        <v>21</v>
      </c>
      <c r="B42" s="9">
        <f t="shared" si="4"/>
        <v>7</v>
      </c>
      <c r="C42" s="8"/>
      <c r="D42" s="8"/>
      <c r="E42" s="155">
        <v>2</v>
      </c>
      <c r="F42" s="150">
        <v>1</v>
      </c>
      <c r="G42" s="9">
        <f t="shared" si="5"/>
        <v>1</v>
      </c>
      <c r="H42" s="9">
        <f t="shared" si="6"/>
        <v>6</v>
      </c>
      <c r="I42" s="10">
        <f t="shared" si="7"/>
        <v>6</v>
      </c>
    </row>
    <row r="43" spans="1:9" ht="13.5" thickBot="1">
      <c r="A43" s="8" t="s">
        <v>22</v>
      </c>
      <c r="B43" s="9">
        <f t="shared" si="4"/>
        <v>32</v>
      </c>
      <c r="C43" s="8"/>
      <c r="D43" s="8"/>
      <c r="E43" s="155">
        <v>5</v>
      </c>
      <c r="F43" s="150">
        <v>4</v>
      </c>
      <c r="G43" s="9">
        <f t="shared" si="5"/>
        <v>1</v>
      </c>
      <c r="H43" s="9">
        <f t="shared" si="6"/>
        <v>31</v>
      </c>
      <c r="I43" s="10">
        <f t="shared" si="7"/>
        <v>6</v>
      </c>
    </row>
    <row r="44" spans="1:9" ht="13.5" thickBot="1">
      <c r="A44" s="8" t="s">
        <v>23</v>
      </c>
      <c r="B44" s="9">
        <f t="shared" si="4"/>
        <v>31</v>
      </c>
      <c r="C44" s="11"/>
      <c r="D44" s="8"/>
      <c r="E44" s="155">
        <v>6</v>
      </c>
      <c r="F44" s="150">
        <v>5</v>
      </c>
      <c r="G44" s="9">
        <f t="shared" si="5"/>
        <v>1</v>
      </c>
      <c r="H44" s="9">
        <f t="shared" si="6"/>
        <v>30</v>
      </c>
      <c r="I44" s="10">
        <f t="shared" si="7"/>
        <v>6</v>
      </c>
    </row>
    <row r="45" spans="1:9" ht="13.5" thickBot="1">
      <c r="A45" s="8" t="s">
        <v>24</v>
      </c>
      <c r="B45" s="9">
        <f t="shared" si="4"/>
        <v>24</v>
      </c>
      <c r="C45" s="8"/>
      <c r="D45" s="8"/>
      <c r="E45" s="155">
        <v>3</v>
      </c>
      <c r="F45" s="150">
        <v>3</v>
      </c>
      <c r="G45" s="9">
        <f t="shared" si="5"/>
        <v>0</v>
      </c>
      <c r="H45" s="9">
        <f t="shared" si="6"/>
        <v>24</v>
      </c>
      <c r="I45" s="10">
        <f t="shared" si="7"/>
        <v>0</v>
      </c>
    </row>
    <row r="46" spans="1:9" ht="13.5" thickBot="1">
      <c r="A46" s="8" t="s">
        <v>25</v>
      </c>
      <c r="B46" s="9">
        <f t="shared" si="4"/>
        <v>19</v>
      </c>
      <c r="C46" s="8"/>
      <c r="D46" s="8"/>
      <c r="E46" s="155">
        <v>8</v>
      </c>
      <c r="F46" s="150">
        <v>6</v>
      </c>
      <c r="G46" s="9">
        <f t="shared" si="5"/>
        <v>2</v>
      </c>
      <c r="H46" s="9">
        <f t="shared" si="6"/>
        <v>17</v>
      </c>
      <c r="I46" s="10">
        <f t="shared" si="7"/>
        <v>12</v>
      </c>
    </row>
    <row r="47" spans="1:9" ht="13.5" thickBot="1">
      <c r="A47" s="8" t="s">
        <v>26</v>
      </c>
      <c r="B47" s="9">
        <f t="shared" si="4"/>
        <v>15</v>
      </c>
      <c r="C47" s="8"/>
      <c r="D47" s="8"/>
      <c r="E47" s="155">
        <v>4</v>
      </c>
      <c r="F47" s="150">
        <v>3</v>
      </c>
      <c r="G47" s="9">
        <f t="shared" si="5"/>
        <v>1</v>
      </c>
      <c r="H47" s="9">
        <f t="shared" si="6"/>
        <v>14</v>
      </c>
      <c r="I47" s="10">
        <f t="shared" si="7"/>
        <v>6</v>
      </c>
    </row>
    <row r="48" spans="1:9" ht="13.5" thickBot="1">
      <c r="A48" s="8" t="s">
        <v>27</v>
      </c>
      <c r="B48" s="9">
        <f t="shared" si="4"/>
        <v>16</v>
      </c>
      <c r="C48" s="8"/>
      <c r="D48" s="8"/>
      <c r="E48" s="155">
        <v>3</v>
      </c>
      <c r="F48" s="150">
        <v>3</v>
      </c>
      <c r="G48" s="9">
        <f t="shared" si="5"/>
        <v>0</v>
      </c>
      <c r="H48" s="9">
        <f t="shared" si="6"/>
        <v>16</v>
      </c>
      <c r="I48" s="10">
        <f t="shared" si="7"/>
        <v>0</v>
      </c>
    </row>
    <row r="49" spans="1:9" ht="13.5" thickBot="1">
      <c r="A49" s="8" t="s">
        <v>28</v>
      </c>
      <c r="B49" s="9">
        <f t="shared" si="4"/>
        <v>19</v>
      </c>
      <c r="C49" s="8"/>
      <c r="D49" s="8"/>
      <c r="E49" s="155">
        <v>8</v>
      </c>
      <c r="F49" s="150">
        <v>6</v>
      </c>
      <c r="G49" s="9">
        <f t="shared" si="5"/>
        <v>2</v>
      </c>
      <c r="H49" s="9">
        <f t="shared" si="6"/>
        <v>17</v>
      </c>
      <c r="I49" s="10">
        <f t="shared" si="7"/>
        <v>12</v>
      </c>
    </row>
    <row r="50" spans="1:9" ht="13.5" thickBot="1">
      <c r="A50" s="8" t="s">
        <v>29</v>
      </c>
      <c r="B50" s="9">
        <f t="shared" si="4"/>
        <v>146</v>
      </c>
      <c r="C50" s="12"/>
      <c r="D50" s="8"/>
      <c r="E50" s="155">
        <v>25</v>
      </c>
      <c r="F50" s="150">
        <v>8</v>
      </c>
      <c r="G50" s="9">
        <f t="shared" si="5"/>
        <v>17</v>
      </c>
      <c r="H50" s="9">
        <f t="shared" si="6"/>
        <v>129</v>
      </c>
      <c r="I50" s="10">
        <f t="shared" si="7"/>
        <v>102</v>
      </c>
    </row>
    <row r="51" spans="1:9" ht="13.5" thickBot="1">
      <c r="A51" s="8" t="s">
        <v>30</v>
      </c>
      <c r="B51" s="9">
        <f t="shared" si="4"/>
        <v>6</v>
      </c>
      <c r="C51" s="8"/>
      <c r="D51" s="8"/>
      <c r="E51" s="155">
        <v>2</v>
      </c>
      <c r="F51" s="150">
        <v>1</v>
      </c>
      <c r="G51" s="9">
        <f t="shared" si="5"/>
        <v>1</v>
      </c>
      <c r="H51" s="9">
        <f t="shared" si="6"/>
        <v>5</v>
      </c>
      <c r="I51" s="10">
        <f t="shared" si="7"/>
        <v>6</v>
      </c>
    </row>
    <row r="52" spans="1:9" ht="13.5" thickBot="1">
      <c r="A52" s="13" t="s">
        <v>31</v>
      </c>
      <c r="B52" s="9">
        <f t="shared" si="4"/>
        <v>10</v>
      </c>
      <c r="C52" s="8"/>
      <c r="D52" s="8"/>
      <c r="E52" s="155">
        <v>2</v>
      </c>
      <c r="F52" s="150">
        <v>2</v>
      </c>
      <c r="G52" s="9">
        <f t="shared" si="5"/>
        <v>0</v>
      </c>
      <c r="H52" s="9">
        <f t="shared" si="6"/>
        <v>10</v>
      </c>
      <c r="I52" s="10">
        <f t="shared" si="7"/>
        <v>0</v>
      </c>
    </row>
    <row r="53" spans="1:9" ht="13.5" thickBot="1">
      <c r="A53" s="13" t="s">
        <v>32</v>
      </c>
      <c r="B53" s="9">
        <f t="shared" si="4"/>
        <v>16</v>
      </c>
      <c r="C53" s="8"/>
      <c r="D53" s="8"/>
      <c r="E53" s="155">
        <v>2</v>
      </c>
      <c r="F53" s="150">
        <v>2</v>
      </c>
      <c r="G53" s="9">
        <f t="shared" si="5"/>
        <v>0</v>
      </c>
      <c r="H53" s="9">
        <f t="shared" si="6"/>
        <v>16</v>
      </c>
      <c r="I53" s="10">
        <f t="shared" si="7"/>
        <v>0</v>
      </c>
    </row>
    <row r="54" spans="1:9" ht="12.75">
      <c r="A54" s="14" t="s">
        <v>33</v>
      </c>
      <c r="B54" s="15">
        <f t="shared" ref="B54:I54" si="8">SUM(B31:B53)</f>
        <v>635</v>
      </c>
      <c r="C54" s="15">
        <f t="shared" si="8"/>
        <v>0</v>
      </c>
      <c r="D54" s="15">
        <f t="shared" si="8"/>
        <v>0</v>
      </c>
      <c r="E54" s="15">
        <f t="shared" si="8"/>
        <v>123</v>
      </c>
      <c r="F54" s="15">
        <f t="shared" si="8"/>
        <v>79</v>
      </c>
      <c r="G54" s="15">
        <f t="shared" si="8"/>
        <v>44</v>
      </c>
      <c r="H54" s="15">
        <f t="shared" si="8"/>
        <v>591</v>
      </c>
      <c r="I54" s="16">
        <f t="shared" si="8"/>
        <v>264</v>
      </c>
    </row>
    <row r="55" spans="1:9" ht="12.75">
      <c r="A55" s="17"/>
      <c r="B55" s="17"/>
      <c r="C55" s="17"/>
      <c r="D55" s="17"/>
      <c r="E55" s="17"/>
      <c r="F55" s="134" t="s">
        <v>34</v>
      </c>
      <c r="G55" s="133"/>
      <c r="H55" s="18"/>
      <c r="I55" s="19"/>
    </row>
    <row r="57" spans="1:9">
      <c r="A57" s="1"/>
      <c r="B57" s="131" t="s">
        <v>36</v>
      </c>
      <c r="C57" s="132"/>
      <c r="D57" s="132"/>
      <c r="E57" s="132"/>
      <c r="F57" s="132"/>
      <c r="G57" s="132"/>
      <c r="H57" s="132"/>
      <c r="I57" s="133"/>
    </row>
    <row r="58" spans="1:9" ht="45">
      <c r="A58" s="2" t="s">
        <v>1</v>
      </c>
      <c r="B58" s="3" t="s">
        <v>2</v>
      </c>
      <c r="C58" s="4" t="s">
        <v>3</v>
      </c>
      <c r="D58" s="5" t="s">
        <v>4</v>
      </c>
      <c r="E58" s="2" t="s">
        <v>5</v>
      </c>
      <c r="F58" s="2" t="s">
        <v>6</v>
      </c>
      <c r="G58" s="2" t="s">
        <v>7</v>
      </c>
      <c r="H58" s="6" t="s">
        <v>8</v>
      </c>
      <c r="I58" s="7" t="s">
        <v>9</v>
      </c>
    </row>
    <row r="59" spans="1:9" ht="12.75">
      <c r="A59" s="8" t="s">
        <v>10</v>
      </c>
      <c r="B59" s="9">
        <f t="shared" ref="B59:B81" si="9">H31</f>
        <v>34</v>
      </c>
      <c r="C59" s="8"/>
      <c r="D59" s="8"/>
      <c r="E59" s="8"/>
      <c r="F59" s="8"/>
      <c r="G59" s="9">
        <f t="shared" ref="G59:G81" si="10">E59-F59</f>
        <v>0</v>
      </c>
      <c r="H59" s="9">
        <f t="shared" ref="H59:H81" si="11">B59-C59+D59-G59</f>
        <v>34</v>
      </c>
      <c r="I59" s="10">
        <f t="shared" ref="I59:I81" si="12">G59*6</f>
        <v>0</v>
      </c>
    </row>
    <row r="60" spans="1:9" ht="12.75">
      <c r="A60" s="8" t="s">
        <v>11</v>
      </c>
      <c r="B60" s="9">
        <f t="shared" si="9"/>
        <v>28</v>
      </c>
      <c r="C60" s="11"/>
      <c r="D60" s="8"/>
      <c r="E60" s="8"/>
      <c r="F60" s="8"/>
      <c r="G60" s="9">
        <f t="shared" si="10"/>
        <v>0</v>
      </c>
      <c r="H60" s="9">
        <f t="shared" si="11"/>
        <v>28</v>
      </c>
      <c r="I60" s="10">
        <f t="shared" si="12"/>
        <v>0</v>
      </c>
    </row>
    <row r="61" spans="1:9" ht="12.75">
      <c r="A61" s="8" t="s">
        <v>12</v>
      </c>
      <c r="B61" s="9">
        <f t="shared" si="9"/>
        <v>14</v>
      </c>
      <c r="C61" s="8"/>
      <c r="D61" s="8"/>
      <c r="E61" s="8"/>
      <c r="F61" s="8"/>
      <c r="G61" s="9">
        <f t="shared" si="10"/>
        <v>0</v>
      </c>
      <c r="H61" s="9">
        <f t="shared" si="11"/>
        <v>14</v>
      </c>
      <c r="I61" s="10">
        <f t="shared" si="12"/>
        <v>0</v>
      </c>
    </row>
    <row r="62" spans="1:9" ht="12.75">
      <c r="A62" s="8" t="s">
        <v>13</v>
      </c>
      <c r="B62" s="9">
        <f t="shared" si="9"/>
        <v>28</v>
      </c>
      <c r="C62" s="12"/>
      <c r="D62" s="8"/>
      <c r="E62" s="8"/>
      <c r="F62" s="8"/>
      <c r="G62" s="9">
        <f t="shared" si="10"/>
        <v>0</v>
      </c>
      <c r="H62" s="9">
        <f t="shared" si="11"/>
        <v>28</v>
      </c>
      <c r="I62" s="10">
        <f t="shared" si="12"/>
        <v>0</v>
      </c>
    </row>
    <row r="63" spans="1:9" ht="12.75">
      <c r="A63" s="8" t="s">
        <v>14</v>
      </c>
      <c r="B63" s="9">
        <f t="shared" si="9"/>
        <v>20</v>
      </c>
      <c r="C63" s="8"/>
      <c r="D63" s="8"/>
      <c r="E63" s="8"/>
      <c r="F63" s="8"/>
      <c r="G63" s="9">
        <f t="shared" si="10"/>
        <v>0</v>
      </c>
      <c r="H63" s="9">
        <f t="shared" si="11"/>
        <v>20</v>
      </c>
      <c r="I63" s="10">
        <f t="shared" si="12"/>
        <v>0</v>
      </c>
    </row>
    <row r="64" spans="1:9" ht="12.75">
      <c r="A64" s="8" t="s">
        <v>15</v>
      </c>
      <c r="B64" s="9">
        <f t="shared" si="9"/>
        <v>27</v>
      </c>
      <c r="C64" s="8"/>
      <c r="D64" s="8"/>
      <c r="E64" s="8"/>
      <c r="F64" s="8"/>
      <c r="G64" s="9">
        <f t="shared" si="10"/>
        <v>0</v>
      </c>
      <c r="H64" s="9">
        <f t="shared" si="11"/>
        <v>27</v>
      </c>
      <c r="I64" s="10">
        <f t="shared" si="12"/>
        <v>0</v>
      </c>
    </row>
    <row r="65" spans="1:9" ht="12.75">
      <c r="A65" s="8" t="s">
        <v>16</v>
      </c>
      <c r="B65" s="9">
        <f t="shared" si="9"/>
        <v>43</v>
      </c>
      <c r="C65" s="8"/>
      <c r="D65" s="8"/>
      <c r="E65" s="8"/>
      <c r="F65" s="8"/>
      <c r="G65" s="9">
        <f t="shared" si="10"/>
        <v>0</v>
      </c>
      <c r="H65" s="9">
        <f t="shared" si="11"/>
        <v>43</v>
      </c>
      <c r="I65" s="10">
        <f t="shared" si="12"/>
        <v>0</v>
      </c>
    </row>
    <row r="66" spans="1:9" ht="12.75">
      <c r="A66" s="8" t="s">
        <v>17</v>
      </c>
      <c r="B66" s="9">
        <f t="shared" si="9"/>
        <v>12</v>
      </c>
      <c r="C66" s="8"/>
      <c r="D66" s="8"/>
      <c r="E66" s="8"/>
      <c r="F66" s="8"/>
      <c r="G66" s="9">
        <f t="shared" si="10"/>
        <v>0</v>
      </c>
      <c r="H66" s="9">
        <f t="shared" si="11"/>
        <v>12</v>
      </c>
      <c r="I66" s="10">
        <f t="shared" si="12"/>
        <v>0</v>
      </c>
    </row>
    <row r="67" spans="1:9" ht="12.75">
      <c r="A67" s="8" t="s">
        <v>18</v>
      </c>
      <c r="B67" s="9">
        <f t="shared" si="9"/>
        <v>17</v>
      </c>
      <c r="C67" s="8"/>
      <c r="D67" s="8"/>
      <c r="E67" s="8"/>
      <c r="F67" s="8"/>
      <c r="G67" s="9">
        <f t="shared" si="10"/>
        <v>0</v>
      </c>
      <c r="H67" s="9">
        <f t="shared" si="11"/>
        <v>17</v>
      </c>
      <c r="I67" s="10">
        <f t="shared" si="12"/>
        <v>0</v>
      </c>
    </row>
    <row r="68" spans="1:9" ht="12.75">
      <c r="A68" s="8" t="s">
        <v>19</v>
      </c>
      <c r="B68" s="9">
        <f t="shared" si="9"/>
        <v>20</v>
      </c>
      <c r="C68" s="8"/>
      <c r="D68" s="8"/>
      <c r="E68" s="8"/>
      <c r="F68" s="8"/>
      <c r="G68" s="9">
        <f t="shared" si="10"/>
        <v>0</v>
      </c>
      <c r="H68" s="9">
        <f t="shared" si="11"/>
        <v>20</v>
      </c>
      <c r="I68" s="10">
        <f t="shared" si="12"/>
        <v>0</v>
      </c>
    </row>
    <row r="69" spans="1:9" ht="12.75">
      <c r="A69" s="8" t="s">
        <v>20</v>
      </c>
      <c r="B69" s="9">
        <f t="shared" si="9"/>
        <v>33</v>
      </c>
      <c r="C69" s="8"/>
      <c r="D69" s="8"/>
      <c r="E69" s="8"/>
      <c r="F69" s="8"/>
      <c r="G69" s="9">
        <f t="shared" si="10"/>
        <v>0</v>
      </c>
      <c r="H69" s="9">
        <f t="shared" si="11"/>
        <v>33</v>
      </c>
      <c r="I69" s="10">
        <f t="shared" si="12"/>
        <v>0</v>
      </c>
    </row>
    <row r="70" spans="1:9" ht="12.75">
      <c r="A70" s="8" t="s">
        <v>21</v>
      </c>
      <c r="B70" s="9">
        <f t="shared" si="9"/>
        <v>6</v>
      </c>
      <c r="C70" s="8"/>
      <c r="D70" s="8"/>
      <c r="E70" s="8"/>
      <c r="F70" s="8"/>
      <c r="G70" s="9">
        <f t="shared" si="10"/>
        <v>0</v>
      </c>
      <c r="H70" s="9">
        <f t="shared" si="11"/>
        <v>6</v>
      </c>
      <c r="I70" s="10">
        <f t="shared" si="12"/>
        <v>0</v>
      </c>
    </row>
    <row r="71" spans="1:9" ht="12.75">
      <c r="A71" s="8" t="s">
        <v>22</v>
      </c>
      <c r="B71" s="9">
        <f t="shared" si="9"/>
        <v>31</v>
      </c>
      <c r="C71" s="8"/>
      <c r="D71" s="8"/>
      <c r="E71" s="8"/>
      <c r="F71" s="8"/>
      <c r="G71" s="9">
        <f t="shared" si="10"/>
        <v>0</v>
      </c>
      <c r="H71" s="9">
        <f t="shared" si="11"/>
        <v>31</v>
      </c>
      <c r="I71" s="10">
        <f t="shared" si="12"/>
        <v>0</v>
      </c>
    </row>
    <row r="72" spans="1:9" ht="12.75">
      <c r="A72" s="8" t="s">
        <v>23</v>
      </c>
      <c r="B72" s="9">
        <f t="shared" si="9"/>
        <v>30</v>
      </c>
      <c r="C72" s="11"/>
      <c r="D72" s="8"/>
      <c r="E72" s="8"/>
      <c r="F72" s="8"/>
      <c r="G72" s="9">
        <f t="shared" si="10"/>
        <v>0</v>
      </c>
      <c r="H72" s="9">
        <f t="shared" si="11"/>
        <v>30</v>
      </c>
      <c r="I72" s="10">
        <f t="shared" si="12"/>
        <v>0</v>
      </c>
    </row>
    <row r="73" spans="1:9" ht="12.75">
      <c r="A73" s="8" t="s">
        <v>24</v>
      </c>
      <c r="B73" s="9">
        <f t="shared" si="9"/>
        <v>24</v>
      </c>
      <c r="C73" s="8"/>
      <c r="D73" s="8"/>
      <c r="E73" s="8"/>
      <c r="F73" s="8"/>
      <c r="G73" s="9">
        <f t="shared" si="10"/>
        <v>0</v>
      </c>
      <c r="H73" s="9">
        <f t="shared" si="11"/>
        <v>24</v>
      </c>
      <c r="I73" s="10">
        <f t="shared" si="12"/>
        <v>0</v>
      </c>
    </row>
    <row r="74" spans="1:9" ht="12.75">
      <c r="A74" s="8" t="s">
        <v>25</v>
      </c>
      <c r="B74" s="9">
        <f t="shared" si="9"/>
        <v>17</v>
      </c>
      <c r="C74" s="8"/>
      <c r="D74" s="8"/>
      <c r="E74" s="8"/>
      <c r="F74" s="8"/>
      <c r="G74" s="9">
        <f t="shared" si="10"/>
        <v>0</v>
      </c>
      <c r="H74" s="9">
        <f t="shared" si="11"/>
        <v>17</v>
      </c>
      <c r="I74" s="10">
        <f t="shared" si="12"/>
        <v>0</v>
      </c>
    </row>
    <row r="75" spans="1:9" ht="12.75">
      <c r="A75" s="8" t="s">
        <v>26</v>
      </c>
      <c r="B75" s="9">
        <f t="shared" si="9"/>
        <v>14</v>
      </c>
      <c r="C75" s="8"/>
      <c r="D75" s="8"/>
      <c r="E75" s="8"/>
      <c r="F75" s="8"/>
      <c r="G75" s="9">
        <f t="shared" si="10"/>
        <v>0</v>
      </c>
      <c r="H75" s="9">
        <f t="shared" si="11"/>
        <v>14</v>
      </c>
      <c r="I75" s="10">
        <f t="shared" si="12"/>
        <v>0</v>
      </c>
    </row>
    <row r="76" spans="1:9" ht="12.75">
      <c r="A76" s="8" t="s">
        <v>27</v>
      </c>
      <c r="B76" s="9">
        <f t="shared" si="9"/>
        <v>16</v>
      </c>
      <c r="C76" s="8"/>
      <c r="D76" s="8"/>
      <c r="E76" s="8"/>
      <c r="F76" s="8"/>
      <c r="G76" s="9">
        <f t="shared" si="10"/>
        <v>0</v>
      </c>
      <c r="H76" s="9">
        <f t="shared" si="11"/>
        <v>16</v>
      </c>
      <c r="I76" s="10">
        <f t="shared" si="12"/>
        <v>0</v>
      </c>
    </row>
    <row r="77" spans="1:9" ht="12.75">
      <c r="A77" s="8" t="s">
        <v>28</v>
      </c>
      <c r="B77" s="9">
        <f t="shared" si="9"/>
        <v>17</v>
      </c>
      <c r="C77" s="8"/>
      <c r="D77" s="8"/>
      <c r="E77" s="8"/>
      <c r="F77" s="8"/>
      <c r="G77" s="9">
        <f t="shared" si="10"/>
        <v>0</v>
      </c>
      <c r="H77" s="9">
        <f t="shared" si="11"/>
        <v>17</v>
      </c>
      <c r="I77" s="10">
        <f t="shared" si="12"/>
        <v>0</v>
      </c>
    </row>
    <row r="78" spans="1:9" ht="12.75">
      <c r="A78" s="8" t="s">
        <v>29</v>
      </c>
      <c r="B78" s="9">
        <f t="shared" si="9"/>
        <v>129</v>
      </c>
      <c r="C78" s="12"/>
      <c r="D78" s="8"/>
      <c r="E78" s="8"/>
      <c r="F78" s="8"/>
      <c r="G78" s="9">
        <f t="shared" si="10"/>
        <v>0</v>
      </c>
      <c r="H78" s="9">
        <f t="shared" si="11"/>
        <v>129</v>
      </c>
      <c r="I78" s="10">
        <f t="shared" si="12"/>
        <v>0</v>
      </c>
    </row>
    <row r="79" spans="1:9" ht="12.75">
      <c r="A79" s="8" t="s">
        <v>30</v>
      </c>
      <c r="B79" s="9">
        <f t="shared" si="9"/>
        <v>5</v>
      </c>
      <c r="C79" s="8"/>
      <c r="D79" s="8"/>
      <c r="E79" s="8"/>
      <c r="F79" s="8"/>
      <c r="G79" s="9">
        <f t="shared" si="10"/>
        <v>0</v>
      </c>
      <c r="H79" s="9">
        <f t="shared" si="11"/>
        <v>5</v>
      </c>
      <c r="I79" s="10">
        <f t="shared" si="12"/>
        <v>0</v>
      </c>
    </row>
    <row r="80" spans="1:9" ht="12.75">
      <c r="A80" s="13" t="s">
        <v>31</v>
      </c>
      <c r="B80" s="9">
        <f t="shared" si="9"/>
        <v>10</v>
      </c>
      <c r="C80" s="8"/>
      <c r="D80" s="8"/>
      <c r="E80" s="8"/>
      <c r="F80" s="8"/>
      <c r="G80" s="9">
        <f t="shared" si="10"/>
        <v>0</v>
      </c>
      <c r="H80" s="9">
        <f t="shared" si="11"/>
        <v>10</v>
      </c>
      <c r="I80" s="10">
        <f t="shared" si="12"/>
        <v>0</v>
      </c>
    </row>
    <row r="81" spans="1:25" ht="12.75">
      <c r="A81" s="13" t="s">
        <v>32</v>
      </c>
      <c r="B81" s="9">
        <f t="shared" si="9"/>
        <v>16</v>
      </c>
      <c r="C81" s="8"/>
      <c r="D81" s="8"/>
      <c r="E81" s="8"/>
      <c r="F81" s="8"/>
      <c r="G81" s="9">
        <f t="shared" si="10"/>
        <v>0</v>
      </c>
      <c r="H81" s="9">
        <f t="shared" si="11"/>
        <v>16</v>
      </c>
      <c r="I81" s="10">
        <f t="shared" si="12"/>
        <v>0</v>
      </c>
    </row>
    <row r="82" spans="1:25" ht="12.75">
      <c r="A82" s="14" t="s">
        <v>33</v>
      </c>
      <c r="B82" s="15">
        <f t="shared" ref="B82:I82" si="13">SUM(B59:B81)</f>
        <v>591</v>
      </c>
      <c r="C82" s="15">
        <f t="shared" si="13"/>
        <v>0</v>
      </c>
      <c r="D82" s="15">
        <f t="shared" si="13"/>
        <v>0</v>
      </c>
      <c r="E82" s="15">
        <f t="shared" si="13"/>
        <v>0</v>
      </c>
      <c r="F82" s="15">
        <f t="shared" si="13"/>
        <v>0</v>
      </c>
      <c r="G82" s="15">
        <f t="shared" si="13"/>
        <v>0</v>
      </c>
      <c r="H82" s="15">
        <f t="shared" si="13"/>
        <v>591</v>
      </c>
      <c r="I82" s="16">
        <f t="shared" si="13"/>
        <v>0</v>
      </c>
    </row>
    <row r="83" spans="1:25" ht="12.75">
      <c r="A83" s="17"/>
      <c r="B83" s="17"/>
      <c r="C83" s="17"/>
      <c r="D83" s="17"/>
      <c r="E83" s="17"/>
      <c r="F83" s="134" t="s">
        <v>34</v>
      </c>
      <c r="G83" s="133"/>
      <c r="H83" s="18"/>
      <c r="I83" s="19"/>
    </row>
    <row r="85" spans="1:25">
      <c r="A85" s="1"/>
      <c r="B85" s="131" t="s">
        <v>37</v>
      </c>
      <c r="C85" s="132"/>
      <c r="D85" s="132"/>
      <c r="E85" s="132"/>
      <c r="F85" s="132"/>
      <c r="G85" s="132"/>
      <c r="H85" s="132"/>
      <c r="I85" s="133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45">
      <c r="A86" s="2" t="s">
        <v>1</v>
      </c>
      <c r="B86" s="3" t="s">
        <v>2</v>
      </c>
      <c r="C86" s="4" t="s">
        <v>3</v>
      </c>
      <c r="D86" s="5" t="s">
        <v>4</v>
      </c>
      <c r="E86" s="2" t="s">
        <v>5</v>
      </c>
      <c r="F86" s="2" t="s">
        <v>6</v>
      </c>
      <c r="G86" s="2" t="s">
        <v>7</v>
      </c>
      <c r="H86" s="6" t="s">
        <v>8</v>
      </c>
      <c r="I86" s="7" t="s">
        <v>9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2.75">
      <c r="A87" s="8" t="s">
        <v>10</v>
      </c>
      <c r="B87" s="9">
        <f t="shared" ref="B87:B109" si="14">H59</f>
        <v>34</v>
      </c>
      <c r="C87" s="8"/>
      <c r="D87" s="8"/>
      <c r="E87" s="8"/>
      <c r="F87" s="8"/>
      <c r="G87" s="9">
        <f t="shared" ref="G87:G109" si="15">E87-F87</f>
        <v>0</v>
      </c>
      <c r="H87" s="9">
        <f t="shared" ref="H87:H109" si="16">B87-C87+D87-G87</f>
        <v>34</v>
      </c>
      <c r="I87" s="10">
        <f t="shared" ref="I87:I109" si="17">G87*6</f>
        <v>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2.75">
      <c r="A88" s="8" t="s">
        <v>11</v>
      </c>
      <c r="B88" s="9">
        <f t="shared" si="14"/>
        <v>28</v>
      </c>
      <c r="C88" s="8"/>
      <c r="D88" s="8"/>
      <c r="E88" s="8"/>
      <c r="F88" s="8"/>
      <c r="G88" s="9">
        <f t="shared" si="15"/>
        <v>0</v>
      </c>
      <c r="H88" s="9">
        <f t="shared" si="16"/>
        <v>28</v>
      </c>
      <c r="I88" s="10">
        <f t="shared" si="17"/>
        <v>0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2.75">
      <c r="A89" s="8" t="s">
        <v>12</v>
      </c>
      <c r="B89" s="9">
        <f t="shared" si="14"/>
        <v>14</v>
      </c>
      <c r="C89" s="8"/>
      <c r="D89" s="8"/>
      <c r="E89" s="8"/>
      <c r="F89" s="8"/>
      <c r="G89" s="9">
        <f t="shared" si="15"/>
        <v>0</v>
      </c>
      <c r="H89" s="9">
        <f t="shared" si="16"/>
        <v>14</v>
      </c>
      <c r="I89" s="10">
        <f t="shared" si="17"/>
        <v>0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2.75">
      <c r="A90" s="8" t="s">
        <v>13</v>
      </c>
      <c r="B90" s="9">
        <f t="shared" si="14"/>
        <v>28</v>
      </c>
      <c r="C90" s="8"/>
      <c r="D90" s="8"/>
      <c r="E90" s="8"/>
      <c r="F90" s="8"/>
      <c r="G90" s="9">
        <f t="shared" si="15"/>
        <v>0</v>
      </c>
      <c r="H90" s="9">
        <f t="shared" si="16"/>
        <v>28</v>
      </c>
      <c r="I90" s="10">
        <f t="shared" si="17"/>
        <v>0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2.75">
      <c r="A91" s="8" t="s">
        <v>14</v>
      </c>
      <c r="B91" s="9">
        <f t="shared" si="14"/>
        <v>20</v>
      </c>
      <c r="C91" s="8"/>
      <c r="D91" s="8"/>
      <c r="E91" s="8"/>
      <c r="F91" s="8"/>
      <c r="G91" s="9">
        <f t="shared" si="15"/>
        <v>0</v>
      </c>
      <c r="H91" s="9">
        <f t="shared" si="16"/>
        <v>20</v>
      </c>
      <c r="I91" s="10">
        <f t="shared" si="17"/>
        <v>0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2.75">
      <c r="A92" s="8" t="s">
        <v>15</v>
      </c>
      <c r="B92" s="9">
        <f t="shared" si="14"/>
        <v>27</v>
      </c>
      <c r="C92" s="8"/>
      <c r="D92" s="8"/>
      <c r="E92" s="8"/>
      <c r="F92" s="8"/>
      <c r="G92" s="9">
        <f t="shared" si="15"/>
        <v>0</v>
      </c>
      <c r="H92" s="9">
        <f t="shared" si="16"/>
        <v>27</v>
      </c>
      <c r="I92" s="10">
        <f t="shared" si="17"/>
        <v>0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2.75">
      <c r="A93" s="8" t="s">
        <v>16</v>
      </c>
      <c r="B93" s="9">
        <f t="shared" si="14"/>
        <v>43</v>
      </c>
      <c r="C93" s="8"/>
      <c r="D93" s="8"/>
      <c r="E93" s="8"/>
      <c r="F93" s="8"/>
      <c r="G93" s="9">
        <f t="shared" si="15"/>
        <v>0</v>
      </c>
      <c r="H93" s="9">
        <f t="shared" si="16"/>
        <v>43</v>
      </c>
      <c r="I93" s="10">
        <f t="shared" si="17"/>
        <v>0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2.75">
      <c r="A94" s="8" t="s">
        <v>17</v>
      </c>
      <c r="B94" s="9">
        <f t="shared" si="14"/>
        <v>12</v>
      </c>
      <c r="C94" s="8"/>
      <c r="D94" s="8"/>
      <c r="E94" s="8"/>
      <c r="F94" s="8"/>
      <c r="G94" s="9">
        <f t="shared" si="15"/>
        <v>0</v>
      </c>
      <c r="H94" s="9">
        <f t="shared" si="16"/>
        <v>12</v>
      </c>
      <c r="I94" s="10">
        <f t="shared" si="17"/>
        <v>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2.75">
      <c r="A95" s="8" t="s">
        <v>18</v>
      </c>
      <c r="B95" s="9">
        <f t="shared" si="14"/>
        <v>17</v>
      </c>
      <c r="C95" s="8"/>
      <c r="D95" s="8"/>
      <c r="E95" s="8"/>
      <c r="F95" s="8"/>
      <c r="G95" s="9">
        <f t="shared" si="15"/>
        <v>0</v>
      </c>
      <c r="H95" s="9">
        <f t="shared" si="16"/>
        <v>17</v>
      </c>
      <c r="I95" s="10">
        <f t="shared" si="17"/>
        <v>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2.75">
      <c r="A96" s="8" t="s">
        <v>19</v>
      </c>
      <c r="B96" s="9">
        <f t="shared" si="14"/>
        <v>20</v>
      </c>
      <c r="C96" s="8"/>
      <c r="D96" s="8"/>
      <c r="E96" s="8"/>
      <c r="F96" s="8"/>
      <c r="G96" s="9">
        <f t="shared" si="15"/>
        <v>0</v>
      </c>
      <c r="H96" s="9">
        <f t="shared" si="16"/>
        <v>20</v>
      </c>
      <c r="I96" s="10">
        <f t="shared" si="17"/>
        <v>0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2.75">
      <c r="A97" s="8" t="s">
        <v>20</v>
      </c>
      <c r="B97" s="9">
        <f t="shared" si="14"/>
        <v>33</v>
      </c>
      <c r="C97" s="8"/>
      <c r="D97" s="8"/>
      <c r="E97" s="8"/>
      <c r="F97" s="8"/>
      <c r="G97" s="9">
        <f t="shared" si="15"/>
        <v>0</v>
      </c>
      <c r="H97" s="9">
        <f t="shared" si="16"/>
        <v>33</v>
      </c>
      <c r="I97" s="10">
        <f t="shared" si="17"/>
        <v>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2.75">
      <c r="A98" s="8" t="s">
        <v>21</v>
      </c>
      <c r="B98" s="9">
        <f t="shared" si="14"/>
        <v>6</v>
      </c>
      <c r="C98" s="8"/>
      <c r="D98" s="8"/>
      <c r="E98" s="8"/>
      <c r="F98" s="8"/>
      <c r="G98" s="9">
        <f t="shared" si="15"/>
        <v>0</v>
      </c>
      <c r="H98" s="9">
        <f t="shared" si="16"/>
        <v>6</v>
      </c>
      <c r="I98" s="10">
        <f t="shared" si="17"/>
        <v>0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2.75">
      <c r="A99" s="8" t="s">
        <v>22</v>
      </c>
      <c r="B99" s="9">
        <f t="shared" si="14"/>
        <v>31</v>
      </c>
      <c r="C99" s="8"/>
      <c r="D99" s="8"/>
      <c r="E99" s="8"/>
      <c r="F99" s="8"/>
      <c r="G99" s="9">
        <f t="shared" si="15"/>
        <v>0</v>
      </c>
      <c r="H99" s="9">
        <f t="shared" si="16"/>
        <v>31</v>
      </c>
      <c r="I99" s="10">
        <f t="shared" si="17"/>
        <v>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2.75">
      <c r="A100" s="8" t="s">
        <v>23</v>
      </c>
      <c r="B100" s="9">
        <f t="shared" si="14"/>
        <v>30</v>
      </c>
      <c r="C100" s="8"/>
      <c r="D100" s="8"/>
      <c r="E100" s="8"/>
      <c r="F100" s="8"/>
      <c r="G100" s="9">
        <f t="shared" si="15"/>
        <v>0</v>
      </c>
      <c r="H100" s="9">
        <f t="shared" si="16"/>
        <v>30</v>
      </c>
      <c r="I100" s="10">
        <f t="shared" si="17"/>
        <v>0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2.75">
      <c r="A101" s="8" t="s">
        <v>24</v>
      </c>
      <c r="B101" s="9">
        <f t="shared" si="14"/>
        <v>24</v>
      </c>
      <c r="C101" s="8"/>
      <c r="D101" s="8"/>
      <c r="E101" s="8"/>
      <c r="F101" s="8"/>
      <c r="G101" s="9">
        <f t="shared" si="15"/>
        <v>0</v>
      </c>
      <c r="H101" s="9">
        <f t="shared" si="16"/>
        <v>24</v>
      </c>
      <c r="I101" s="10">
        <f t="shared" si="17"/>
        <v>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2.75">
      <c r="A102" s="8" t="s">
        <v>25</v>
      </c>
      <c r="B102" s="9">
        <f t="shared" si="14"/>
        <v>17</v>
      </c>
      <c r="C102" s="8"/>
      <c r="D102" s="8"/>
      <c r="E102" s="8"/>
      <c r="F102" s="8"/>
      <c r="G102" s="9">
        <f t="shared" si="15"/>
        <v>0</v>
      </c>
      <c r="H102" s="9">
        <f t="shared" si="16"/>
        <v>17</v>
      </c>
      <c r="I102" s="10">
        <f t="shared" si="17"/>
        <v>0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2.75">
      <c r="A103" s="8" t="s">
        <v>26</v>
      </c>
      <c r="B103" s="9">
        <f t="shared" si="14"/>
        <v>14</v>
      </c>
      <c r="C103" s="8"/>
      <c r="D103" s="8"/>
      <c r="E103" s="8"/>
      <c r="F103" s="8"/>
      <c r="G103" s="9">
        <f t="shared" si="15"/>
        <v>0</v>
      </c>
      <c r="H103" s="9">
        <f t="shared" si="16"/>
        <v>14</v>
      </c>
      <c r="I103" s="10">
        <f t="shared" si="17"/>
        <v>0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2.75">
      <c r="A104" s="8" t="s">
        <v>27</v>
      </c>
      <c r="B104" s="9">
        <f t="shared" si="14"/>
        <v>16</v>
      </c>
      <c r="C104" s="8"/>
      <c r="D104" s="8"/>
      <c r="E104" s="8"/>
      <c r="F104" s="8"/>
      <c r="G104" s="9">
        <f t="shared" si="15"/>
        <v>0</v>
      </c>
      <c r="H104" s="9">
        <f t="shared" si="16"/>
        <v>16</v>
      </c>
      <c r="I104" s="10">
        <f t="shared" si="17"/>
        <v>0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2.75">
      <c r="A105" s="8" t="s">
        <v>28</v>
      </c>
      <c r="B105" s="9">
        <f t="shared" si="14"/>
        <v>17</v>
      </c>
      <c r="C105" s="8"/>
      <c r="D105" s="8"/>
      <c r="E105" s="8"/>
      <c r="F105" s="8"/>
      <c r="G105" s="9">
        <f t="shared" si="15"/>
        <v>0</v>
      </c>
      <c r="H105" s="9">
        <f t="shared" si="16"/>
        <v>17</v>
      </c>
      <c r="I105" s="10">
        <f t="shared" si="17"/>
        <v>0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2.75">
      <c r="A106" s="8" t="s">
        <v>29</v>
      </c>
      <c r="B106" s="9">
        <f t="shared" si="14"/>
        <v>129</v>
      </c>
      <c r="C106" s="8"/>
      <c r="D106" s="8"/>
      <c r="E106" s="8"/>
      <c r="F106" s="8"/>
      <c r="G106" s="9">
        <f t="shared" si="15"/>
        <v>0</v>
      </c>
      <c r="H106" s="9">
        <f t="shared" si="16"/>
        <v>129</v>
      </c>
      <c r="I106" s="10">
        <f t="shared" si="17"/>
        <v>0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2.75">
      <c r="A107" s="8" t="s">
        <v>30</v>
      </c>
      <c r="B107" s="9">
        <f t="shared" si="14"/>
        <v>5</v>
      </c>
      <c r="C107" s="8"/>
      <c r="D107" s="8"/>
      <c r="E107" s="8"/>
      <c r="F107" s="8"/>
      <c r="G107" s="9">
        <f t="shared" si="15"/>
        <v>0</v>
      </c>
      <c r="H107" s="9">
        <f t="shared" si="16"/>
        <v>5</v>
      </c>
      <c r="I107" s="10">
        <f t="shared" si="17"/>
        <v>0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2.75">
      <c r="A108" s="13" t="s">
        <v>31</v>
      </c>
      <c r="B108" s="9">
        <f t="shared" si="14"/>
        <v>10</v>
      </c>
      <c r="C108" s="8"/>
      <c r="D108" s="8"/>
      <c r="E108" s="8"/>
      <c r="F108" s="8"/>
      <c r="G108" s="9">
        <f t="shared" si="15"/>
        <v>0</v>
      </c>
      <c r="H108" s="9">
        <f t="shared" si="16"/>
        <v>10</v>
      </c>
      <c r="I108" s="10">
        <f t="shared" si="17"/>
        <v>0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2.75">
      <c r="A109" s="13" t="s">
        <v>32</v>
      </c>
      <c r="B109" s="9">
        <f t="shared" si="14"/>
        <v>16</v>
      </c>
      <c r="C109" s="8"/>
      <c r="D109" s="8"/>
      <c r="E109" s="8"/>
      <c r="F109" s="8"/>
      <c r="G109" s="9">
        <f t="shared" si="15"/>
        <v>0</v>
      </c>
      <c r="H109" s="9">
        <f t="shared" si="16"/>
        <v>16</v>
      </c>
      <c r="I109" s="10">
        <f t="shared" si="17"/>
        <v>0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2.75">
      <c r="A110" s="14" t="s">
        <v>33</v>
      </c>
      <c r="B110" s="15">
        <f t="shared" ref="B110:I110" si="18">SUM(B87:B109)</f>
        <v>591</v>
      </c>
      <c r="C110" s="15">
        <f t="shared" si="18"/>
        <v>0</v>
      </c>
      <c r="D110" s="15">
        <f t="shared" si="18"/>
        <v>0</v>
      </c>
      <c r="E110" s="15">
        <f t="shared" si="18"/>
        <v>0</v>
      </c>
      <c r="F110" s="15">
        <f t="shared" si="18"/>
        <v>0</v>
      </c>
      <c r="G110" s="15">
        <f t="shared" si="18"/>
        <v>0</v>
      </c>
      <c r="H110" s="15">
        <f t="shared" si="18"/>
        <v>591</v>
      </c>
      <c r="I110" s="16">
        <f t="shared" si="18"/>
        <v>0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2.75">
      <c r="A111" s="17"/>
      <c r="B111" s="17"/>
      <c r="C111" s="17"/>
      <c r="D111" s="17"/>
      <c r="E111" s="17"/>
      <c r="F111" s="134" t="s">
        <v>34</v>
      </c>
      <c r="G111" s="133"/>
      <c r="H111" s="18"/>
      <c r="I111" s="19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3" spans="1:25">
      <c r="A113" s="1"/>
      <c r="B113" s="131" t="s">
        <v>38</v>
      </c>
      <c r="C113" s="132"/>
      <c r="D113" s="132"/>
      <c r="E113" s="132"/>
      <c r="F113" s="132"/>
      <c r="G113" s="132"/>
      <c r="H113" s="132"/>
      <c r="I113" s="133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45">
      <c r="A114" s="2" t="s">
        <v>1</v>
      </c>
      <c r="B114" s="3" t="s">
        <v>2</v>
      </c>
      <c r="C114" s="4" t="s">
        <v>3</v>
      </c>
      <c r="D114" s="5" t="s">
        <v>4</v>
      </c>
      <c r="E114" s="2" t="s">
        <v>5</v>
      </c>
      <c r="F114" s="2" t="s">
        <v>6</v>
      </c>
      <c r="G114" s="2" t="s">
        <v>7</v>
      </c>
      <c r="H114" s="6" t="s">
        <v>8</v>
      </c>
      <c r="I114" s="7" t="s">
        <v>9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2.75">
      <c r="A115" s="8" t="s">
        <v>10</v>
      </c>
      <c r="B115" s="9">
        <f t="shared" ref="B115:B137" si="19">H87</f>
        <v>34</v>
      </c>
      <c r="C115" s="8"/>
      <c r="D115" s="8"/>
      <c r="E115" s="8"/>
      <c r="F115" s="8"/>
      <c r="G115" s="9">
        <f t="shared" ref="G115:G137" si="20">E115-F115</f>
        <v>0</v>
      </c>
      <c r="H115" s="9">
        <f t="shared" ref="H115:H137" si="21">B115-C115+D115-G115</f>
        <v>34</v>
      </c>
      <c r="I115" s="10">
        <f t="shared" ref="I115:I137" si="22">G115*6</f>
        <v>0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2.75">
      <c r="A116" s="8" t="s">
        <v>11</v>
      </c>
      <c r="B116" s="9">
        <f t="shared" si="19"/>
        <v>28</v>
      </c>
      <c r="C116" s="8"/>
      <c r="D116" s="8"/>
      <c r="E116" s="8"/>
      <c r="F116" s="8"/>
      <c r="G116" s="9">
        <f t="shared" si="20"/>
        <v>0</v>
      </c>
      <c r="H116" s="9">
        <f t="shared" si="21"/>
        <v>28</v>
      </c>
      <c r="I116" s="10">
        <f t="shared" si="22"/>
        <v>0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2.75">
      <c r="A117" s="8" t="s">
        <v>12</v>
      </c>
      <c r="B117" s="9">
        <f t="shared" si="19"/>
        <v>14</v>
      </c>
      <c r="C117" s="8"/>
      <c r="D117" s="8"/>
      <c r="E117" s="8"/>
      <c r="F117" s="8"/>
      <c r="G117" s="9">
        <f t="shared" si="20"/>
        <v>0</v>
      </c>
      <c r="H117" s="9">
        <f t="shared" si="21"/>
        <v>14</v>
      </c>
      <c r="I117" s="10">
        <f t="shared" si="22"/>
        <v>0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2.75">
      <c r="A118" s="8" t="s">
        <v>13</v>
      </c>
      <c r="B118" s="9">
        <f t="shared" si="19"/>
        <v>28</v>
      </c>
      <c r="C118" s="8"/>
      <c r="D118" s="8"/>
      <c r="E118" s="8"/>
      <c r="F118" s="8"/>
      <c r="G118" s="9">
        <f t="shared" si="20"/>
        <v>0</v>
      </c>
      <c r="H118" s="9">
        <f t="shared" si="21"/>
        <v>28</v>
      </c>
      <c r="I118" s="10">
        <f t="shared" si="22"/>
        <v>0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2.75">
      <c r="A119" s="8" t="s">
        <v>14</v>
      </c>
      <c r="B119" s="9">
        <f t="shared" si="19"/>
        <v>20</v>
      </c>
      <c r="C119" s="8"/>
      <c r="D119" s="8"/>
      <c r="E119" s="8"/>
      <c r="F119" s="8"/>
      <c r="G119" s="9">
        <f t="shared" si="20"/>
        <v>0</v>
      </c>
      <c r="H119" s="9">
        <f t="shared" si="21"/>
        <v>20</v>
      </c>
      <c r="I119" s="10">
        <f t="shared" si="22"/>
        <v>0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2.75">
      <c r="A120" s="8" t="s">
        <v>15</v>
      </c>
      <c r="B120" s="9">
        <f t="shared" si="19"/>
        <v>27</v>
      </c>
      <c r="C120" s="8"/>
      <c r="D120" s="8"/>
      <c r="E120" s="8"/>
      <c r="F120" s="8"/>
      <c r="G120" s="9">
        <f t="shared" si="20"/>
        <v>0</v>
      </c>
      <c r="H120" s="9">
        <f t="shared" si="21"/>
        <v>27</v>
      </c>
      <c r="I120" s="10">
        <f t="shared" si="22"/>
        <v>0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2.75">
      <c r="A121" s="8" t="s">
        <v>16</v>
      </c>
      <c r="B121" s="9">
        <f t="shared" si="19"/>
        <v>43</v>
      </c>
      <c r="C121" s="8"/>
      <c r="D121" s="8"/>
      <c r="E121" s="8"/>
      <c r="F121" s="8"/>
      <c r="G121" s="9">
        <f t="shared" si="20"/>
        <v>0</v>
      </c>
      <c r="H121" s="9">
        <f t="shared" si="21"/>
        <v>43</v>
      </c>
      <c r="I121" s="10">
        <f t="shared" si="22"/>
        <v>0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2.75">
      <c r="A122" s="8" t="s">
        <v>17</v>
      </c>
      <c r="B122" s="9">
        <f t="shared" si="19"/>
        <v>12</v>
      </c>
      <c r="C122" s="8"/>
      <c r="D122" s="8"/>
      <c r="E122" s="8"/>
      <c r="F122" s="8"/>
      <c r="G122" s="9">
        <f t="shared" si="20"/>
        <v>0</v>
      </c>
      <c r="H122" s="9">
        <f t="shared" si="21"/>
        <v>12</v>
      </c>
      <c r="I122" s="10">
        <f t="shared" si="22"/>
        <v>0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2.75">
      <c r="A123" s="8" t="s">
        <v>18</v>
      </c>
      <c r="B123" s="9">
        <f t="shared" si="19"/>
        <v>17</v>
      </c>
      <c r="C123" s="8"/>
      <c r="D123" s="8"/>
      <c r="E123" s="8"/>
      <c r="F123" s="8"/>
      <c r="G123" s="9">
        <f t="shared" si="20"/>
        <v>0</v>
      </c>
      <c r="H123" s="9">
        <f t="shared" si="21"/>
        <v>17</v>
      </c>
      <c r="I123" s="10">
        <f t="shared" si="22"/>
        <v>0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2.75">
      <c r="A124" s="8" t="s">
        <v>19</v>
      </c>
      <c r="B124" s="9">
        <f t="shared" si="19"/>
        <v>20</v>
      </c>
      <c r="C124" s="8"/>
      <c r="D124" s="8"/>
      <c r="E124" s="8"/>
      <c r="F124" s="8"/>
      <c r="G124" s="9">
        <f t="shared" si="20"/>
        <v>0</v>
      </c>
      <c r="H124" s="9">
        <f t="shared" si="21"/>
        <v>20</v>
      </c>
      <c r="I124" s="10">
        <f t="shared" si="22"/>
        <v>0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2.75">
      <c r="A125" s="8" t="s">
        <v>20</v>
      </c>
      <c r="B125" s="9">
        <f t="shared" si="19"/>
        <v>33</v>
      </c>
      <c r="C125" s="8"/>
      <c r="D125" s="8"/>
      <c r="E125" s="8"/>
      <c r="F125" s="8"/>
      <c r="G125" s="9">
        <f t="shared" si="20"/>
        <v>0</v>
      </c>
      <c r="H125" s="9">
        <f t="shared" si="21"/>
        <v>33</v>
      </c>
      <c r="I125" s="10">
        <f t="shared" si="22"/>
        <v>0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2.75">
      <c r="A126" s="8" t="s">
        <v>21</v>
      </c>
      <c r="B126" s="9">
        <f t="shared" si="19"/>
        <v>6</v>
      </c>
      <c r="C126" s="8"/>
      <c r="D126" s="8"/>
      <c r="E126" s="8"/>
      <c r="F126" s="8"/>
      <c r="G126" s="9">
        <f t="shared" si="20"/>
        <v>0</v>
      </c>
      <c r="H126" s="9">
        <f t="shared" si="21"/>
        <v>6</v>
      </c>
      <c r="I126" s="10">
        <f t="shared" si="22"/>
        <v>0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2.75">
      <c r="A127" s="8" t="s">
        <v>22</v>
      </c>
      <c r="B127" s="9">
        <f t="shared" si="19"/>
        <v>31</v>
      </c>
      <c r="C127" s="8"/>
      <c r="D127" s="8"/>
      <c r="E127" s="8"/>
      <c r="F127" s="8"/>
      <c r="G127" s="9">
        <f t="shared" si="20"/>
        <v>0</v>
      </c>
      <c r="H127" s="9">
        <f t="shared" si="21"/>
        <v>31</v>
      </c>
      <c r="I127" s="10">
        <f t="shared" si="22"/>
        <v>0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2.75">
      <c r="A128" s="8" t="s">
        <v>23</v>
      </c>
      <c r="B128" s="9">
        <f t="shared" si="19"/>
        <v>30</v>
      </c>
      <c r="C128" s="8"/>
      <c r="D128" s="8"/>
      <c r="E128" s="8"/>
      <c r="F128" s="8"/>
      <c r="G128" s="9">
        <f t="shared" si="20"/>
        <v>0</v>
      </c>
      <c r="H128" s="9">
        <f t="shared" si="21"/>
        <v>30</v>
      </c>
      <c r="I128" s="10">
        <f t="shared" si="22"/>
        <v>0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2.75">
      <c r="A129" s="8" t="s">
        <v>24</v>
      </c>
      <c r="B129" s="9">
        <f t="shared" si="19"/>
        <v>24</v>
      </c>
      <c r="C129" s="8"/>
      <c r="D129" s="8"/>
      <c r="E129" s="8"/>
      <c r="F129" s="8"/>
      <c r="G129" s="9">
        <f t="shared" si="20"/>
        <v>0</v>
      </c>
      <c r="H129" s="9">
        <f t="shared" si="21"/>
        <v>24</v>
      </c>
      <c r="I129" s="10">
        <f t="shared" si="22"/>
        <v>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2.75">
      <c r="A130" s="8" t="s">
        <v>25</v>
      </c>
      <c r="B130" s="9">
        <f t="shared" si="19"/>
        <v>17</v>
      </c>
      <c r="C130" s="8"/>
      <c r="D130" s="8"/>
      <c r="E130" s="8"/>
      <c r="F130" s="8"/>
      <c r="G130" s="9">
        <f t="shared" si="20"/>
        <v>0</v>
      </c>
      <c r="H130" s="9">
        <f t="shared" si="21"/>
        <v>17</v>
      </c>
      <c r="I130" s="10">
        <f t="shared" si="22"/>
        <v>0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2.75">
      <c r="A131" s="8" t="s">
        <v>26</v>
      </c>
      <c r="B131" s="9">
        <f t="shared" si="19"/>
        <v>14</v>
      </c>
      <c r="C131" s="8"/>
      <c r="D131" s="8"/>
      <c r="E131" s="8"/>
      <c r="F131" s="8"/>
      <c r="G131" s="9">
        <f t="shared" si="20"/>
        <v>0</v>
      </c>
      <c r="H131" s="9">
        <f t="shared" si="21"/>
        <v>14</v>
      </c>
      <c r="I131" s="10">
        <f t="shared" si="22"/>
        <v>0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2.75">
      <c r="A132" s="8" t="s">
        <v>27</v>
      </c>
      <c r="B132" s="9">
        <f t="shared" si="19"/>
        <v>16</v>
      </c>
      <c r="C132" s="8"/>
      <c r="D132" s="8"/>
      <c r="E132" s="8"/>
      <c r="F132" s="8"/>
      <c r="G132" s="9">
        <f t="shared" si="20"/>
        <v>0</v>
      </c>
      <c r="H132" s="9">
        <f t="shared" si="21"/>
        <v>16</v>
      </c>
      <c r="I132" s="10">
        <f t="shared" si="22"/>
        <v>0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2.75">
      <c r="A133" s="8" t="s">
        <v>28</v>
      </c>
      <c r="B133" s="9">
        <f t="shared" si="19"/>
        <v>17</v>
      </c>
      <c r="C133" s="8"/>
      <c r="D133" s="8"/>
      <c r="E133" s="8"/>
      <c r="F133" s="8"/>
      <c r="G133" s="9">
        <f t="shared" si="20"/>
        <v>0</v>
      </c>
      <c r="H133" s="9">
        <f t="shared" si="21"/>
        <v>17</v>
      </c>
      <c r="I133" s="10">
        <f t="shared" si="22"/>
        <v>0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2.75">
      <c r="A134" s="8" t="s">
        <v>29</v>
      </c>
      <c r="B134" s="9">
        <f t="shared" si="19"/>
        <v>129</v>
      </c>
      <c r="C134" s="8"/>
      <c r="D134" s="8"/>
      <c r="E134" s="8"/>
      <c r="F134" s="8"/>
      <c r="G134" s="9">
        <f t="shared" si="20"/>
        <v>0</v>
      </c>
      <c r="H134" s="9">
        <f t="shared" si="21"/>
        <v>129</v>
      </c>
      <c r="I134" s="10">
        <f t="shared" si="22"/>
        <v>0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2.75">
      <c r="A135" s="8" t="s">
        <v>30</v>
      </c>
      <c r="B135" s="9">
        <f t="shared" si="19"/>
        <v>5</v>
      </c>
      <c r="C135" s="8"/>
      <c r="D135" s="8"/>
      <c r="E135" s="8"/>
      <c r="F135" s="8"/>
      <c r="G135" s="9">
        <f t="shared" si="20"/>
        <v>0</v>
      </c>
      <c r="H135" s="9">
        <f t="shared" si="21"/>
        <v>5</v>
      </c>
      <c r="I135" s="10">
        <f t="shared" si="22"/>
        <v>0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2.75">
      <c r="A136" s="13" t="s">
        <v>31</v>
      </c>
      <c r="B136" s="9">
        <f t="shared" si="19"/>
        <v>10</v>
      </c>
      <c r="C136" s="8"/>
      <c r="D136" s="8"/>
      <c r="E136" s="8"/>
      <c r="F136" s="8"/>
      <c r="G136" s="9">
        <f t="shared" si="20"/>
        <v>0</v>
      </c>
      <c r="H136" s="9">
        <f t="shared" si="21"/>
        <v>10</v>
      </c>
      <c r="I136" s="10">
        <f t="shared" si="22"/>
        <v>0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2.75">
      <c r="A137" s="13" t="s">
        <v>32</v>
      </c>
      <c r="B137" s="9">
        <f t="shared" si="19"/>
        <v>16</v>
      </c>
      <c r="C137" s="8"/>
      <c r="D137" s="8"/>
      <c r="E137" s="8"/>
      <c r="F137" s="8"/>
      <c r="G137" s="9">
        <f t="shared" si="20"/>
        <v>0</v>
      </c>
      <c r="H137" s="9">
        <f t="shared" si="21"/>
        <v>16</v>
      </c>
      <c r="I137" s="10">
        <f t="shared" si="22"/>
        <v>0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2.75">
      <c r="A138" s="14" t="s">
        <v>33</v>
      </c>
      <c r="B138" s="15">
        <f t="shared" ref="B138:I138" si="23">SUM(B115:B137)</f>
        <v>591</v>
      </c>
      <c r="C138" s="15">
        <f t="shared" si="23"/>
        <v>0</v>
      </c>
      <c r="D138" s="15">
        <f t="shared" si="23"/>
        <v>0</v>
      </c>
      <c r="E138" s="15">
        <f t="shared" si="23"/>
        <v>0</v>
      </c>
      <c r="F138" s="15">
        <f t="shared" si="23"/>
        <v>0</v>
      </c>
      <c r="G138" s="15">
        <f t="shared" si="23"/>
        <v>0</v>
      </c>
      <c r="H138" s="15">
        <f t="shared" si="23"/>
        <v>591</v>
      </c>
      <c r="I138" s="16">
        <f t="shared" si="23"/>
        <v>0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2.75">
      <c r="A139" s="17"/>
      <c r="B139" s="17"/>
      <c r="C139" s="17"/>
      <c r="D139" s="17"/>
      <c r="E139" s="17"/>
      <c r="F139" s="134" t="s">
        <v>34</v>
      </c>
      <c r="G139" s="133"/>
      <c r="H139" s="18"/>
      <c r="I139" s="19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1" spans="1:25">
      <c r="A141" s="1"/>
      <c r="B141" s="131" t="s">
        <v>39</v>
      </c>
      <c r="C141" s="132"/>
      <c r="D141" s="132"/>
      <c r="E141" s="132"/>
      <c r="F141" s="132"/>
      <c r="G141" s="132"/>
      <c r="H141" s="132"/>
      <c r="I141" s="133"/>
    </row>
    <row r="142" spans="1:25" ht="45">
      <c r="A142" s="2" t="s">
        <v>1</v>
      </c>
      <c r="B142" s="3" t="s">
        <v>2</v>
      </c>
      <c r="C142" s="4" t="s">
        <v>3</v>
      </c>
      <c r="D142" s="5" t="s">
        <v>4</v>
      </c>
      <c r="E142" s="2" t="s">
        <v>5</v>
      </c>
      <c r="F142" s="2" t="s">
        <v>6</v>
      </c>
      <c r="G142" s="2" t="s">
        <v>7</v>
      </c>
      <c r="H142" s="6" t="s">
        <v>8</v>
      </c>
      <c r="I142" s="7" t="s">
        <v>9</v>
      </c>
    </row>
    <row r="143" spans="1:25" ht="12.75">
      <c r="A143" s="8" t="s">
        <v>10</v>
      </c>
      <c r="B143" s="9">
        <f t="shared" ref="B143:B165" si="24">H115</f>
        <v>34</v>
      </c>
      <c r="C143" s="8"/>
      <c r="D143" s="8"/>
      <c r="E143" s="8"/>
      <c r="F143" s="8"/>
      <c r="G143" s="9">
        <f t="shared" ref="G143:G165" si="25">E143-F143</f>
        <v>0</v>
      </c>
      <c r="H143" s="9">
        <f t="shared" ref="H143:H165" si="26">B143-C143+D143-G143</f>
        <v>34</v>
      </c>
      <c r="I143" s="10">
        <f t="shared" ref="I143:I165" si="27">G143*6</f>
        <v>0</v>
      </c>
    </row>
    <row r="144" spans="1:25" ht="12.75">
      <c r="A144" s="8" t="s">
        <v>11</v>
      </c>
      <c r="B144" s="9">
        <f t="shared" si="24"/>
        <v>28</v>
      </c>
      <c r="C144" s="8"/>
      <c r="D144" s="8"/>
      <c r="E144" s="8"/>
      <c r="F144" s="8"/>
      <c r="G144" s="9">
        <f t="shared" si="25"/>
        <v>0</v>
      </c>
      <c r="H144" s="9">
        <f t="shared" si="26"/>
        <v>28</v>
      </c>
      <c r="I144" s="10">
        <f t="shared" si="27"/>
        <v>0</v>
      </c>
    </row>
    <row r="145" spans="1:9" ht="12.75">
      <c r="A145" s="8" t="s">
        <v>12</v>
      </c>
      <c r="B145" s="9">
        <f t="shared" si="24"/>
        <v>14</v>
      </c>
      <c r="C145" s="8"/>
      <c r="D145" s="8"/>
      <c r="E145" s="8"/>
      <c r="F145" s="8"/>
      <c r="G145" s="9">
        <f t="shared" si="25"/>
        <v>0</v>
      </c>
      <c r="H145" s="9">
        <f t="shared" si="26"/>
        <v>14</v>
      </c>
      <c r="I145" s="10">
        <f t="shared" si="27"/>
        <v>0</v>
      </c>
    </row>
    <row r="146" spans="1:9" ht="12.75">
      <c r="A146" s="8" t="s">
        <v>13</v>
      </c>
      <c r="B146" s="9">
        <f t="shared" si="24"/>
        <v>28</v>
      </c>
      <c r="C146" s="8"/>
      <c r="D146" s="8"/>
      <c r="E146" s="8"/>
      <c r="F146" s="8"/>
      <c r="G146" s="9">
        <f t="shared" si="25"/>
        <v>0</v>
      </c>
      <c r="H146" s="9">
        <f t="shared" si="26"/>
        <v>28</v>
      </c>
      <c r="I146" s="10">
        <f t="shared" si="27"/>
        <v>0</v>
      </c>
    </row>
    <row r="147" spans="1:9" ht="12.75">
      <c r="A147" s="8" t="s">
        <v>14</v>
      </c>
      <c r="B147" s="9">
        <f t="shared" si="24"/>
        <v>20</v>
      </c>
      <c r="C147" s="8"/>
      <c r="D147" s="8"/>
      <c r="E147" s="8"/>
      <c r="F147" s="8"/>
      <c r="G147" s="9">
        <f t="shared" si="25"/>
        <v>0</v>
      </c>
      <c r="H147" s="9">
        <f t="shared" si="26"/>
        <v>20</v>
      </c>
      <c r="I147" s="10">
        <f t="shared" si="27"/>
        <v>0</v>
      </c>
    </row>
    <row r="148" spans="1:9" ht="12.75">
      <c r="A148" s="8" t="s">
        <v>15</v>
      </c>
      <c r="B148" s="9">
        <f t="shared" si="24"/>
        <v>27</v>
      </c>
      <c r="C148" s="8"/>
      <c r="D148" s="8"/>
      <c r="E148" s="8"/>
      <c r="F148" s="8"/>
      <c r="G148" s="9">
        <f t="shared" si="25"/>
        <v>0</v>
      </c>
      <c r="H148" s="9">
        <f t="shared" si="26"/>
        <v>27</v>
      </c>
      <c r="I148" s="10">
        <f t="shared" si="27"/>
        <v>0</v>
      </c>
    </row>
    <row r="149" spans="1:9" ht="12.75">
      <c r="A149" s="8" t="s">
        <v>16</v>
      </c>
      <c r="B149" s="9">
        <f t="shared" si="24"/>
        <v>43</v>
      </c>
      <c r="C149" s="8"/>
      <c r="D149" s="8"/>
      <c r="E149" s="8"/>
      <c r="F149" s="8"/>
      <c r="G149" s="9">
        <f t="shared" si="25"/>
        <v>0</v>
      </c>
      <c r="H149" s="9">
        <f t="shared" si="26"/>
        <v>43</v>
      </c>
      <c r="I149" s="10">
        <f t="shared" si="27"/>
        <v>0</v>
      </c>
    </row>
    <row r="150" spans="1:9" ht="12.75">
      <c r="A150" s="8" t="s">
        <v>17</v>
      </c>
      <c r="B150" s="9">
        <f t="shared" si="24"/>
        <v>12</v>
      </c>
      <c r="C150" s="8"/>
      <c r="D150" s="8"/>
      <c r="E150" s="8"/>
      <c r="F150" s="8"/>
      <c r="G150" s="9">
        <f t="shared" si="25"/>
        <v>0</v>
      </c>
      <c r="H150" s="9">
        <f t="shared" si="26"/>
        <v>12</v>
      </c>
      <c r="I150" s="10">
        <f t="shared" si="27"/>
        <v>0</v>
      </c>
    </row>
    <row r="151" spans="1:9" ht="12.75">
      <c r="A151" s="8" t="s">
        <v>18</v>
      </c>
      <c r="B151" s="9">
        <f t="shared" si="24"/>
        <v>17</v>
      </c>
      <c r="C151" s="8"/>
      <c r="D151" s="8"/>
      <c r="E151" s="8"/>
      <c r="F151" s="8"/>
      <c r="G151" s="9">
        <f t="shared" si="25"/>
        <v>0</v>
      </c>
      <c r="H151" s="9">
        <f t="shared" si="26"/>
        <v>17</v>
      </c>
      <c r="I151" s="10">
        <f t="shared" si="27"/>
        <v>0</v>
      </c>
    </row>
    <row r="152" spans="1:9" ht="12.75">
      <c r="A152" s="8" t="s">
        <v>19</v>
      </c>
      <c r="B152" s="9">
        <f t="shared" si="24"/>
        <v>20</v>
      </c>
      <c r="C152" s="8"/>
      <c r="D152" s="8"/>
      <c r="E152" s="8"/>
      <c r="F152" s="8"/>
      <c r="G152" s="9">
        <f t="shared" si="25"/>
        <v>0</v>
      </c>
      <c r="H152" s="9">
        <f t="shared" si="26"/>
        <v>20</v>
      </c>
      <c r="I152" s="10">
        <f t="shared" si="27"/>
        <v>0</v>
      </c>
    </row>
    <row r="153" spans="1:9" ht="12.75">
      <c r="A153" s="8" t="s">
        <v>20</v>
      </c>
      <c r="B153" s="9">
        <f t="shared" si="24"/>
        <v>33</v>
      </c>
      <c r="C153" s="8"/>
      <c r="D153" s="8"/>
      <c r="E153" s="8"/>
      <c r="F153" s="8"/>
      <c r="G153" s="9">
        <f t="shared" si="25"/>
        <v>0</v>
      </c>
      <c r="H153" s="9">
        <f t="shared" si="26"/>
        <v>33</v>
      </c>
      <c r="I153" s="10">
        <f t="shared" si="27"/>
        <v>0</v>
      </c>
    </row>
    <row r="154" spans="1:9" ht="12.75">
      <c r="A154" s="8" t="s">
        <v>21</v>
      </c>
      <c r="B154" s="9">
        <f t="shared" si="24"/>
        <v>6</v>
      </c>
      <c r="C154" s="8"/>
      <c r="D154" s="8"/>
      <c r="E154" s="8"/>
      <c r="F154" s="8"/>
      <c r="G154" s="9">
        <f t="shared" si="25"/>
        <v>0</v>
      </c>
      <c r="H154" s="9">
        <f t="shared" si="26"/>
        <v>6</v>
      </c>
      <c r="I154" s="10">
        <f t="shared" si="27"/>
        <v>0</v>
      </c>
    </row>
    <row r="155" spans="1:9" ht="12.75">
      <c r="A155" s="8" t="s">
        <v>22</v>
      </c>
      <c r="B155" s="9">
        <f t="shared" si="24"/>
        <v>31</v>
      </c>
      <c r="C155" s="8"/>
      <c r="D155" s="8"/>
      <c r="E155" s="8"/>
      <c r="F155" s="8"/>
      <c r="G155" s="9">
        <f t="shared" si="25"/>
        <v>0</v>
      </c>
      <c r="H155" s="9">
        <f t="shared" si="26"/>
        <v>31</v>
      </c>
      <c r="I155" s="10">
        <f t="shared" si="27"/>
        <v>0</v>
      </c>
    </row>
    <row r="156" spans="1:9" ht="12.75">
      <c r="A156" s="8" t="s">
        <v>23</v>
      </c>
      <c r="B156" s="9">
        <f t="shared" si="24"/>
        <v>30</v>
      </c>
      <c r="C156" s="8"/>
      <c r="D156" s="8"/>
      <c r="E156" s="8"/>
      <c r="F156" s="8"/>
      <c r="G156" s="9">
        <f t="shared" si="25"/>
        <v>0</v>
      </c>
      <c r="H156" s="9">
        <f t="shared" si="26"/>
        <v>30</v>
      </c>
      <c r="I156" s="10">
        <f t="shared" si="27"/>
        <v>0</v>
      </c>
    </row>
    <row r="157" spans="1:9" ht="12.75">
      <c r="A157" s="8" t="s">
        <v>24</v>
      </c>
      <c r="B157" s="9">
        <f t="shared" si="24"/>
        <v>24</v>
      </c>
      <c r="C157" s="8"/>
      <c r="D157" s="8"/>
      <c r="E157" s="8"/>
      <c r="F157" s="8"/>
      <c r="G157" s="9">
        <f t="shared" si="25"/>
        <v>0</v>
      </c>
      <c r="H157" s="9">
        <f t="shared" si="26"/>
        <v>24</v>
      </c>
      <c r="I157" s="10">
        <f t="shared" si="27"/>
        <v>0</v>
      </c>
    </row>
    <row r="158" spans="1:9" ht="12.75">
      <c r="A158" s="8" t="s">
        <v>25</v>
      </c>
      <c r="B158" s="9">
        <f t="shared" si="24"/>
        <v>17</v>
      </c>
      <c r="C158" s="8"/>
      <c r="D158" s="8"/>
      <c r="E158" s="8"/>
      <c r="F158" s="8"/>
      <c r="G158" s="9">
        <f t="shared" si="25"/>
        <v>0</v>
      </c>
      <c r="H158" s="9">
        <f t="shared" si="26"/>
        <v>17</v>
      </c>
      <c r="I158" s="10">
        <f t="shared" si="27"/>
        <v>0</v>
      </c>
    </row>
    <row r="159" spans="1:9" ht="12.75">
      <c r="A159" s="8" t="s">
        <v>26</v>
      </c>
      <c r="B159" s="9">
        <f t="shared" si="24"/>
        <v>14</v>
      </c>
      <c r="C159" s="8"/>
      <c r="D159" s="8"/>
      <c r="E159" s="8"/>
      <c r="F159" s="8"/>
      <c r="G159" s="9">
        <f t="shared" si="25"/>
        <v>0</v>
      </c>
      <c r="H159" s="9">
        <f t="shared" si="26"/>
        <v>14</v>
      </c>
      <c r="I159" s="10">
        <f t="shared" si="27"/>
        <v>0</v>
      </c>
    </row>
    <row r="160" spans="1:9" ht="12.75">
      <c r="A160" s="8" t="s">
        <v>27</v>
      </c>
      <c r="B160" s="9">
        <f t="shared" si="24"/>
        <v>16</v>
      </c>
      <c r="C160" s="8"/>
      <c r="D160" s="8"/>
      <c r="E160" s="8"/>
      <c r="F160" s="8"/>
      <c r="G160" s="9">
        <f t="shared" si="25"/>
        <v>0</v>
      </c>
      <c r="H160" s="9">
        <f t="shared" si="26"/>
        <v>16</v>
      </c>
      <c r="I160" s="10">
        <f t="shared" si="27"/>
        <v>0</v>
      </c>
    </row>
    <row r="161" spans="1:9" ht="12.75">
      <c r="A161" s="8" t="s">
        <v>28</v>
      </c>
      <c r="B161" s="9">
        <f t="shared" si="24"/>
        <v>17</v>
      </c>
      <c r="C161" s="8"/>
      <c r="D161" s="8"/>
      <c r="E161" s="8"/>
      <c r="F161" s="8"/>
      <c r="G161" s="9">
        <f t="shared" si="25"/>
        <v>0</v>
      </c>
      <c r="H161" s="9">
        <f t="shared" si="26"/>
        <v>17</v>
      </c>
      <c r="I161" s="10">
        <f t="shared" si="27"/>
        <v>0</v>
      </c>
    </row>
    <row r="162" spans="1:9" ht="12.75">
      <c r="A162" s="8" t="s">
        <v>29</v>
      </c>
      <c r="B162" s="9">
        <f t="shared" si="24"/>
        <v>129</v>
      </c>
      <c r="C162" s="8"/>
      <c r="D162" s="8"/>
      <c r="E162" s="8"/>
      <c r="F162" s="8"/>
      <c r="G162" s="9">
        <f t="shared" si="25"/>
        <v>0</v>
      </c>
      <c r="H162" s="9">
        <f t="shared" si="26"/>
        <v>129</v>
      </c>
      <c r="I162" s="10">
        <f t="shared" si="27"/>
        <v>0</v>
      </c>
    </row>
    <row r="163" spans="1:9" ht="12.75">
      <c r="A163" s="8" t="s">
        <v>30</v>
      </c>
      <c r="B163" s="9">
        <f t="shared" si="24"/>
        <v>5</v>
      </c>
      <c r="C163" s="8"/>
      <c r="D163" s="8"/>
      <c r="E163" s="8"/>
      <c r="F163" s="8"/>
      <c r="G163" s="9">
        <f t="shared" si="25"/>
        <v>0</v>
      </c>
      <c r="H163" s="9">
        <f t="shared" si="26"/>
        <v>5</v>
      </c>
      <c r="I163" s="10">
        <f t="shared" si="27"/>
        <v>0</v>
      </c>
    </row>
    <row r="164" spans="1:9" ht="12.75">
      <c r="A164" s="13" t="s">
        <v>31</v>
      </c>
      <c r="B164" s="9">
        <f t="shared" si="24"/>
        <v>10</v>
      </c>
      <c r="C164" s="8"/>
      <c r="D164" s="8"/>
      <c r="E164" s="8"/>
      <c r="F164" s="8"/>
      <c r="G164" s="9">
        <f t="shared" si="25"/>
        <v>0</v>
      </c>
      <c r="H164" s="9">
        <f t="shared" si="26"/>
        <v>10</v>
      </c>
      <c r="I164" s="10">
        <f t="shared" si="27"/>
        <v>0</v>
      </c>
    </row>
    <row r="165" spans="1:9" ht="12.75">
      <c r="A165" s="13" t="s">
        <v>32</v>
      </c>
      <c r="B165" s="9">
        <f t="shared" si="24"/>
        <v>16</v>
      </c>
      <c r="C165" s="8"/>
      <c r="D165" s="8"/>
      <c r="E165" s="8"/>
      <c r="F165" s="8"/>
      <c r="G165" s="9">
        <f t="shared" si="25"/>
        <v>0</v>
      </c>
      <c r="H165" s="9">
        <f t="shared" si="26"/>
        <v>16</v>
      </c>
      <c r="I165" s="10">
        <f t="shared" si="27"/>
        <v>0</v>
      </c>
    </row>
    <row r="166" spans="1:9" ht="12.75">
      <c r="A166" s="14" t="s">
        <v>33</v>
      </c>
      <c r="B166" s="15">
        <f t="shared" ref="B166:I166" si="28">SUM(B143:B165)</f>
        <v>591</v>
      </c>
      <c r="C166" s="15">
        <f t="shared" si="28"/>
        <v>0</v>
      </c>
      <c r="D166" s="15">
        <f t="shared" si="28"/>
        <v>0</v>
      </c>
      <c r="E166" s="15">
        <f t="shared" si="28"/>
        <v>0</v>
      </c>
      <c r="F166" s="15">
        <f t="shared" si="28"/>
        <v>0</v>
      </c>
      <c r="G166" s="15">
        <f t="shared" si="28"/>
        <v>0</v>
      </c>
      <c r="H166" s="15">
        <f t="shared" si="28"/>
        <v>591</v>
      </c>
      <c r="I166" s="16">
        <f t="shared" si="28"/>
        <v>0</v>
      </c>
    </row>
    <row r="167" spans="1:9" ht="12.75">
      <c r="A167" s="17"/>
      <c r="B167" s="17"/>
      <c r="C167" s="17"/>
      <c r="D167" s="17"/>
      <c r="E167" s="17"/>
      <c r="F167" s="134" t="s">
        <v>34</v>
      </c>
      <c r="G167" s="133"/>
      <c r="H167" s="18"/>
      <c r="I167" s="19"/>
    </row>
    <row r="169" spans="1:9">
      <c r="A169" s="1"/>
      <c r="B169" s="131" t="s">
        <v>40</v>
      </c>
      <c r="C169" s="132"/>
      <c r="D169" s="132"/>
      <c r="E169" s="132"/>
      <c r="F169" s="132"/>
      <c r="G169" s="132"/>
      <c r="H169" s="132"/>
      <c r="I169" s="133"/>
    </row>
    <row r="170" spans="1:9" ht="45">
      <c r="A170" s="2" t="s">
        <v>1</v>
      </c>
      <c r="B170" s="3" t="s">
        <v>2</v>
      </c>
      <c r="C170" s="4" t="s">
        <v>3</v>
      </c>
      <c r="D170" s="5" t="s">
        <v>4</v>
      </c>
      <c r="E170" s="2" t="s">
        <v>5</v>
      </c>
      <c r="F170" s="2" t="s">
        <v>6</v>
      </c>
      <c r="G170" s="2" t="s">
        <v>7</v>
      </c>
      <c r="H170" s="6" t="s">
        <v>8</v>
      </c>
      <c r="I170" s="7" t="s">
        <v>9</v>
      </c>
    </row>
    <row r="171" spans="1:9" ht="12.75">
      <c r="A171" s="8" t="s">
        <v>10</v>
      </c>
      <c r="B171" s="9">
        <f t="shared" ref="B171:B193" si="29">H143</f>
        <v>34</v>
      </c>
      <c r="C171" s="8"/>
      <c r="D171" s="8"/>
      <c r="E171" s="8"/>
      <c r="F171" s="8"/>
      <c r="G171" s="9">
        <f t="shared" ref="G171:G193" si="30">E171-F171</f>
        <v>0</v>
      </c>
      <c r="H171" s="9">
        <f t="shared" ref="H171:H193" si="31">B171-C171+D171-G171</f>
        <v>34</v>
      </c>
      <c r="I171" s="10">
        <f t="shared" ref="I171:I193" si="32">G171*6</f>
        <v>0</v>
      </c>
    </row>
    <row r="172" spans="1:9" ht="12.75">
      <c r="A172" s="8" t="s">
        <v>11</v>
      </c>
      <c r="B172" s="9">
        <f t="shared" si="29"/>
        <v>28</v>
      </c>
      <c r="C172" s="8"/>
      <c r="D172" s="8"/>
      <c r="E172" s="8"/>
      <c r="F172" s="8"/>
      <c r="G172" s="9">
        <f t="shared" si="30"/>
        <v>0</v>
      </c>
      <c r="H172" s="9">
        <f t="shared" si="31"/>
        <v>28</v>
      </c>
      <c r="I172" s="10">
        <f t="shared" si="32"/>
        <v>0</v>
      </c>
    </row>
    <row r="173" spans="1:9" ht="12.75">
      <c r="A173" s="8" t="s">
        <v>12</v>
      </c>
      <c r="B173" s="9">
        <f t="shared" si="29"/>
        <v>14</v>
      </c>
      <c r="C173" s="8"/>
      <c r="D173" s="8"/>
      <c r="E173" s="8"/>
      <c r="F173" s="8"/>
      <c r="G173" s="9">
        <f t="shared" si="30"/>
        <v>0</v>
      </c>
      <c r="H173" s="9">
        <f t="shared" si="31"/>
        <v>14</v>
      </c>
      <c r="I173" s="10">
        <f t="shared" si="32"/>
        <v>0</v>
      </c>
    </row>
    <row r="174" spans="1:9" ht="12.75">
      <c r="A174" s="8" t="s">
        <v>13</v>
      </c>
      <c r="B174" s="9">
        <f t="shared" si="29"/>
        <v>28</v>
      </c>
      <c r="C174" s="8"/>
      <c r="D174" s="8"/>
      <c r="E174" s="8"/>
      <c r="F174" s="8"/>
      <c r="G174" s="9">
        <f t="shared" si="30"/>
        <v>0</v>
      </c>
      <c r="H174" s="9">
        <f t="shared" si="31"/>
        <v>28</v>
      </c>
      <c r="I174" s="10">
        <f t="shared" si="32"/>
        <v>0</v>
      </c>
    </row>
    <row r="175" spans="1:9" ht="12.75">
      <c r="A175" s="8" t="s">
        <v>14</v>
      </c>
      <c r="B175" s="9">
        <f t="shared" si="29"/>
        <v>20</v>
      </c>
      <c r="C175" s="8"/>
      <c r="D175" s="8"/>
      <c r="E175" s="8"/>
      <c r="F175" s="8"/>
      <c r="G175" s="9">
        <f t="shared" si="30"/>
        <v>0</v>
      </c>
      <c r="H175" s="9">
        <f t="shared" si="31"/>
        <v>20</v>
      </c>
      <c r="I175" s="10">
        <f t="shared" si="32"/>
        <v>0</v>
      </c>
    </row>
    <row r="176" spans="1:9" ht="12.75">
      <c r="A176" s="8" t="s">
        <v>15</v>
      </c>
      <c r="B176" s="9">
        <f t="shared" si="29"/>
        <v>27</v>
      </c>
      <c r="C176" s="8"/>
      <c r="D176" s="8"/>
      <c r="E176" s="8"/>
      <c r="F176" s="8"/>
      <c r="G176" s="9">
        <f t="shared" si="30"/>
        <v>0</v>
      </c>
      <c r="H176" s="9">
        <f t="shared" si="31"/>
        <v>27</v>
      </c>
      <c r="I176" s="10">
        <f t="shared" si="32"/>
        <v>0</v>
      </c>
    </row>
    <row r="177" spans="1:9" ht="12.75">
      <c r="A177" s="8" t="s">
        <v>16</v>
      </c>
      <c r="B177" s="9">
        <f t="shared" si="29"/>
        <v>43</v>
      </c>
      <c r="C177" s="8"/>
      <c r="D177" s="8"/>
      <c r="E177" s="8"/>
      <c r="F177" s="8"/>
      <c r="G177" s="9">
        <f t="shared" si="30"/>
        <v>0</v>
      </c>
      <c r="H177" s="9">
        <f t="shared" si="31"/>
        <v>43</v>
      </c>
      <c r="I177" s="10">
        <f t="shared" si="32"/>
        <v>0</v>
      </c>
    </row>
    <row r="178" spans="1:9" ht="12.75">
      <c r="A178" s="8" t="s">
        <v>17</v>
      </c>
      <c r="B178" s="9">
        <f t="shared" si="29"/>
        <v>12</v>
      </c>
      <c r="C178" s="8"/>
      <c r="D178" s="8"/>
      <c r="E178" s="8"/>
      <c r="F178" s="8"/>
      <c r="G178" s="9">
        <f t="shared" si="30"/>
        <v>0</v>
      </c>
      <c r="H178" s="9">
        <f t="shared" si="31"/>
        <v>12</v>
      </c>
      <c r="I178" s="10">
        <f t="shared" si="32"/>
        <v>0</v>
      </c>
    </row>
    <row r="179" spans="1:9" ht="12.75">
      <c r="A179" s="8" t="s">
        <v>18</v>
      </c>
      <c r="B179" s="9">
        <f t="shared" si="29"/>
        <v>17</v>
      </c>
      <c r="C179" s="8"/>
      <c r="D179" s="8"/>
      <c r="E179" s="8"/>
      <c r="F179" s="8"/>
      <c r="G179" s="9">
        <f t="shared" si="30"/>
        <v>0</v>
      </c>
      <c r="H179" s="9">
        <f t="shared" si="31"/>
        <v>17</v>
      </c>
      <c r="I179" s="10">
        <f t="shared" si="32"/>
        <v>0</v>
      </c>
    </row>
    <row r="180" spans="1:9" ht="12.75">
      <c r="A180" s="8" t="s">
        <v>19</v>
      </c>
      <c r="B180" s="9">
        <f t="shared" si="29"/>
        <v>20</v>
      </c>
      <c r="C180" s="8"/>
      <c r="D180" s="8"/>
      <c r="E180" s="8"/>
      <c r="F180" s="8"/>
      <c r="G180" s="9">
        <f t="shared" si="30"/>
        <v>0</v>
      </c>
      <c r="H180" s="9">
        <f t="shared" si="31"/>
        <v>20</v>
      </c>
      <c r="I180" s="10">
        <f t="shared" si="32"/>
        <v>0</v>
      </c>
    </row>
    <row r="181" spans="1:9" ht="12.75">
      <c r="A181" s="8" t="s">
        <v>20</v>
      </c>
      <c r="B181" s="9">
        <f t="shared" si="29"/>
        <v>33</v>
      </c>
      <c r="C181" s="8"/>
      <c r="D181" s="8"/>
      <c r="E181" s="8"/>
      <c r="F181" s="8"/>
      <c r="G181" s="9">
        <f t="shared" si="30"/>
        <v>0</v>
      </c>
      <c r="H181" s="9">
        <f t="shared" si="31"/>
        <v>33</v>
      </c>
      <c r="I181" s="10">
        <f t="shared" si="32"/>
        <v>0</v>
      </c>
    </row>
    <row r="182" spans="1:9" ht="12.75">
      <c r="A182" s="8" t="s">
        <v>21</v>
      </c>
      <c r="B182" s="9">
        <f t="shared" si="29"/>
        <v>6</v>
      </c>
      <c r="C182" s="8"/>
      <c r="D182" s="8"/>
      <c r="E182" s="8"/>
      <c r="F182" s="8"/>
      <c r="G182" s="9">
        <f t="shared" si="30"/>
        <v>0</v>
      </c>
      <c r="H182" s="9">
        <f t="shared" si="31"/>
        <v>6</v>
      </c>
      <c r="I182" s="10">
        <f t="shared" si="32"/>
        <v>0</v>
      </c>
    </row>
    <row r="183" spans="1:9" ht="12.75">
      <c r="A183" s="8" t="s">
        <v>22</v>
      </c>
      <c r="B183" s="9">
        <f t="shared" si="29"/>
        <v>31</v>
      </c>
      <c r="C183" s="8"/>
      <c r="D183" s="8"/>
      <c r="E183" s="8"/>
      <c r="F183" s="8"/>
      <c r="G183" s="9">
        <f t="shared" si="30"/>
        <v>0</v>
      </c>
      <c r="H183" s="9">
        <f t="shared" si="31"/>
        <v>31</v>
      </c>
      <c r="I183" s="10">
        <f t="shared" si="32"/>
        <v>0</v>
      </c>
    </row>
    <row r="184" spans="1:9" ht="12.75">
      <c r="A184" s="8" t="s">
        <v>23</v>
      </c>
      <c r="B184" s="9">
        <f t="shared" si="29"/>
        <v>30</v>
      </c>
      <c r="C184" s="8"/>
      <c r="D184" s="8"/>
      <c r="E184" s="8"/>
      <c r="F184" s="8"/>
      <c r="G184" s="9">
        <f t="shared" si="30"/>
        <v>0</v>
      </c>
      <c r="H184" s="9">
        <f t="shared" si="31"/>
        <v>30</v>
      </c>
      <c r="I184" s="10">
        <f t="shared" si="32"/>
        <v>0</v>
      </c>
    </row>
    <row r="185" spans="1:9" ht="12.75">
      <c r="A185" s="8" t="s">
        <v>24</v>
      </c>
      <c r="B185" s="9">
        <f t="shared" si="29"/>
        <v>24</v>
      </c>
      <c r="C185" s="8"/>
      <c r="D185" s="8"/>
      <c r="E185" s="8"/>
      <c r="F185" s="8"/>
      <c r="G185" s="9">
        <f t="shared" si="30"/>
        <v>0</v>
      </c>
      <c r="H185" s="9">
        <f t="shared" si="31"/>
        <v>24</v>
      </c>
      <c r="I185" s="10">
        <f t="shared" si="32"/>
        <v>0</v>
      </c>
    </row>
    <row r="186" spans="1:9" ht="12.75">
      <c r="A186" s="8" t="s">
        <v>25</v>
      </c>
      <c r="B186" s="9">
        <f t="shared" si="29"/>
        <v>17</v>
      </c>
      <c r="C186" s="8"/>
      <c r="D186" s="8"/>
      <c r="E186" s="8"/>
      <c r="F186" s="8"/>
      <c r="G186" s="9">
        <f t="shared" si="30"/>
        <v>0</v>
      </c>
      <c r="H186" s="9">
        <f t="shared" si="31"/>
        <v>17</v>
      </c>
      <c r="I186" s="10">
        <f t="shared" si="32"/>
        <v>0</v>
      </c>
    </row>
    <row r="187" spans="1:9" ht="12.75">
      <c r="A187" s="8" t="s">
        <v>26</v>
      </c>
      <c r="B187" s="9">
        <f t="shared" si="29"/>
        <v>14</v>
      </c>
      <c r="C187" s="8"/>
      <c r="D187" s="8"/>
      <c r="E187" s="8"/>
      <c r="F187" s="8"/>
      <c r="G187" s="9">
        <f t="shared" si="30"/>
        <v>0</v>
      </c>
      <c r="H187" s="9">
        <f t="shared" si="31"/>
        <v>14</v>
      </c>
      <c r="I187" s="10">
        <f t="shared" si="32"/>
        <v>0</v>
      </c>
    </row>
    <row r="188" spans="1:9" ht="12.75">
      <c r="A188" s="8" t="s">
        <v>27</v>
      </c>
      <c r="B188" s="9">
        <f t="shared" si="29"/>
        <v>16</v>
      </c>
      <c r="C188" s="8"/>
      <c r="D188" s="8"/>
      <c r="E188" s="8"/>
      <c r="F188" s="8"/>
      <c r="G188" s="9">
        <f t="shared" si="30"/>
        <v>0</v>
      </c>
      <c r="H188" s="9">
        <f t="shared" si="31"/>
        <v>16</v>
      </c>
      <c r="I188" s="10">
        <f t="shared" si="32"/>
        <v>0</v>
      </c>
    </row>
    <row r="189" spans="1:9" ht="12.75">
      <c r="A189" s="8" t="s">
        <v>28</v>
      </c>
      <c r="B189" s="9">
        <f t="shared" si="29"/>
        <v>17</v>
      </c>
      <c r="C189" s="8"/>
      <c r="D189" s="8"/>
      <c r="E189" s="8"/>
      <c r="F189" s="8"/>
      <c r="G189" s="9">
        <f t="shared" si="30"/>
        <v>0</v>
      </c>
      <c r="H189" s="9">
        <f t="shared" si="31"/>
        <v>17</v>
      </c>
      <c r="I189" s="10">
        <f t="shared" si="32"/>
        <v>0</v>
      </c>
    </row>
    <row r="190" spans="1:9" ht="12.75">
      <c r="A190" s="8" t="s">
        <v>29</v>
      </c>
      <c r="B190" s="9">
        <f t="shared" si="29"/>
        <v>129</v>
      </c>
      <c r="C190" s="8"/>
      <c r="D190" s="8"/>
      <c r="E190" s="8"/>
      <c r="F190" s="8"/>
      <c r="G190" s="9">
        <f t="shared" si="30"/>
        <v>0</v>
      </c>
      <c r="H190" s="9">
        <f t="shared" si="31"/>
        <v>129</v>
      </c>
      <c r="I190" s="10">
        <f t="shared" si="32"/>
        <v>0</v>
      </c>
    </row>
    <row r="191" spans="1:9" ht="12.75">
      <c r="A191" s="8" t="s">
        <v>30</v>
      </c>
      <c r="B191" s="9">
        <f t="shared" si="29"/>
        <v>5</v>
      </c>
      <c r="C191" s="8"/>
      <c r="D191" s="8"/>
      <c r="E191" s="8"/>
      <c r="F191" s="8"/>
      <c r="G191" s="9">
        <f t="shared" si="30"/>
        <v>0</v>
      </c>
      <c r="H191" s="9">
        <f t="shared" si="31"/>
        <v>5</v>
      </c>
      <c r="I191" s="10">
        <f t="shared" si="32"/>
        <v>0</v>
      </c>
    </row>
    <row r="192" spans="1:9" ht="12.75">
      <c r="A192" s="13" t="s">
        <v>31</v>
      </c>
      <c r="B192" s="9">
        <f t="shared" si="29"/>
        <v>10</v>
      </c>
      <c r="C192" s="8"/>
      <c r="D192" s="8"/>
      <c r="E192" s="8"/>
      <c r="F192" s="8"/>
      <c r="G192" s="9">
        <f t="shared" si="30"/>
        <v>0</v>
      </c>
      <c r="H192" s="9">
        <f t="shared" si="31"/>
        <v>10</v>
      </c>
      <c r="I192" s="10">
        <f t="shared" si="32"/>
        <v>0</v>
      </c>
    </row>
    <row r="193" spans="1:9" ht="12.75">
      <c r="A193" s="13" t="s">
        <v>32</v>
      </c>
      <c r="B193" s="9">
        <f t="shared" si="29"/>
        <v>16</v>
      </c>
      <c r="C193" s="8"/>
      <c r="D193" s="8"/>
      <c r="E193" s="8"/>
      <c r="F193" s="8"/>
      <c r="G193" s="9">
        <f t="shared" si="30"/>
        <v>0</v>
      </c>
      <c r="H193" s="9">
        <f t="shared" si="31"/>
        <v>16</v>
      </c>
      <c r="I193" s="10">
        <f t="shared" si="32"/>
        <v>0</v>
      </c>
    </row>
    <row r="194" spans="1:9" ht="12.75">
      <c r="A194" s="14" t="s">
        <v>33</v>
      </c>
      <c r="B194" s="15">
        <f t="shared" ref="B194:I194" si="33">SUM(B171:B193)</f>
        <v>591</v>
      </c>
      <c r="C194" s="15">
        <f t="shared" si="33"/>
        <v>0</v>
      </c>
      <c r="D194" s="15">
        <f t="shared" si="33"/>
        <v>0</v>
      </c>
      <c r="E194" s="15">
        <f t="shared" si="33"/>
        <v>0</v>
      </c>
      <c r="F194" s="15">
        <f t="shared" si="33"/>
        <v>0</v>
      </c>
      <c r="G194" s="15">
        <f t="shared" si="33"/>
        <v>0</v>
      </c>
      <c r="H194" s="15">
        <f t="shared" si="33"/>
        <v>591</v>
      </c>
      <c r="I194" s="16">
        <f t="shared" si="33"/>
        <v>0</v>
      </c>
    </row>
    <row r="195" spans="1:9" ht="12.75">
      <c r="A195" s="17"/>
      <c r="B195" s="17"/>
      <c r="C195" s="17"/>
      <c r="D195" s="17"/>
      <c r="E195" s="17"/>
      <c r="F195" s="134" t="s">
        <v>34</v>
      </c>
      <c r="G195" s="133"/>
      <c r="H195" s="18"/>
      <c r="I195" s="19"/>
    </row>
    <row r="197" spans="1:9">
      <c r="A197" s="1"/>
      <c r="B197" s="131" t="s">
        <v>41</v>
      </c>
      <c r="C197" s="132"/>
      <c r="D197" s="132"/>
      <c r="E197" s="132"/>
      <c r="F197" s="132"/>
      <c r="G197" s="132"/>
      <c r="H197" s="132"/>
      <c r="I197" s="133"/>
    </row>
    <row r="198" spans="1:9" ht="45">
      <c r="A198" s="2" t="s">
        <v>1</v>
      </c>
      <c r="B198" s="3" t="s">
        <v>2</v>
      </c>
      <c r="C198" s="4" t="s">
        <v>3</v>
      </c>
      <c r="D198" s="5" t="s">
        <v>4</v>
      </c>
      <c r="E198" s="2" t="s">
        <v>5</v>
      </c>
      <c r="F198" s="2" t="s">
        <v>6</v>
      </c>
      <c r="G198" s="2" t="s">
        <v>7</v>
      </c>
      <c r="H198" s="6" t="s">
        <v>8</v>
      </c>
      <c r="I198" s="7" t="s">
        <v>9</v>
      </c>
    </row>
    <row r="199" spans="1:9" ht="12.75">
      <c r="A199" s="8" t="s">
        <v>10</v>
      </c>
      <c r="B199" s="9">
        <f t="shared" ref="B199:B221" si="34">H171</f>
        <v>34</v>
      </c>
      <c r="C199" s="8"/>
      <c r="D199" s="8"/>
      <c r="E199" s="8"/>
      <c r="F199" s="8"/>
      <c r="G199" s="9">
        <f t="shared" ref="G199:G221" si="35">E199-F199</f>
        <v>0</v>
      </c>
      <c r="H199" s="9">
        <f t="shared" ref="H199:H221" si="36">B199-C199+D199-G199</f>
        <v>34</v>
      </c>
      <c r="I199" s="10">
        <f t="shared" ref="I199:I221" si="37">G199*6</f>
        <v>0</v>
      </c>
    </row>
    <row r="200" spans="1:9" ht="12.75">
      <c r="A200" s="8" t="s">
        <v>11</v>
      </c>
      <c r="B200" s="9">
        <f t="shared" si="34"/>
        <v>28</v>
      </c>
      <c r="C200" s="8"/>
      <c r="D200" s="8"/>
      <c r="E200" s="8"/>
      <c r="F200" s="8"/>
      <c r="G200" s="9">
        <f t="shared" si="35"/>
        <v>0</v>
      </c>
      <c r="H200" s="9">
        <f t="shared" si="36"/>
        <v>28</v>
      </c>
      <c r="I200" s="10">
        <f t="shared" si="37"/>
        <v>0</v>
      </c>
    </row>
    <row r="201" spans="1:9" ht="12.75">
      <c r="A201" s="8" t="s">
        <v>12</v>
      </c>
      <c r="B201" s="9">
        <f t="shared" si="34"/>
        <v>14</v>
      </c>
      <c r="C201" s="8"/>
      <c r="D201" s="8"/>
      <c r="E201" s="8"/>
      <c r="F201" s="8"/>
      <c r="G201" s="9">
        <f t="shared" si="35"/>
        <v>0</v>
      </c>
      <c r="H201" s="9">
        <f t="shared" si="36"/>
        <v>14</v>
      </c>
      <c r="I201" s="10">
        <f t="shared" si="37"/>
        <v>0</v>
      </c>
    </row>
    <row r="202" spans="1:9" ht="12.75">
      <c r="A202" s="8" t="s">
        <v>13</v>
      </c>
      <c r="B202" s="9">
        <f t="shared" si="34"/>
        <v>28</v>
      </c>
      <c r="C202" s="8"/>
      <c r="D202" s="8"/>
      <c r="E202" s="8"/>
      <c r="F202" s="8"/>
      <c r="G202" s="9">
        <f t="shared" si="35"/>
        <v>0</v>
      </c>
      <c r="H202" s="9">
        <f t="shared" si="36"/>
        <v>28</v>
      </c>
      <c r="I202" s="10">
        <f t="shared" si="37"/>
        <v>0</v>
      </c>
    </row>
    <row r="203" spans="1:9" ht="12.75">
      <c r="A203" s="8" t="s">
        <v>14</v>
      </c>
      <c r="B203" s="9">
        <f t="shared" si="34"/>
        <v>20</v>
      </c>
      <c r="C203" s="8"/>
      <c r="D203" s="8"/>
      <c r="E203" s="8"/>
      <c r="F203" s="8"/>
      <c r="G203" s="9">
        <f t="shared" si="35"/>
        <v>0</v>
      </c>
      <c r="H203" s="9">
        <f t="shared" si="36"/>
        <v>20</v>
      </c>
      <c r="I203" s="10">
        <f t="shared" si="37"/>
        <v>0</v>
      </c>
    </row>
    <row r="204" spans="1:9" ht="12.75">
      <c r="A204" s="8" t="s">
        <v>15</v>
      </c>
      <c r="B204" s="9">
        <f t="shared" si="34"/>
        <v>27</v>
      </c>
      <c r="C204" s="8"/>
      <c r="D204" s="8"/>
      <c r="E204" s="8"/>
      <c r="F204" s="8"/>
      <c r="G204" s="9">
        <f t="shared" si="35"/>
        <v>0</v>
      </c>
      <c r="H204" s="9">
        <f t="shared" si="36"/>
        <v>27</v>
      </c>
      <c r="I204" s="10">
        <f t="shared" si="37"/>
        <v>0</v>
      </c>
    </row>
    <row r="205" spans="1:9" ht="12.75">
      <c r="A205" s="8" t="s">
        <v>16</v>
      </c>
      <c r="B205" s="9">
        <f t="shared" si="34"/>
        <v>43</v>
      </c>
      <c r="C205" s="8"/>
      <c r="D205" s="8"/>
      <c r="E205" s="8"/>
      <c r="F205" s="8"/>
      <c r="G205" s="9">
        <f t="shared" si="35"/>
        <v>0</v>
      </c>
      <c r="H205" s="9">
        <f t="shared" si="36"/>
        <v>43</v>
      </c>
      <c r="I205" s="10">
        <f t="shared" si="37"/>
        <v>0</v>
      </c>
    </row>
    <row r="206" spans="1:9" ht="12.75">
      <c r="A206" s="8" t="s">
        <v>17</v>
      </c>
      <c r="B206" s="9">
        <f t="shared" si="34"/>
        <v>12</v>
      </c>
      <c r="C206" s="8"/>
      <c r="D206" s="8"/>
      <c r="E206" s="8"/>
      <c r="F206" s="8"/>
      <c r="G206" s="9">
        <f t="shared" si="35"/>
        <v>0</v>
      </c>
      <c r="H206" s="9">
        <f t="shared" si="36"/>
        <v>12</v>
      </c>
      <c r="I206" s="10">
        <f t="shared" si="37"/>
        <v>0</v>
      </c>
    </row>
    <row r="207" spans="1:9" ht="12.75">
      <c r="A207" s="8" t="s">
        <v>18</v>
      </c>
      <c r="B207" s="9">
        <f t="shared" si="34"/>
        <v>17</v>
      </c>
      <c r="C207" s="8"/>
      <c r="D207" s="8"/>
      <c r="E207" s="8"/>
      <c r="F207" s="8"/>
      <c r="G207" s="9">
        <f t="shared" si="35"/>
        <v>0</v>
      </c>
      <c r="H207" s="9">
        <f t="shared" si="36"/>
        <v>17</v>
      </c>
      <c r="I207" s="10">
        <f t="shared" si="37"/>
        <v>0</v>
      </c>
    </row>
    <row r="208" spans="1:9" ht="12.75">
      <c r="A208" s="8" t="s">
        <v>19</v>
      </c>
      <c r="B208" s="9">
        <f t="shared" si="34"/>
        <v>20</v>
      </c>
      <c r="C208" s="8"/>
      <c r="D208" s="8"/>
      <c r="E208" s="8"/>
      <c r="F208" s="8"/>
      <c r="G208" s="9">
        <f t="shared" si="35"/>
        <v>0</v>
      </c>
      <c r="H208" s="9">
        <f t="shared" si="36"/>
        <v>20</v>
      </c>
      <c r="I208" s="10">
        <f t="shared" si="37"/>
        <v>0</v>
      </c>
    </row>
    <row r="209" spans="1:9" ht="12.75">
      <c r="A209" s="8" t="s">
        <v>20</v>
      </c>
      <c r="B209" s="9">
        <f t="shared" si="34"/>
        <v>33</v>
      </c>
      <c r="C209" s="8"/>
      <c r="D209" s="8"/>
      <c r="E209" s="8"/>
      <c r="F209" s="8"/>
      <c r="G209" s="9">
        <f t="shared" si="35"/>
        <v>0</v>
      </c>
      <c r="H209" s="9">
        <f t="shared" si="36"/>
        <v>33</v>
      </c>
      <c r="I209" s="10">
        <f t="shared" si="37"/>
        <v>0</v>
      </c>
    </row>
    <row r="210" spans="1:9" ht="12.75">
      <c r="A210" s="8" t="s">
        <v>21</v>
      </c>
      <c r="B210" s="9">
        <f t="shared" si="34"/>
        <v>6</v>
      </c>
      <c r="C210" s="8"/>
      <c r="D210" s="8"/>
      <c r="E210" s="8"/>
      <c r="F210" s="8"/>
      <c r="G210" s="9">
        <f t="shared" si="35"/>
        <v>0</v>
      </c>
      <c r="H210" s="9">
        <f t="shared" si="36"/>
        <v>6</v>
      </c>
      <c r="I210" s="10">
        <f t="shared" si="37"/>
        <v>0</v>
      </c>
    </row>
    <row r="211" spans="1:9" ht="12.75">
      <c r="A211" s="8" t="s">
        <v>22</v>
      </c>
      <c r="B211" s="9">
        <f t="shared" si="34"/>
        <v>31</v>
      </c>
      <c r="C211" s="8"/>
      <c r="D211" s="8"/>
      <c r="E211" s="8"/>
      <c r="F211" s="8"/>
      <c r="G211" s="9">
        <f t="shared" si="35"/>
        <v>0</v>
      </c>
      <c r="H211" s="9">
        <f t="shared" si="36"/>
        <v>31</v>
      </c>
      <c r="I211" s="10">
        <f t="shared" si="37"/>
        <v>0</v>
      </c>
    </row>
    <row r="212" spans="1:9" ht="12.75">
      <c r="A212" s="8" t="s">
        <v>23</v>
      </c>
      <c r="B212" s="9">
        <f t="shared" si="34"/>
        <v>30</v>
      </c>
      <c r="C212" s="8"/>
      <c r="D212" s="8"/>
      <c r="E212" s="8"/>
      <c r="F212" s="8"/>
      <c r="G212" s="9">
        <f t="shared" si="35"/>
        <v>0</v>
      </c>
      <c r="H212" s="9">
        <f t="shared" si="36"/>
        <v>30</v>
      </c>
      <c r="I212" s="10">
        <f t="shared" si="37"/>
        <v>0</v>
      </c>
    </row>
    <row r="213" spans="1:9" ht="12.75">
      <c r="A213" s="8" t="s">
        <v>24</v>
      </c>
      <c r="B213" s="9">
        <f t="shared" si="34"/>
        <v>24</v>
      </c>
      <c r="C213" s="8"/>
      <c r="D213" s="8"/>
      <c r="E213" s="8"/>
      <c r="F213" s="8"/>
      <c r="G213" s="9">
        <f t="shared" si="35"/>
        <v>0</v>
      </c>
      <c r="H213" s="9">
        <f t="shared" si="36"/>
        <v>24</v>
      </c>
      <c r="I213" s="10">
        <f t="shared" si="37"/>
        <v>0</v>
      </c>
    </row>
    <row r="214" spans="1:9" ht="12.75">
      <c r="A214" s="8" t="s">
        <v>25</v>
      </c>
      <c r="B214" s="9">
        <f t="shared" si="34"/>
        <v>17</v>
      </c>
      <c r="C214" s="8"/>
      <c r="D214" s="8"/>
      <c r="E214" s="8"/>
      <c r="F214" s="8"/>
      <c r="G214" s="9">
        <f t="shared" si="35"/>
        <v>0</v>
      </c>
      <c r="H214" s="9">
        <f t="shared" si="36"/>
        <v>17</v>
      </c>
      <c r="I214" s="10">
        <f t="shared" si="37"/>
        <v>0</v>
      </c>
    </row>
    <row r="215" spans="1:9" ht="12.75">
      <c r="A215" s="8" t="s">
        <v>26</v>
      </c>
      <c r="B215" s="9">
        <f t="shared" si="34"/>
        <v>14</v>
      </c>
      <c r="C215" s="8"/>
      <c r="D215" s="8"/>
      <c r="E215" s="8"/>
      <c r="F215" s="8"/>
      <c r="G215" s="9">
        <f t="shared" si="35"/>
        <v>0</v>
      </c>
      <c r="H215" s="9">
        <f t="shared" si="36"/>
        <v>14</v>
      </c>
      <c r="I215" s="10">
        <f t="shared" si="37"/>
        <v>0</v>
      </c>
    </row>
    <row r="216" spans="1:9" ht="12.75">
      <c r="A216" s="8" t="s">
        <v>27</v>
      </c>
      <c r="B216" s="9">
        <f t="shared" si="34"/>
        <v>16</v>
      </c>
      <c r="C216" s="8"/>
      <c r="D216" s="8"/>
      <c r="E216" s="8"/>
      <c r="F216" s="8"/>
      <c r="G216" s="9">
        <f t="shared" si="35"/>
        <v>0</v>
      </c>
      <c r="H216" s="9">
        <f t="shared" si="36"/>
        <v>16</v>
      </c>
      <c r="I216" s="10">
        <f t="shared" si="37"/>
        <v>0</v>
      </c>
    </row>
    <row r="217" spans="1:9" ht="12.75">
      <c r="A217" s="8" t="s">
        <v>28</v>
      </c>
      <c r="B217" s="9">
        <f t="shared" si="34"/>
        <v>17</v>
      </c>
      <c r="C217" s="8"/>
      <c r="D217" s="8"/>
      <c r="E217" s="8"/>
      <c r="F217" s="8"/>
      <c r="G217" s="9">
        <f t="shared" si="35"/>
        <v>0</v>
      </c>
      <c r="H217" s="9">
        <f t="shared" si="36"/>
        <v>17</v>
      </c>
      <c r="I217" s="10">
        <f t="shared" si="37"/>
        <v>0</v>
      </c>
    </row>
    <row r="218" spans="1:9" ht="12.75">
      <c r="A218" s="8" t="s">
        <v>29</v>
      </c>
      <c r="B218" s="9">
        <f t="shared" si="34"/>
        <v>129</v>
      </c>
      <c r="C218" s="8"/>
      <c r="D218" s="8"/>
      <c r="E218" s="8"/>
      <c r="F218" s="8"/>
      <c r="G218" s="9">
        <f t="shared" si="35"/>
        <v>0</v>
      </c>
      <c r="H218" s="9">
        <f t="shared" si="36"/>
        <v>129</v>
      </c>
      <c r="I218" s="10">
        <f t="shared" si="37"/>
        <v>0</v>
      </c>
    </row>
    <row r="219" spans="1:9" ht="12.75">
      <c r="A219" s="8" t="s">
        <v>30</v>
      </c>
      <c r="B219" s="9">
        <f t="shared" si="34"/>
        <v>5</v>
      </c>
      <c r="C219" s="8"/>
      <c r="D219" s="8"/>
      <c r="E219" s="8"/>
      <c r="F219" s="8"/>
      <c r="G219" s="9">
        <f t="shared" si="35"/>
        <v>0</v>
      </c>
      <c r="H219" s="9">
        <f t="shared" si="36"/>
        <v>5</v>
      </c>
      <c r="I219" s="10">
        <f t="shared" si="37"/>
        <v>0</v>
      </c>
    </row>
    <row r="220" spans="1:9" ht="12.75">
      <c r="A220" s="13" t="s">
        <v>31</v>
      </c>
      <c r="B220" s="9">
        <f t="shared" si="34"/>
        <v>10</v>
      </c>
      <c r="C220" s="8"/>
      <c r="D220" s="8"/>
      <c r="E220" s="8"/>
      <c r="F220" s="8"/>
      <c r="G220" s="9">
        <f t="shared" si="35"/>
        <v>0</v>
      </c>
      <c r="H220" s="9">
        <f t="shared" si="36"/>
        <v>10</v>
      </c>
      <c r="I220" s="10">
        <f t="shared" si="37"/>
        <v>0</v>
      </c>
    </row>
    <row r="221" spans="1:9" ht="12.75">
      <c r="A221" s="13" t="s">
        <v>32</v>
      </c>
      <c r="B221" s="9">
        <f t="shared" si="34"/>
        <v>16</v>
      </c>
      <c r="C221" s="8"/>
      <c r="D221" s="8"/>
      <c r="E221" s="8"/>
      <c r="F221" s="8"/>
      <c r="G221" s="9">
        <f t="shared" si="35"/>
        <v>0</v>
      </c>
      <c r="H221" s="9">
        <f t="shared" si="36"/>
        <v>16</v>
      </c>
      <c r="I221" s="10">
        <f t="shared" si="37"/>
        <v>0</v>
      </c>
    </row>
    <row r="222" spans="1:9" ht="12.75">
      <c r="A222" s="14" t="s">
        <v>33</v>
      </c>
      <c r="B222" s="15">
        <f t="shared" ref="B222:I222" si="38">SUM(B199:B221)</f>
        <v>591</v>
      </c>
      <c r="C222" s="15">
        <f t="shared" si="38"/>
        <v>0</v>
      </c>
      <c r="D222" s="15">
        <f t="shared" si="38"/>
        <v>0</v>
      </c>
      <c r="E222" s="15">
        <f t="shared" si="38"/>
        <v>0</v>
      </c>
      <c r="F222" s="15">
        <f t="shared" si="38"/>
        <v>0</v>
      </c>
      <c r="G222" s="15">
        <f t="shared" si="38"/>
        <v>0</v>
      </c>
      <c r="H222" s="15">
        <f t="shared" si="38"/>
        <v>591</v>
      </c>
      <c r="I222" s="16">
        <f t="shared" si="38"/>
        <v>0</v>
      </c>
    </row>
    <row r="223" spans="1:9" ht="12.75">
      <c r="A223" s="17"/>
      <c r="B223" s="17"/>
      <c r="C223" s="17"/>
      <c r="D223" s="17"/>
      <c r="E223" s="17"/>
      <c r="F223" s="134" t="s">
        <v>34</v>
      </c>
      <c r="G223" s="133"/>
      <c r="H223" s="18"/>
      <c r="I223" s="19"/>
    </row>
    <row r="225" spans="1:9">
      <c r="A225" s="1"/>
      <c r="B225" s="131" t="s">
        <v>42</v>
      </c>
      <c r="C225" s="132"/>
      <c r="D225" s="132"/>
      <c r="E225" s="132"/>
      <c r="F225" s="132"/>
      <c r="G225" s="132"/>
      <c r="H225" s="132"/>
      <c r="I225" s="133"/>
    </row>
    <row r="226" spans="1:9" ht="45">
      <c r="A226" s="2" t="s">
        <v>1</v>
      </c>
      <c r="B226" s="3" t="s">
        <v>2</v>
      </c>
      <c r="C226" s="4" t="s">
        <v>3</v>
      </c>
      <c r="D226" s="5" t="s">
        <v>4</v>
      </c>
      <c r="E226" s="2" t="s">
        <v>5</v>
      </c>
      <c r="F226" s="2" t="s">
        <v>6</v>
      </c>
      <c r="G226" s="2" t="s">
        <v>7</v>
      </c>
      <c r="H226" s="6" t="s">
        <v>8</v>
      </c>
      <c r="I226" s="7" t="s">
        <v>9</v>
      </c>
    </row>
    <row r="227" spans="1:9" ht="12.75">
      <c r="A227" s="8" t="s">
        <v>10</v>
      </c>
      <c r="B227" s="9">
        <f t="shared" ref="B227:B249" si="39">H199</f>
        <v>34</v>
      </c>
      <c r="C227" s="8"/>
      <c r="D227" s="8"/>
      <c r="E227" s="8"/>
      <c r="F227" s="8"/>
      <c r="G227" s="9">
        <f t="shared" ref="G227:G249" si="40">E227-F227</f>
        <v>0</v>
      </c>
      <c r="H227" s="9">
        <f t="shared" ref="H227:H249" si="41">B227-C227+D227-G227</f>
        <v>34</v>
      </c>
      <c r="I227" s="10">
        <f t="shared" ref="I227:I249" si="42">G227*6</f>
        <v>0</v>
      </c>
    </row>
    <row r="228" spans="1:9" ht="12.75">
      <c r="A228" s="8" t="s">
        <v>11</v>
      </c>
      <c r="B228" s="9">
        <f t="shared" si="39"/>
        <v>28</v>
      </c>
      <c r="C228" s="8"/>
      <c r="D228" s="8"/>
      <c r="E228" s="8"/>
      <c r="F228" s="8"/>
      <c r="G228" s="9">
        <f t="shared" si="40"/>
        <v>0</v>
      </c>
      <c r="H228" s="9">
        <f t="shared" si="41"/>
        <v>28</v>
      </c>
      <c r="I228" s="10">
        <f t="shared" si="42"/>
        <v>0</v>
      </c>
    </row>
    <row r="229" spans="1:9" ht="12.75">
      <c r="A229" s="8" t="s">
        <v>12</v>
      </c>
      <c r="B229" s="9">
        <f t="shared" si="39"/>
        <v>14</v>
      </c>
      <c r="C229" s="8"/>
      <c r="D229" s="8"/>
      <c r="E229" s="8"/>
      <c r="F229" s="8"/>
      <c r="G229" s="9">
        <f t="shared" si="40"/>
        <v>0</v>
      </c>
      <c r="H229" s="9">
        <f t="shared" si="41"/>
        <v>14</v>
      </c>
      <c r="I229" s="10">
        <f t="shared" si="42"/>
        <v>0</v>
      </c>
    </row>
    <row r="230" spans="1:9" ht="12.75">
      <c r="A230" s="8" t="s">
        <v>13</v>
      </c>
      <c r="B230" s="9">
        <f t="shared" si="39"/>
        <v>28</v>
      </c>
      <c r="C230" s="8"/>
      <c r="D230" s="8"/>
      <c r="E230" s="8"/>
      <c r="F230" s="8"/>
      <c r="G230" s="9">
        <f t="shared" si="40"/>
        <v>0</v>
      </c>
      <c r="H230" s="9">
        <f t="shared" si="41"/>
        <v>28</v>
      </c>
      <c r="I230" s="10">
        <f t="shared" si="42"/>
        <v>0</v>
      </c>
    </row>
    <row r="231" spans="1:9" ht="12.75">
      <c r="A231" s="8" t="s">
        <v>14</v>
      </c>
      <c r="B231" s="9">
        <f t="shared" si="39"/>
        <v>20</v>
      </c>
      <c r="C231" s="8"/>
      <c r="D231" s="8"/>
      <c r="E231" s="8"/>
      <c r="F231" s="8"/>
      <c r="G231" s="9">
        <f t="shared" si="40"/>
        <v>0</v>
      </c>
      <c r="H231" s="9">
        <f t="shared" si="41"/>
        <v>20</v>
      </c>
      <c r="I231" s="10">
        <f t="shared" si="42"/>
        <v>0</v>
      </c>
    </row>
    <row r="232" spans="1:9" ht="12.75">
      <c r="A232" s="8" t="s">
        <v>15</v>
      </c>
      <c r="B232" s="9">
        <f t="shared" si="39"/>
        <v>27</v>
      </c>
      <c r="C232" s="8"/>
      <c r="D232" s="8"/>
      <c r="E232" s="8"/>
      <c r="F232" s="8"/>
      <c r="G232" s="9">
        <f t="shared" si="40"/>
        <v>0</v>
      </c>
      <c r="H232" s="9">
        <f t="shared" si="41"/>
        <v>27</v>
      </c>
      <c r="I232" s="10">
        <f t="shared" si="42"/>
        <v>0</v>
      </c>
    </row>
    <row r="233" spans="1:9" ht="12.75">
      <c r="A233" s="8" t="s">
        <v>16</v>
      </c>
      <c r="B233" s="9">
        <f t="shared" si="39"/>
        <v>43</v>
      </c>
      <c r="C233" s="8"/>
      <c r="D233" s="8"/>
      <c r="E233" s="8"/>
      <c r="F233" s="8"/>
      <c r="G233" s="9">
        <f t="shared" si="40"/>
        <v>0</v>
      </c>
      <c r="H233" s="9">
        <f t="shared" si="41"/>
        <v>43</v>
      </c>
      <c r="I233" s="10">
        <f t="shared" si="42"/>
        <v>0</v>
      </c>
    </row>
    <row r="234" spans="1:9" ht="12.75">
      <c r="A234" s="8" t="s">
        <v>17</v>
      </c>
      <c r="B234" s="9">
        <f t="shared" si="39"/>
        <v>12</v>
      </c>
      <c r="C234" s="8"/>
      <c r="D234" s="8"/>
      <c r="E234" s="8"/>
      <c r="F234" s="8"/>
      <c r="G234" s="9">
        <f t="shared" si="40"/>
        <v>0</v>
      </c>
      <c r="H234" s="9">
        <f t="shared" si="41"/>
        <v>12</v>
      </c>
      <c r="I234" s="10">
        <f t="shared" si="42"/>
        <v>0</v>
      </c>
    </row>
    <row r="235" spans="1:9" ht="12.75">
      <c r="A235" s="8" t="s">
        <v>18</v>
      </c>
      <c r="B235" s="9">
        <f t="shared" si="39"/>
        <v>17</v>
      </c>
      <c r="C235" s="8"/>
      <c r="D235" s="8"/>
      <c r="E235" s="8"/>
      <c r="F235" s="8"/>
      <c r="G235" s="9">
        <f t="shared" si="40"/>
        <v>0</v>
      </c>
      <c r="H235" s="9">
        <f t="shared" si="41"/>
        <v>17</v>
      </c>
      <c r="I235" s="10">
        <f t="shared" si="42"/>
        <v>0</v>
      </c>
    </row>
    <row r="236" spans="1:9" ht="12.75">
      <c r="A236" s="8" t="s">
        <v>19</v>
      </c>
      <c r="B236" s="9">
        <f t="shared" si="39"/>
        <v>20</v>
      </c>
      <c r="C236" s="8"/>
      <c r="D236" s="8"/>
      <c r="E236" s="8"/>
      <c r="F236" s="8"/>
      <c r="G236" s="9">
        <f t="shared" si="40"/>
        <v>0</v>
      </c>
      <c r="H236" s="9">
        <f t="shared" si="41"/>
        <v>20</v>
      </c>
      <c r="I236" s="10">
        <f t="shared" si="42"/>
        <v>0</v>
      </c>
    </row>
    <row r="237" spans="1:9" ht="12.75">
      <c r="A237" s="8" t="s">
        <v>20</v>
      </c>
      <c r="B237" s="9">
        <f t="shared" si="39"/>
        <v>33</v>
      </c>
      <c r="C237" s="8"/>
      <c r="D237" s="8"/>
      <c r="E237" s="8"/>
      <c r="F237" s="8"/>
      <c r="G237" s="9">
        <f t="shared" si="40"/>
        <v>0</v>
      </c>
      <c r="H237" s="9">
        <f t="shared" si="41"/>
        <v>33</v>
      </c>
      <c r="I237" s="10">
        <f t="shared" si="42"/>
        <v>0</v>
      </c>
    </row>
    <row r="238" spans="1:9" ht="12.75">
      <c r="A238" s="8" t="s">
        <v>21</v>
      </c>
      <c r="B238" s="9">
        <f t="shared" si="39"/>
        <v>6</v>
      </c>
      <c r="C238" s="8"/>
      <c r="D238" s="8"/>
      <c r="E238" s="8"/>
      <c r="F238" s="8"/>
      <c r="G238" s="9">
        <f t="shared" si="40"/>
        <v>0</v>
      </c>
      <c r="H238" s="9">
        <f t="shared" si="41"/>
        <v>6</v>
      </c>
      <c r="I238" s="10">
        <f t="shared" si="42"/>
        <v>0</v>
      </c>
    </row>
    <row r="239" spans="1:9" ht="12.75">
      <c r="A239" s="8" t="s">
        <v>22</v>
      </c>
      <c r="B239" s="9">
        <f t="shared" si="39"/>
        <v>31</v>
      </c>
      <c r="C239" s="8"/>
      <c r="D239" s="8"/>
      <c r="E239" s="8"/>
      <c r="F239" s="8"/>
      <c r="G239" s="9">
        <f t="shared" si="40"/>
        <v>0</v>
      </c>
      <c r="H239" s="9">
        <f t="shared" si="41"/>
        <v>31</v>
      </c>
      <c r="I239" s="10">
        <f t="shared" si="42"/>
        <v>0</v>
      </c>
    </row>
    <row r="240" spans="1:9" ht="12.75">
      <c r="A240" s="8" t="s">
        <v>23</v>
      </c>
      <c r="B240" s="9">
        <f t="shared" si="39"/>
        <v>30</v>
      </c>
      <c r="C240" s="8"/>
      <c r="D240" s="8"/>
      <c r="E240" s="8"/>
      <c r="F240" s="8"/>
      <c r="G240" s="9">
        <f t="shared" si="40"/>
        <v>0</v>
      </c>
      <c r="H240" s="9">
        <f t="shared" si="41"/>
        <v>30</v>
      </c>
      <c r="I240" s="10">
        <f t="shared" si="42"/>
        <v>0</v>
      </c>
    </row>
    <row r="241" spans="1:9" ht="12.75">
      <c r="A241" s="8" t="s">
        <v>24</v>
      </c>
      <c r="B241" s="9">
        <f t="shared" si="39"/>
        <v>24</v>
      </c>
      <c r="C241" s="8"/>
      <c r="D241" s="8"/>
      <c r="E241" s="8"/>
      <c r="F241" s="8"/>
      <c r="G241" s="9">
        <f t="shared" si="40"/>
        <v>0</v>
      </c>
      <c r="H241" s="9">
        <f t="shared" si="41"/>
        <v>24</v>
      </c>
      <c r="I241" s="10">
        <f t="shared" si="42"/>
        <v>0</v>
      </c>
    </row>
    <row r="242" spans="1:9" ht="12.75">
      <c r="A242" s="8" t="s">
        <v>25</v>
      </c>
      <c r="B242" s="9">
        <f t="shared" si="39"/>
        <v>17</v>
      </c>
      <c r="C242" s="8"/>
      <c r="D242" s="8"/>
      <c r="E242" s="8"/>
      <c r="F242" s="8"/>
      <c r="G242" s="9">
        <f t="shared" si="40"/>
        <v>0</v>
      </c>
      <c r="H242" s="9">
        <f t="shared" si="41"/>
        <v>17</v>
      </c>
      <c r="I242" s="10">
        <f t="shared" si="42"/>
        <v>0</v>
      </c>
    </row>
    <row r="243" spans="1:9" ht="12.75">
      <c r="A243" s="8" t="s">
        <v>26</v>
      </c>
      <c r="B243" s="9">
        <f t="shared" si="39"/>
        <v>14</v>
      </c>
      <c r="C243" s="8"/>
      <c r="D243" s="8"/>
      <c r="E243" s="8"/>
      <c r="F243" s="8"/>
      <c r="G243" s="9">
        <f t="shared" si="40"/>
        <v>0</v>
      </c>
      <c r="H243" s="9">
        <f t="shared" si="41"/>
        <v>14</v>
      </c>
      <c r="I243" s="10">
        <f t="shared" si="42"/>
        <v>0</v>
      </c>
    </row>
    <row r="244" spans="1:9" ht="12.75">
      <c r="A244" s="8" t="s">
        <v>27</v>
      </c>
      <c r="B244" s="9">
        <f t="shared" si="39"/>
        <v>16</v>
      </c>
      <c r="C244" s="8"/>
      <c r="D244" s="8"/>
      <c r="E244" s="8"/>
      <c r="F244" s="8"/>
      <c r="G244" s="9">
        <f t="shared" si="40"/>
        <v>0</v>
      </c>
      <c r="H244" s="9">
        <f t="shared" si="41"/>
        <v>16</v>
      </c>
      <c r="I244" s="10">
        <f t="shared" si="42"/>
        <v>0</v>
      </c>
    </row>
    <row r="245" spans="1:9" ht="12.75">
      <c r="A245" s="8" t="s">
        <v>28</v>
      </c>
      <c r="B245" s="9">
        <f t="shared" si="39"/>
        <v>17</v>
      </c>
      <c r="C245" s="8"/>
      <c r="D245" s="8"/>
      <c r="E245" s="8"/>
      <c r="F245" s="8"/>
      <c r="G245" s="9">
        <f t="shared" si="40"/>
        <v>0</v>
      </c>
      <c r="H245" s="9">
        <f t="shared" si="41"/>
        <v>17</v>
      </c>
      <c r="I245" s="10">
        <f t="shared" si="42"/>
        <v>0</v>
      </c>
    </row>
    <row r="246" spans="1:9" ht="12.75">
      <c r="A246" s="8" t="s">
        <v>29</v>
      </c>
      <c r="B246" s="9">
        <f t="shared" si="39"/>
        <v>129</v>
      </c>
      <c r="C246" s="8"/>
      <c r="D246" s="8"/>
      <c r="E246" s="8"/>
      <c r="F246" s="8"/>
      <c r="G246" s="9">
        <f t="shared" si="40"/>
        <v>0</v>
      </c>
      <c r="H246" s="9">
        <f t="shared" si="41"/>
        <v>129</v>
      </c>
      <c r="I246" s="10">
        <f t="shared" si="42"/>
        <v>0</v>
      </c>
    </row>
    <row r="247" spans="1:9" ht="12.75">
      <c r="A247" s="8" t="s">
        <v>30</v>
      </c>
      <c r="B247" s="9">
        <f t="shared" si="39"/>
        <v>5</v>
      </c>
      <c r="C247" s="8"/>
      <c r="D247" s="8"/>
      <c r="E247" s="8"/>
      <c r="F247" s="8"/>
      <c r="G247" s="9">
        <f t="shared" si="40"/>
        <v>0</v>
      </c>
      <c r="H247" s="9">
        <f t="shared" si="41"/>
        <v>5</v>
      </c>
      <c r="I247" s="10">
        <f t="shared" si="42"/>
        <v>0</v>
      </c>
    </row>
    <row r="248" spans="1:9" ht="12.75">
      <c r="A248" s="13" t="s">
        <v>31</v>
      </c>
      <c r="B248" s="9">
        <f t="shared" si="39"/>
        <v>10</v>
      </c>
      <c r="C248" s="8"/>
      <c r="D248" s="8"/>
      <c r="E248" s="8"/>
      <c r="F248" s="8"/>
      <c r="G248" s="9">
        <f t="shared" si="40"/>
        <v>0</v>
      </c>
      <c r="H248" s="9">
        <f t="shared" si="41"/>
        <v>10</v>
      </c>
      <c r="I248" s="10">
        <f t="shared" si="42"/>
        <v>0</v>
      </c>
    </row>
    <row r="249" spans="1:9" ht="12.75">
      <c r="A249" s="13" t="s">
        <v>32</v>
      </c>
      <c r="B249" s="9">
        <f t="shared" si="39"/>
        <v>16</v>
      </c>
      <c r="C249" s="8"/>
      <c r="D249" s="8"/>
      <c r="E249" s="8"/>
      <c r="F249" s="8"/>
      <c r="G249" s="9">
        <f t="shared" si="40"/>
        <v>0</v>
      </c>
      <c r="H249" s="9">
        <f t="shared" si="41"/>
        <v>16</v>
      </c>
      <c r="I249" s="10">
        <f t="shared" si="42"/>
        <v>0</v>
      </c>
    </row>
    <row r="250" spans="1:9" ht="12.75">
      <c r="A250" s="14" t="s">
        <v>33</v>
      </c>
      <c r="B250" s="15">
        <f t="shared" ref="B250:I250" si="43">SUM(B227:B249)</f>
        <v>591</v>
      </c>
      <c r="C250" s="15">
        <f t="shared" si="43"/>
        <v>0</v>
      </c>
      <c r="D250" s="15">
        <f t="shared" si="43"/>
        <v>0</v>
      </c>
      <c r="E250" s="15">
        <f t="shared" si="43"/>
        <v>0</v>
      </c>
      <c r="F250" s="15">
        <f t="shared" si="43"/>
        <v>0</v>
      </c>
      <c r="G250" s="15">
        <f t="shared" si="43"/>
        <v>0</v>
      </c>
      <c r="H250" s="15">
        <f t="shared" si="43"/>
        <v>591</v>
      </c>
      <c r="I250" s="16">
        <f t="shared" si="43"/>
        <v>0</v>
      </c>
    </row>
    <row r="251" spans="1:9" ht="12.75">
      <c r="A251" s="17"/>
      <c r="B251" s="17"/>
      <c r="C251" s="17"/>
      <c r="D251" s="17"/>
      <c r="E251" s="17"/>
      <c r="F251" s="134" t="s">
        <v>34</v>
      </c>
      <c r="G251" s="133"/>
      <c r="H251" s="18"/>
      <c r="I251" s="19"/>
    </row>
    <row r="253" spans="1:9">
      <c r="A253" s="1"/>
      <c r="B253" s="131" t="s">
        <v>43</v>
      </c>
      <c r="C253" s="132"/>
      <c r="D253" s="132"/>
      <c r="E253" s="132"/>
      <c r="F253" s="132"/>
      <c r="G253" s="132"/>
      <c r="H253" s="132"/>
      <c r="I253" s="133"/>
    </row>
    <row r="254" spans="1:9" ht="45">
      <c r="A254" s="2" t="s">
        <v>1</v>
      </c>
      <c r="B254" s="6" t="s">
        <v>2</v>
      </c>
      <c r="C254" s="4" t="s">
        <v>3</v>
      </c>
      <c r="D254" s="5" t="s">
        <v>4</v>
      </c>
      <c r="E254" s="2" t="s">
        <v>5</v>
      </c>
      <c r="F254" s="2" t="s">
        <v>6</v>
      </c>
      <c r="G254" s="2" t="s">
        <v>7</v>
      </c>
      <c r="H254" s="6" t="s">
        <v>8</v>
      </c>
      <c r="I254" s="7" t="s">
        <v>9</v>
      </c>
    </row>
    <row r="255" spans="1:9" ht="12.75">
      <c r="A255" s="8" t="s">
        <v>10</v>
      </c>
      <c r="B255" s="9">
        <f t="shared" ref="B255:B277" si="44">H227</f>
        <v>34</v>
      </c>
      <c r="C255" s="8"/>
      <c r="D255" s="8"/>
      <c r="E255" s="8"/>
      <c r="F255" s="8"/>
      <c r="G255" s="9">
        <f t="shared" ref="G255:G277" si="45">E255-F255</f>
        <v>0</v>
      </c>
      <c r="H255" s="9">
        <f t="shared" ref="H255:H277" si="46">B255-C255+D255-G255</f>
        <v>34</v>
      </c>
      <c r="I255" s="10">
        <f t="shared" ref="I255:I277" si="47">G255*6</f>
        <v>0</v>
      </c>
    </row>
    <row r="256" spans="1:9" ht="12.75">
      <c r="A256" s="8" t="s">
        <v>11</v>
      </c>
      <c r="B256" s="9">
        <f t="shared" si="44"/>
        <v>28</v>
      </c>
      <c r="C256" s="8"/>
      <c r="D256" s="8"/>
      <c r="E256" s="8"/>
      <c r="F256" s="8"/>
      <c r="G256" s="9">
        <f t="shared" si="45"/>
        <v>0</v>
      </c>
      <c r="H256" s="9">
        <f t="shared" si="46"/>
        <v>28</v>
      </c>
      <c r="I256" s="10">
        <f t="shared" si="47"/>
        <v>0</v>
      </c>
    </row>
    <row r="257" spans="1:9" ht="12.75">
      <c r="A257" s="8" t="s">
        <v>12</v>
      </c>
      <c r="B257" s="9">
        <f t="shared" si="44"/>
        <v>14</v>
      </c>
      <c r="C257" s="8"/>
      <c r="D257" s="8"/>
      <c r="E257" s="8"/>
      <c r="F257" s="8"/>
      <c r="G257" s="9">
        <f t="shared" si="45"/>
        <v>0</v>
      </c>
      <c r="H257" s="9">
        <f t="shared" si="46"/>
        <v>14</v>
      </c>
      <c r="I257" s="10">
        <f t="shared" si="47"/>
        <v>0</v>
      </c>
    </row>
    <row r="258" spans="1:9" ht="12.75">
      <c r="A258" s="8" t="s">
        <v>13</v>
      </c>
      <c r="B258" s="9">
        <f t="shared" si="44"/>
        <v>28</v>
      </c>
      <c r="C258" s="8"/>
      <c r="D258" s="8"/>
      <c r="E258" s="8"/>
      <c r="F258" s="8"/>
      <c r="G258" s="9">
        <f t="shared" si="45"/>
        <v>0</v>
      </c>
      <c r="H258" s="9">
        <f t="shared" si="46"/>
        <v>28</v>
      </c>
      <c r="I258" s="10">
        <f t="shared" si="47"/>
        <v>0</v>
      </c>
    </row>
    <row r="259" spans="1:9" ht="12.75">
      <c r="A259" s="8" t="s">
        <v>14</v>
      </c>
      <c r="B259" s="9">
        <f t="shared" si="44"/>
        <v>20</v>
      </c>
      <c r="C259" s="8"/>
      <c r="D259" s="8"/>
      <c r="E259" s="8"/>
      <c r="F259" s="8"/>
      <c r="G259" s="9">
        <f t="shared" si="45"/>
        <v>0</v>
      </c>
      <c r="H259" s="9">
        <f t="shared" si="46"/>
        <v>20</v>
      </c>
      <c r="I259" s="10">
        <f t="shared" si="47"/>
        <v>0</v>
      </c>
    </row>
    <row r="260" spans="1:9" ht="12.75">
      <c r="A260" s="8" t="s">
        <v>15</v>
      </c>
      <c r="B260" s="9">
        <f t="shared" si="44"/>
        <v>27</v>
      </c>
      <c r="C260" s="8"/>
      <c r="D260" s="8"/>
      <c r="E260" s="8"/>
      <c r="F260" s="8"/>
      <c r="G260" s="9">
        <f t="shared" si="45"/>
        <v>0</v>
      </c>
      <c r="H260" s="9">
        <f t="shared" si="46"/>
        <v>27</v>
      </c>
      <c r="I260" s="10">
        <f t="shared" si="47"/>
        <v>0</v>
      </c>
    </row>
    <row r="261" spans="1:9" ht="12.75">
      <c r="A261" s="8" t="s">
        <v>16</v>
      </c>
      <c r="B261" s="9">
        <f t="shared" si="44"/>
        <v>43</v>
      </c>
      <c r="C261" s="8"/>
      <c r="D261" s="8"/>
      <c r="E261" s="8"/>
      <c r="F261" s="8"/>
      <c r="G261" s="9">
        <f t="shared" si="45"/>
        <v>0</v>
      </c>
      <c r="H261" s="9">
        <f t="shared" si="46"/>
        <v>43</v>
      </c>
      <c r="I261" s="10">
        <f t="shared" si="47"/>
        <v>0</v>
      </c>
    </row>
    <row r="262" spans="1:9" ht="12.75">
      <c r="A262" s="8" t="s">
        <v>17</v>
      </c>
      <c r="B262" s="9">
        <f t="shared" si="44"/>
        <v>12</v>
      </c>
      <c r="C262" s="8"/>
      <c r="D262" s="8"/>
      <c r="E262" s="8"/>
      <c r="F262" s="8"/>
      <c r="G262" s="9">
        <f t="shared" si="45"/>
        <v>0</v>
      </c>
      <c r="H262" s="9">
        <f t="shared" si="46"/>
        <v>12</v>
      </c>
      <c r="I262" s="10">
        <f t="shared" si="47"/>
        <v>0</v>
      </c>
    </row>
    <row r="263" spans="1:9" ht="12.75">
      <c r="A263" s="8" t="s">
        <v>18</v>
      </c>
      <c r="B263" s="9">
        <f t="shared" si="44"/>
        <v>17</v>
      </c>
      <c r="C263" s="8"/>
      <c r="D263" s="8"/>
      <c r="E263" s="8"/>
      <c r="F263" s="8"/>
      <c r="G263" s="9">
        <f t="shared" si="45"/>
        <v>0</v>
      </c>
      <c r="H263" s="9">
        <f t="shared" si="46"/>
        <v>17</v>
      </c>
      <c r="I263" s="10">
        <f t="shared" si="47"/>
        <v>0</v>
      </c>
    </row>
    <row r="264" spans="1:9" ht="12.75">
      <c r="A264" s="8" t="s">
        <v>19</v>
      </c>
      <c r="B264" s="9">
        <f t="shared" si="44"/>
        <v>20</v>
      </c>
      <c r="C264" s="8"/>
      <c r="D264" s="8"/>
      <c r="E264" s="8"/>
      <c r="F264" s="8"/>
      <c r="G264" s="9">
        <f t="shared" si="45"/>
        <v>0</v>
      </c>
      <c r="H264" s="9">
        <f t="shared" si="46"/>
        <v>20</v>
      </c>
      <c r="I264" s="10">
        <f t="shared" si="47"/>
        <v>0</v>
      </c>
    </row>
    <row r="265" spans="1:9" ht="12.75">
      <c r="A265" s="8" t="s">
        <v>20</v>
      </c>
      <c r="B265" s="9">
        <f t="shared" si="44"/>
        <v>33</v>
      </c>
      <c r="C265" s="8"/>
      <c r="D265" s="8"/>
      <c r="E265" s="8"/>
      <c r="F265" s="8"/>
      <c r="G265" s="9">
        <f t="shared" si="45"/>
        <v>0</v>
      </c>
      <c r="H265" s="9">
        <f t="shared" si="46"/>
        <v>33</v>
      </c>
      <c r="I265" s="10">
        <f t="shared" si="47"/>
        <v>0</v>
      </c>
    </row>
    <row r="266" spans="1:9" ht="12.75">
      <c r="A266" s="8" t="s">
        <v>21</v>
      </c>
      <c r="B266" s="9">
        <f t="shared" si="44"/>
        <v>6</v>
      </c>
      <c r="C266" s="8"/>
      <c r="D266" s="8"/>
      <c r="E266" s="8"/>
      <c r="F266" s="8"/>
      <c r="G266" s="9">
        <f t="shared" si="45"/>
        <v>0</v>
      </c>
      <c r="H266" s="9">
        <f t="shared" si="46"/>
        <v>6</v>
      </c>
      <c r="I266" s="10">
        <f t="shared" si="47"/>
        <v>0</v>
      </c>
    </row>
    <row r="267" spans="1:9" ht="12.75">
      <c r="A267" s="8" t="s">
        <v>22</v>
      </c>
      <c r="B267" s="9">
        <f t="shared" si="44"/>
        <v>31</v>
      </c>
      <c r="C267" s="8"/>
      <c r="D267" s="8"/>
      <c r="E267" s="8"/>
      <c r="F267" s="8"/>
      <c r="G267" s="9">
        <f t="shared" si="45"/>
        <v>0</v>
      </c>
      <c r="H267" s="9">
        <f t="shared" si="46"/>
        <v>31</v>
      </c>
      <c r="I267" s="10">
        <f t="shared" si="47"/>
        <v>0</v>
      </c>
    </row>
    <row r="268" spans="1:9" ht="12.75">
      <c r="A268" s="8" t="s">
        <v>23</v>
      </c>
      <c r="B268" s="9">
        <f t="shared" si="44"/>
        <v>30</v>
      </c>
      <c r="C268" s="8"/>
      <c r="D268" s="8"/>
      <c r="E268" s="8"/>
      <c r="F268" s="8"/>
      <c r="G268" s="9">
        <f t="shared" si="45"/>
        <v>0</v>
      </c>
      <c r="H268" s="9">
        <f t="shared" si="46"/>
        <v>30</v>
      </c>
      <c r="I268" s="10">
        <f t="shared" si="47"/>
        <v>0</v>
      </c>
    </row>
    <row r="269" spans="1:9" ht="12.75">
      <c r="A269" s="8" t="s">
        <v>24</v>
      </c>
      <c r="B269" s="9">
        <f t="shared" si="44"/>
        <v>24</v>
      </c>
      <c r="C269" s="8"/>
      <c r="D269" s="8"/>
      <c r="E269" s="8"/>
      <c r="F269" s="8"/>
      <c r="G269" s="9">
        <f t="shared" si="45"/>
        <v>0</v>
      </c>
      <c r="H269" s="9">
        <f t="shared" si="46"/>
        <v>24</v>
      </c>
      <c r="I269" s="10">
        <f t="shared" si="47"/>
        <v>0</v>
      </c>
    </row>
    <row r="270" spans="1:9" ht="12.75">
      <c r="A270" s="8" t="s">
        <v>25</v>
      </c>
      <c r="B270" s="9">
        <f t="shared" si="44"/>
        <v>17</v>
      </c>
      <c r="C270" s="8"/>
      <c r="D270" s="8"/>
      <c r="E270" s="8"/>
      <c r="F270" s="8"/>
      <c r="G270" s="9">
        <f t="shared" si="45"/>
        <v>0</v>
      </c>
      <c r="H270" s="9">
        <f t="shared" si="46"/>
        <v>17</v>
      </c>
      <c r="I270" s="10">
        <f t="shared" si="47"/>
        <v>0</v>
      </c>
    </row>
    <row r="271" spans="1:9" ht="12.75">
      <c r="A271" s="8" t="s">
        <v>26</v>
      </c>
      <c r="B271" s="9">
        <f t="shared" si="44"/>
        <v>14</v>
      </c>
      <c r="C271" s="8"/>
      <c r="D271" s="8"/>
      <c r="E271" s="8"/>
      <c r="F271" s="8"/>
      <c r="G271" s="9">
        <f t="shared" si="45"/>
        <v>0</v>
      </c>
      <c r="H271" s="9">
        <f t="shared" si="46"/>
        <v>14</v>
      </c>
      <c r="I271" s="10">
        <f t="shared" si="47"/>
        <v>0</v>
      </c>
    </row>
    <row r="272" spans="1:9" ht="12.75">
      <c r="A272" s="8" t="s">
        <v>27</v>
      </c>
      <c r="B272" s="9">
        <f t="shared" si="44"/>
        <v>16</v>
      </c>
      <c r="C272" s="8"/>
      <c r="D272" s="8"/>
      <c r="E272" s="8"/>
      <c r="F272" s="8"/>
      <c r="G272" s="9">
        <f t="shared" si="45"/>
        <v>0</v>
      </c>
      <c r="H272" s="9">
        <f t="shared" si="46"/>
        <v>16</v>
      </c>
      <c r="I272" s="10">
        <f t="shared" si="47"/>
        <v>0</v>
      </c>
    </row>
    <row r="273" spans="1:9" ht="12.75">
      <c r="A273" s="8" t="s">
        <v>28</v>
      </c>
      <c r="B273" s="9">
        <f t="shared" si="44"/>
        <v>17</v>
      </c>
      <c r="C273" s="8"/>
      <c r="D273" s="8"/>
      <c r="E273" s="8"/>
      <c r="F273" s="8"/>
      <c r="G273" s="9">
        <f t="shared" si="45"/>
        <v>0</v>
      </c>
      <c r="H273" s="9">
        <f t="shared" si="46"/>
        <v>17</v>
      </c>
      <c r="I273" s="10">
        <f t="shared" si="47"/>
        <v>0</v>
      </c>
    </row>
    <row r="274" spans="1:9" ht="12.75">
      <c r="A274" s="8" t="s">
        <v>29</v>
      </c>
      <c r="B274" s="9">
        <f t="shared" si="44"/>
        <v>129</v>
      </c>
      <c r="C274" s="8"/>
      <c r="D274" s="8"/>
      <c r="E274" s="8"/>
      <c r="F274" s="8"/>
      <c r="G274" s="9">
        <f t="shared" si="45"/>
        <v>0</v>
      </c>
      <c r="H274" s="9">
        <f t="shared" si="46"/>
        <v>129</v>
      </c>
      <c r="I274" s="10">
        <f t="shared" si="47"/>
        <v>0</v>
      </c>
    </row>
    <row r="275" spans="1:9" ht="12.75">
      <c r="A275" s="8" t="s">
        <v>30</v>
      </c>
      <c r="B275" s="9">
        <f t="shared" si="44"/>
        <v>5</v>
      </c>
      <c r="C275" s="8"/>
      <c r="D275" s="8"/>
      <c r="E275" s="8"/>
      <c r="F275" s="8"/>
      <c r="G275" s="9">
        <f t="shared" si="45"/>
        <v>0</v>
      </c>
      <c r="H275" s="9">
        <f t="shared" si="46"/>
        <v>5</v>
      </c>
      <c r="I275" s="10">
        <f t="shared" si="47"/>
        <v>0</v>
      </c>
    </row>
    <row r="276" spans="1:9" ht="12.75">
      <c r="A276" s="13" t="s">
        <v>31</v>
      </c>
      <c r="B276" s="9">
        <f t="shared" si="44"/>
        <v>10</v>
      </c>
      <c r="C276" s="8"/>
      <c r="D276" s="8"/>
      <c r="E276" s="8"/>
      <c r="F276" s="8"/>
      <c r="G276" s="9">
        <f t="shared" si="45"/>
        <v>0</v>
      </c>
      <c r="H276" s="9">
        <f t="shared" si="46"/>
        <v>10</v>
      </c>
      <c r="I276" s="10">
        <f t="shared" si="47"/>
        <v>0</v>
      </c>
    </row>
    <row r="277" spans="1:9" ht="12.75">
      <c r="A277" s="13" t="s">
        <v>32</v>
      </c>
      <c r="B277" s="9">
        <f t="shared" si="44"/>
        <v>16</v>
      </c>
      <c r="C277" s="8"/>
      <c r="D277" s="8"/>
      <c r="E277" s="8"/>
      <c r="F277" s="8"/>
      <c r="G277" s="9">
        <f t="shared" si="45"/>
        <v>0</v>
      </c>
      <c r="H277" s="9">
        <f t="shared" si="46"/>
        <v>16</v>
      </c>
      <c r="I277" s="10">
        <f t="shared" si="47"/>
        <v>0</v>
      </c>
    </row>
    <row r="278" spans="1:9" ht="12.75">
      <c r="A278" s="14" t="s">
        <v>33</v>
      </c>
      <c r="B278" s="15">
        <f t="shared" ref="B278:I278" si="48">SUM(B255:B277)</f>
        <v>591</v>
      </c>
      <c r="C278" s="15">
        <f t="shared" si="48"/>
        <v>0</v>
      </c>
      <c r="D278" s="15">
        <f t="shared" si="48"/>
        <v>0</v>
      </c>
      <c r="E278" s="15">
        <f t="shared" si="48"/>
        <v>0</v>
      </c>
      <c r="F278" s="15">
        <f t="shared" si="48"/>
        <v>0</v>
      </c>
      <c r="G278" s="15">
        <f t="shared" si="48"/>
        <v>0</v>
      </c>
      <c r="H278" s="15">
        <f t="shared" si="48"/>
        <v>591</v>
      </c>
      <c r="I278" s="16">
        <f t="shared" si="48"/>
        <v>0</v>
      </c>
    </row>
    <row r="279" spans="1:9" ht="12.75">
      <c r="A279" s="17"/>
      <c r="B279" s="17"/>
      <c r="C279" s="17"/>
      <c r="D279" s="17"/>
      <c r="E279" s="17"/>
      <c r="F279" s="134" t="s">
        <v>34</v>
      </c>
      <c r="G279" s="133"/>
      <c r="H279" s="18"/>
      <c r="I279" s="19"/>
    </row>
  </sheetData>
  <mergeCells count="20">
    <mergeCell ref="F251:G251"/>
    <mergeCell ref="B253:I253"/>
    <mergeCell ref="F279:G279"/>
    <mergeCell ref="F111:G111"/>
    <mergeCell ref="B113:I113"/>
    <mergeCell ref="F139:G139"/>
    <mergeCell ref="B141:I141"/>
    <mergeCell ref="F167:G167"/>
    <mergeCell ref="B169:I169"/>
    <mergeCell ref="B197:I197"/>
    <mergeCell ref="F83:G83"/>
    <mergeCell ref="B85:I85"/>
    <mergeCell ref="F195:G195"/>
    <mergeCell ref="F223:G223"/>
    <mergeCell ref="B225:I225"/>
    <mergeCell ref="B1:I1"/>
    <mergeCell ref="F27:G27"/>
    <mergeCell ref="B29:I29"/>
    <mergeCell ref="F55:G55"/>
    <mergeCell ref="B57:I5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514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17.28515625" customWidth="1"/>
  </cols>
  <sheetData>
    <row r="1" spans="1:9" ht="15.75" customHeight="1">
      <c r="A1" s="1"/>
      <c r="B1" s="131" t="s">
        <v>44</v>
      </c>
      <c r="C1" s="132"/>
      <c r="D1" s="132"/>
      <c r="E1" s="132"/>
      <c r="F1" s="132"/>
      <c r="G1" s="132"/>
      <c r="H1" s="132"/>
      <c r="I1" s="133"/>
    </row>
    <row r="2" spans="1:9" ht="15.75" customHeight="1">
      <c r="A2" s="2" t="s">
        <v>1</v>
      </c>
      <c r="B2" s="6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6" t="s">
        <v>8</v>
      </c>
      <c r="I2" s="7" t="s">
        <v>9</v>
      </c>
    </row>
    <row r="3" spans="1:9">
      <c r="A3" s="8" t="s">
        <v>10</v>
      </c>
      <c r="B3" s="9">
        <f>MARÇO26!H576</f>
        <v>36</v>
      </c>
      <c r="C3" s="8">
        <v>1</v>
      </c>
      <c r="D3" s="8"/>
      <c r="E3" s="8">
        <v>6</v>
      </c>
      <c r="F3" s="8">
        <v>0</v>
      </c>
      <c r="G3" s="9">
        <f t="shared" ref="G3:G25" si="0">E3-F3</f>
        <v>6</v>
      </c>
      <c r="H3" s="9">
        <f t="shared" ref="H3:H25" si="1">B3-C3+D3-G3</f>
        <v>29</v>
      </c>
      <c r="I3" s="10">
        <f t="shared" ref="I3:I25" si="2">G3*6</f>
        <v>36</v>
      </c>
    </row>
    <row r="4" spans="1:9">
      <c r="A4" s="8" t="s">
        <v>11</v>
      </c>
      <c r="B4" s="9">
        <f>MARÇO26!H577</f>
        <v>27</v>
      </c>
      <c r="C4" s="11">
        <v>2</v>
      </c>
      <c r="D4" s="8"/>
      <c r="E4" s="8">
        <v>4</v>
      </c>
      <c r="F4" s="8">
        <v>1</v>
      </c>
      <c r="G4" s="9">
        <f t="shared" si="0"/>
        <v>3</v>
      </c>
      <c r="H4" s="9">
        <f t="shared" si="1"/>
        <v>22</v>
      </c>
      <c r="I4" s="10">
        <f t="shared" si="2"/>
        <v>18</v>
      </c>
    </row>
    <row r="5" spans="1:9">
      <c r="A5" s="8" t="s">
        <v>12</v>
      </c>
      <c r="B5" s="9">
        <f>MARÇO26!H578</f>
        <v>26</v>
      </c>
      <c r="C5" s="8"/>
      <c r="D5" s="8"/>
      <c r="E5" s="8">
        <v>6</v>
      </c>
      <c r="F5" s="8">
        <v>2</v>
      </c>
      <c r="G5" s="9">
        <f t="shared" si="0"/>
        <v>4</v>
      </c>
      <c r="H5" s="9">
        <f t="shared" si="1"/>
        <v>22</v>
      </c>
      <c r="I5" s="10">
        <f t="shared" si="2"/>
        <v>24</v>
      </c>
    </row>
    <row r="6" spans="1:9">
      <c r="A6" s="8" t="s">
        <v>13</v>
      </c>
      <c r="B6" s="9">
        <f>MARÇO26!H579</f>
        <v>33</v>
      </c>
      <c r="C6" s="8">
        <v>1</v>
      </c>
      <c r="D6" s="8"/>
      <c r="E6" s="8">
        <v>8</v>
      </c>
      <c r="F6" s="8">
        <v>2</v>
      </c>
      <c r="G6" s="9">
        <f t="shared" si="0"/>
        <v>6</v>
      </c>
      <c r="H6" s="9">
        <f t="shared" si="1"/>
        <v>26</v>
      </c>
      <c r="I6" s="10">
        <f t="shared" si="2"/>
        <v>36</v>
      </c>
    </row>
    <row r="7" spans="1:9">
      <c r="A7" s="8" t="s">
        <v>14</v>
      </c>
      <c r="B7" s="9">
        <f>MARÇO26!H580</f>
        <v>23</v>
      </c>
      <c r="C7" s="8">
        <v>1</v>
      </c>
      <c r="D7" s="8"/>
      <c r="E7" s="8">
        <v>4</v>
      </c>
      <c r="F7" s="8">
        <v>0</v>
      </c>
      <c r="G7" s="9">
        <f t="shared" si="0"/>
        <v>4</v>
      </c>
      <c r="H7" s="9">
        <f t="shared" si="1"/>
        <v>18</v>
      </c>
      <c r="I7" s="10">
        <f t="shared" si="2"/>
        <v>24</v>
      </c>
    </row>
    <row r="8" spans="1:9">
      <c r="A8" s="8" t="s">
        <v>15</v>
      </c>
      <c r="B8" s="9">
        <f>MARÇO26!H581</f>
        <v>13</v>
      </c>
      <c r="C8" s="8"/>
      <c r="D8" s="8"/>
      <c r="E8" s="8">
        <v>8</v>
      </c>
      <c r="F8" s="8">
        <v>2</v>
      </c>
      <c r="G8" s="9">
        <f t="shared" si="0"/>
        <v>6</v>
      </c>
      <c r="H8" s="9">
        <f t="shared" si="1"/>
        <v>7</v>
      </c>
      <c r="I8" s="10">
        <f t="shared" si="2"/>
        <v>36</v>
      </c>
    </row>
    <row r="9" spans="1:9">
      <c r="A9" s="8" t="s">
        <v>16</v>
      </c>
      <c r="B9" s="9">
        <f>MARÇO26!H582</f>
        <v>18</v>
      </c>
      <c r="C9" s="8"/>
      <c r="D9" s="8"/>
      <c r="E9" s="8">
        <v>4</v>
      </c>
      <c r="F9" s="8">
        <v>2</v>
      </c>
      <c r="G9" s="9">
        <f t="shared" si="0"/>
        <v>2</v>
      </c>
      <c r="H9" s="9">
        <f t="shared" si="1"/>
        <v>16</v>
      </c>
      <c r="I9" s="10">
        <f t="shared" si="2"/>
        <v>12</v>
      </c>
    </row>
    <row r="10" spans="1:9">
      <c r="A10" s="8" t="s">
        <v>17</v>
      </c>
      <c r="B10" s="9">
        <f>MARÇO26!H583</f>
        <v>10</v>
      </c>
      <c r="C10" s="8"/>
      <c r="D10" s="8"/>
      <c r="E10" s="8">
        <v>4</v>
      </c>
      <c r="F10" s="8">
        <v>3</v>
      </c>
      <c r="G10" s="9">
        <f t="shared" si="0"/>
        <v>1</v>
      </c>
      <c r="H10" s="9">
        <f t="shared" si="1"/>
        <v>9</v>
      </c>
      <c r="I10" s="10">
        <f t="shared" si="2"/>
        <v>6</v>
      </c>
    </row>
    <row r="11" spans="1:9">
      <c r="A11" s="8" t="s">
        <v>18</v>
      </c>
      <c r="B11" s="9">
        <f>MARÇO26!H584</f>
        <v>27</v>
      </c>
      <c r="C11" s="8"/>
      <c r="D11" s="8"/>
      <c r="E11" s="8">
        <v>6</v>
      </c>
      <c r="F11" s="8">
        <v>2</v>
      </c>
      <c r="G11" s="9">
        <f t="shared" si="0"/>
        <v>4</v>
      </c>
      <c r="H11" s="9">
        <f t="shared" si="1"/>
        <v>23</v>
      </c>
      <c r="I11" s="10">
        <f t="shared" si="2"/>
        <v>24</v>
      </c>
    </row>
    <row r="12" spans="1:9">
      <c r="A12" s="8" t="s">
        <v>19</v>
      </c>
      <c r="B12" s="9">
        <f>MARÇO26!H585</f>
        <v>28</v>
      </c>
      <c r="C12" s="8"/>
      <c r="D12" s="8"/>
      <c r="E12" s="8">
        <v>6</v>
      </c>
      <c r="F12" s="8">
        <v>6</v>
      </c>
      <c r="G12" s="9">
        <f t="shared" si="0"/>
        <v>0</v>
      </c>
      <c r="H12" s="9">
        <f t="shared" si="1"/>
        <v>28</v>
      </c>
      <c r="I12" s="10">
        <f t="shared" si="2"/>
        <v>0</v>
      </c>
    </row>
    <row r="13" spans="1:9">
      <c r="A13" s="8" t="s">
        <v>20</v>
      </c>
      <c r="B13" s="9">
        <f>MARÇO26!H586</f>
        <v>13</v>
      </c>
      <c r="C13" s="8"/>
      <c r="D13" s="8"/>
      <c r="E13" s="8">
        <v>8</v>
      </c>
      <c r="F13" s="8">
        <v>4</v>
      </c>
      <c r="G13" s="9">
        <f t="shared" si="0"/>
        <v>4</v>
      </c>
      <c r="H13" s="9">
        <f t="shared" si="1"/>
        <v>9</v>
      </c>
      <c r="I13" s="10">
        <f t="shared" si="2"/>
        <v>24</v>
      </c>
    </row>
    <row r="14" spans="1:9">
      <c r="A14" s="8" t="s">
        <v>21</v>
      </c>
      <c r="B14" s="9">
        <f>MARÇO26!H587</f>
        <v>5</v>
      </c>
      <c r="C14" s="8"/>
      <c r="D14" s="8"/>
      <c r="E14" s="8">
        <v>3</v>
      </c>
      <c r="F14" s="8">
        <v>0</v>
      </c>
      <c r="G14" s="9">
        <f t="shared" si="0"/>
        <v>3</v>
      </c>
      <c r="H14" s="9">
        <f t="shared" si="1"/>
        <v>2</v>
      </c>
      <c r="I14" s="10">
        <f t="shared" si="2"/>
        <v>18</v>
      </c>
    </row>
    <row r="15" spans="1:9">
      <c r="A15" s="8" t="s">
        <v>22</v>
      </c>
      <c r="B15" s="9">
        <f>MARÇO26!H588</f>
        <v>7</v>
      </c>
      <c r="C15" s="8"/>
      <c r="D15" s="8">
        <v>24</v>
      </c>
      <c r="E15" s="8">
        <v>2</v>
      </c>
      <c r="F15" s="8">
        <v>0</v>
      </c>
      <c r="G15" s="9">
        <f t="shared" si="0"/>
        <v>2</v>
      </c>
      <c r="H15" s="9">
        <f t="shared" si="1"/>
        <v>29</v>
      </c>
      <c r="I15" s="10">
        <f t="shared" si="2"/>
        <v>12</v>
      </c>
    </row>
    <row r="16" spans="1:9">
      <c r="A16" s="8" t="s">
        <v>23</v>
      </c>
      <c r="B16" s="9">
        <f>MARÇO26!H589</f>
        <v>36</v>
      </c>
      <c r="C16" s="11">
        <v>1</v>
      </c>
      <c r="D16" s="8"/>
      <c r="E16" s="8">
        <v>12</v>
      </c>
      <c r="F16" s="8">
        <v>1</v>
      </c>
      <c r="G16" s="9">
        <f t="shared" si="0"/>
        <v>11</v>
      </c>
      <c r="H16" s="9">
        <f t="shared" si="1"/>
        <v>24</v>
      </c>
      <c r="I16" s="10">
        <f t="shared" si="2"/>
        <v>66</v>
      </c>
    </row>
    <row r="17" spans="1:9">
      <c r="A17" s="8" t="s">
        <v>24</v>
      </c>
      <c r="B17" s="9">
        <f>MARÇO26!H590</f>
        <v>16</v>
      </c>
      <c r="C17" s="8"/>
      <c r="D17" s="8"/>
      <c r="E17" s="8">
        <v>4</v>
      </c>
      <c r="F17" s="8">
        <v>2</v>
      </c>
      <c r="G17" s="9">
        <f t="shared" si="0"/>
        <v>2</v>
      </c>
      <c r="H17" s="9">
        <f t="shared" si="1"/>
        <v>14</v>
      </c>
      <c r="I17" s="10">
        <f t="shared" si="2"/>
        <v>12</v>
      </c>
    </row>
    <row r="18" spans="1:9">
      <c r="A18" s="8" t="s">
        <v>25</v>
      </c>
      <c r="B18" s="9">
        <f>MARÇO26!H591</f>
        <v>33</v>
      </c>
      <c r="C18" s="8">
        <v>1</v>
      </c>
      <c r="D18" s="8"/>
      <c r="E18" s="8">
        <v>18</v>
      </c>
      <c r="F18" s="8">
        <v>3</v>
      </c>
      <c r="G18" s="9">
        <f t="shared" si="0"/>
        <v>15</v>
      </c>
      <c r="H18" s="9">
        <f t="shared" si="1"/>
        <v>17</v>
      </c>
      <c r="I18" s="10">
        <f t="shared" si="2"/>
        <v>90</v>
      </c>
    </row>
    <row r="19" spans="1:9">
      <c r="A19" s="8" t="s">
        <v>26</v>
      </c>
      <c r="B19" s="9">
        <f>MARÇO26!H592</f>
        <v>15</v>
      </c>
      <c r="C19" s="8">
        <v>1</v>
      </c>
      <c r="D19" s="8"/>
      <c r="E19" s="8">
        <v>6</v>
      </c>
      <c r="F19" s="8">
        <v>5</v>
      </c>
      <c r="G19" s="9">
        <f t="shared" si="0"/>
        <v>1</v>
      </c>
      <c r="H19" s="9">
        <f t="shared" si="1"/>
        <v>13</v>
      </c>
      <c r="I19" s="10">
        <f t="shared" si="2"/>
        <v>6</v>
      </c>
    </row>
    <row r="20" spans="1:9">
      <c r="A20" s="8" t="s">
        <v>27</v>
      </c>
      <c r="B20" s="9">
        <f>MARÇO26!H593</f>
        <v>17</v>
      </c>
      <c r="C20" s="8"/>
      <c r="D20" s="8"/>
      <c r="E20" s="8">
        <v>5</v>
      </c>
      <c r="F20" s="8">
        <v>1</v>
      </c>
      <c r="G20" s="9">
        <f t="shared" si="0"/>
        <v>4</v>
      </c>
      <c r="H20" s="9">
        <f t="shared" si="1"/>
        <v>13</v>
      </c>
      <c r="I20" s="10">
        <f t="shared" si="2"/>
        <v>24</v>
      </c>
    </row>
    <row r="21" spans="1:9">
      <c r="A21" s="8" t="s">
        <v>28</v>
      </c>
      <c r="B21" s="9">
        <f>MARÇO26!H594</f>
        <v>44</v>
      </c>
      <c r="C21" s="8">
        <v>4</v>
      </c>
      <c r="D21" s="8"/>
      <c r="E21" s="8">
        <v>8</v>
      </c>
      <c r="F21" s="8">
        <v>4</v>
      </c>
      <c r="G21" s="9">
        <f t="shared" si="0"/>
        <v>4</v>
      </c>
      <c r="H21" s="9">
        <f t="shared" si="1"/>
        <v>36</v>
      </c>
      <c r="I21" s="10">
        <f t="shared" si="2"/>
        <v>24</v>
      </c>
    </row>
    <row r="22" spans="1:9">
      <c r="A22" s="8" t="s">
        <v>29</v>
      </c>
      <c r="B22" s="9">
        <f>MARÇO26!H595</f>
        <v>48</v>
      </c>
      <c r="C22" s="8">
        <v>3</v>
      </c>
      <c r="D22" s="8">
        <v>34</v>
      </c>
      <c r="E22" s="8">
        <v>52</v>
      </c>
      <c r="F22" s="8">
        <v>11</v>
      </c>
      <c r="G22" s="9">
        <f t="shared" si="0"/>
        <v>41</v>
      </c>
      <c r="H22" s="9">
        <f t="shared" si="1"/>
        <v>38</v>
      </c>
      <c r="I22" s="10">
        <f t="shared" si="2"/>
        <v>246</v>
      </c>
    </row>
    <row r="23" spans="1:9" ht="12.75">
      <c r="A23" s="8" t="s">
        <v>30</v>
      </c>
      <c r="B23" s="9">
        <f>MARÇO26!H596</f>
        <v>14</v>
      </c>
      <c r="C23" s="8">
        <v>1</v>
      </c>
      <c r="D23" s="8"/>
      <c r="E23" s="8">
        <v>3</v>
      </c>
      <c r="F23" s="8">
        <v>2</v>
      </c>
      <c r="G23" s="9">
        <f t="shared" si="0"/>
        <v>1</v>
      </c>
      <c r="H23" s="9">
        <f t="shared" si="1"/>
        <v>12</v>
      </c>
      <c r="I23" s="10">
        <f t="shared" si="2"/>
        <v>6</v>
      </c>
    </row>
    <row r="24" spans="1:9" ht="12.75">
      <c r="A24" s="13" t="s">
        <v>31</v>
      </c>
      <c r="B24" s="9">
        <f>MARÇO26!H597</f>
        <v>20</v>
      </c>
      <c r="C24" s="8"/>
      <c r="D24" s="8"/>
      <c r="E24" s="8">
        <v>5</v>
      </c>
      <c r="F24" s="8">
        <v>3</v>
      </c>
      <c r="G24" s="9">
        <f t="shared" si="0"/>
        <v>2</v>
      </c>
      <c r="H24" s="9">
        <f t="shared" si="1"/>
        <v>18</v>
      </c>
      <c r="I24" s="10">
        <f t="shared" si="2"/>
        <v>12</v>
      </c>
    </row>
    <row r="25" spans="1:9" ht="12.75">
      <c r="A25" s="13" t="s">
        <v>32</v>
      </c>
      <c r="B25" s="9">
        <f>MARÇO26!H598</f>
        <v>19</v>
      </c>
      <c r="C25" s="8"/>
      <c r="D25" s="8"/>
      <c r="E25" s="8">
        <v>3</v>
      </c>
      <c r="F25" s="8">
        <v>3</v>
      </c>
      <c r="G25" s="9">
        <f t="shared" si="0"/>
        <v>0</v>
      </c>
      <c r="H25" s="9">
        <f t="shared" si="1"/>
        <v>19</v>
      </c>
      <c r="I25" s="10">
        <f t="shared" si="2"/>
        <v>0</v>
      </c>
    </row>
    <row r="26" spans="1:9" ht="12.75">
      <c r="A26" s="14" t="s">
        <v>33</v>
      </c>
      <c r="B26" s="15">
        <f>SUM(B3:B25)</f>
        <v>528</v>
      </c>
      <c r="C26" s="14"/>
      <c r="D26" s="14"/>
      <c r="E26" s="15">
        <f t="shared" ref="E26:G26" si="3">SUM(E2:E25)</f>
        <v>185</v>
      </c>
      <c r="F26" s="15">
        <f t="shared" si="3"/>
        <v>59</v>
      </c>
      <c r="G26" s="15">
        <f t="shared" si="3"/>
        <v>126</v>
      </c>
      <c r="H26" s="15">
        <f>SUM(H3:H25)</f>
        <v>444</v>
      </c>
      <c r="I26" s="16">
        <f>SUM(I2:I25)</f>
        <v>756</v>
      </c>
    </row>
    <row r="27" spans="1:9" ht="12.75">
      <c r="A27" s="17"/>
      <c r="B27" s="17"/>
      <c r="C27" s="17"/>
      <c r="D27" s="17"/>
      <c r="E27" s="17"/>
      <c r="F27" s="134" t="s">
        <v>34</v>
      </c>
      <c r="G27" s="133"/>
      <c r="H27" s="18"/>
      <c r="I27" s="19"/>
    </row>
    <row r="29" spans="1:9">
      <c r="A29" s="1"/>
      <c r="B29" s="131" t="s">
        <v>45</v>
      </c>
      <c r="C29" s="132"/>
      <c r="D29" s="132"/>
      <c r="E29" s="132"/>
      <c r="F29" s="132"/>
      <c r="G29" s="132"/>
      <c r="H29" s="132"/>
      <c r="I29" s="133"/>
    </row>
    <row r="30" spans="1:9" ht="45">
      <c r="A30" s="2" t="s">
        <v>1</v>
      </c>
      <c r="B30" s="6" t="s">
        <v>2</v>
      </c>
      <c r="C30" s="4" t="s">
        <v>3</v>
      </c>
      <c r="D30" s="5" t="s">
        <v>4</v>
      </c>
      <c r="E30" s="2" t="s">
        <v>5</v>
      </c>
      <c r="F30" s="2" t="s">
        <v>6</v>
      </c>
      <c r="G30" s="2" t="s">
        <v>7</v>
      </c>
      <c r="H30" s="6" t="s">
        <v>8</v>
      </c>
      <c r="I30" s="7" t="s">
        <v>9</v>
      </c>
    </row>
    <row r="31" spans="1:9" ht="12.75">
      <c r="A31" s="8" t="s">
        <v>10</v>
      </c>
      <c r="B31" s="9">
        <f t="shared" ref="B31:B53" si="4">H3</f>
        <v>29</v>
      </c>
      <c r="C31" s="8"/>
      <c r="D31" s="8"/>
      <c r="E31" s="8">
        <v>6</v>
      </c>
      <c r="F31" s="8">
        <v>0</v>
      </c>
      <c r="G31" s="9">
        <f t="shared" ref="G31:G53" si="5">E31-F31</f>
        <v>6</v>
      </c>
      <c r="H31" s="9">
        <f t="shared" ref="H31:H53" si="6">B31-C31+D31-G31</f>
        <v>23</v>
      </c>
      <c r="I31" s="10">
        <f t="shared" ref="I31:I53" si="7">G31*6</f>
        <v>36</v>
      </c>
    </row>
    <row r="32" spans="1:9" ht="12.75">
      <c r="A32" s="8" t="s">
        <v>11</v>
      </c>
      <c r="B32" s="9">
        <f t="shared" si="4"/>
        <v>22</v>
      </c>
      <c r="C32" s="11"/>
      <c r="D32" s="8"/>
      <c r="E32" s="8">
        <v>3</v>
      </c>
      <c r="F32" s="8">
        <v>2</v>
      </c>
      <c r="G32" s="9">
        <f t="shared" si="5"/>
        <v>1</v>
      </c>
      <c r="H32" s="9">
        <f t="shared" si="6"/>
        <v>21</v>
      </c>
      <c r="I32" s="10">
        <f t="shared" si="7"/>
        <v>6</v>
      </c>
    </row>
    <row r="33" spans="1:9" ht="12.75">
      <c r="A33" s="8" t="s">
        <v>12</v>
      </c>
      <c r="B33" s="9">
        <f t="shared" si="4"/>
        <v>22</v>
      </c>
      <c r="C33" s="8"/>
      <c r="D33" s="8"/>
      <c r="E33" s="8">
        <v>5</v>
      </c>
      <c r="F33" s="8">
        <v>4</v>
      </c>
      <c r="G33" s="9">
        <f t="shared" si="5"/>
        <v>1</v>
      </c>
      <c r="H33" s="9">
        <f t="shared" si="6"/>
        <v>21</v>
      </c>
      <c r="I33" s="10">
        <f t="shared" si="7"/>
        <v>6</v>
      </c>
    </row>
    <row r="34" spans="1:9" ht="12.75">
      <c r="A34" s="8" t="s">
        <v>13</v>
      </c>
      <c r="B34" s="9">
        <f t="shared" si="4"/>
        <v>26</v>
      </c>
      <c r="C34" s="8"/>
      <c r="D34" s="8"/>
      <c r="E34" s="8">
        <v>6</v>
      </c>
      <c r="F34" s="8">
        <v>5</v>
      </c>
      <c r="G34" s="9">
        <f t="shared" si="5"/>
        <v>1</v>
      </c>
      <c r="H34" s="9">
        <f t="shared" si="6"/>
        <v>25</v>
      </c>
      <c r="I34" s="10">
        <f t="shared" si="7"/>
        <v>6</v>
      </c>
    </row>
    <row r="35" spans="1:9" ht="12.75">
      <c r="A35" s="8" t="s">
        <v>14</v>
      </c>
      <c r="B35" s="9">
        <f t="shared" si="4"/>
        <v>18</v>
      </c>
      <c r="C35" s="8"/>
      <c r="D35" s="8"/>
      <c r="E35" s="8">
        <v>4</v>
      </c>
      <c r="F35" s="8">
        <v>0</v>
      </c>
      <c r="G35" s="9">
        <f t="shared" si="5"/>
        <v>4</v>
      </c>
      <c r="H35" s="9">
        <f t="shared" si="6"/>
        <v>14</v>
      </c>
      <c r="I35" s="10">
        <f t="shared" si="7"/>
        <v>24</v>
      </c>
    </row>
    <row r="36" spans="1:9" ht="12.75">
      <c r="A36" s="8" t="s">
        <v>15</v>
      </c>
      <c r="B36" s="9">
        <f t="shared" si="4"/>
        <v>7</v>
      </c>
      <c r="C36" s="8"/>
      <c r="D36" s="8"/>
      <c r="E36" s="8">
        <v>5</v>
      </c>
      <c r="F36" s="8">
        <v>4</v>
      </c>
      <c r="G36" s="9">
        <f t="shared" si="5"/>
        <v>1</v>
      </c>
      <c r="H36" s="9">
        <f t="shared" si="6"/>
        <v>6</v>
      </c>
      <c r="I36" s="10">
        <f t="shared" si="7"/>
        <v>6</v>
      </c>
    </row>
    <row r="37" spans="1:9" ht="12.75">
      <c r="A37" s="8" t="s">
        <v>16</v>
      </c>
      <c r="B37" s="9">
        <f t="shared" si="4"/>
        <v>16</v>
      </c>
      <c r="C37" s="8"/>
      <c r="D37" s="8"/>
      <c r="E37" s="8">
        <v>4</v>
      </c>
      <c r="F37" s="8">
        <v>3</v>
      </c>
      <c r="G37" s="9">
        <f t="shared" si="5"/>
        <v>1</v>
      </c>
      <c r="H37" s="9">
        <f t="shared" si="6"/>
        <v>15</v>
      </c>
      <c r="I37" s="10">
        <f t="shared" si="7"/>
        <v>6</v>
      </c>
    </row>
    <row r="38" spans="1:9" ht="12.75">
      <c r="A38" s="8" t="s">
        <v>17</v>
      </c>
      <c r="B38" s="9">
        <f t="shared" si="4"/>
        <v>9</v>
      </c>
      <c r="C38" s="8"/>
      <c r="D38" s="8"/>
      <c r="E38" s="8">
        <v>3</v>
      </c>
      <c r="F38" s="8">
        <v>2</v>
      </c>
      <c r="G38" s="9">
        <f t="shared" si="5"/>
        <v>1</v>
      </c>
      <c r="H38" s="9">
        <f t="shared" si="6"/>
        <v>8</v>
      </c>
      <c r="I38" s="10">
        <f t="shared" si="7"/>
        <v>6</v>
      </c>
    </row>
    <row r="39" spans="1:9" ht="12.75">
      <c r="A39" s="8" t="s">
        <v>18</v>
      </c>
      <c r="B39" s="9">
        <f t="shared" si="4"/>
        <v>23</v>
      </c>
      <c r="C39" s="8"/>
      <c r="D39" s="8"/>
      <c r="E39" s="8">
        <v>5</v>
      </c>
      <c r="F39" s="8">
        <v>2</v>
      </c>
      <c r="G39" s="9">
        <f t="shared" si="5"/>
        <v>3</v>
      </c>
      <c r="H39" s="9">
        <f t="shared" si="6"/>
        <v>20</v>
      </c>
      <c r="I39" s="10">
        <f t="shared" si="7"/>
        <v>18</v>
      </c>
    </row>
    <row r="40" spans="1:9" ht="12.75">
      <c r="A40" s="8" t="s">
        <v>19</v>
      </c>
      <c r="B40" s="9">
        <f t="shared" si="4"/>
        <v>28</v>
      </c>
      <c r="C40" s="8"/>
      <c r="D40" s="8"/>
      <c r="E40" s="8">
        <v>5</v>
      </c>
      <c r="F40" s="8">
        <v>4</v>
      </c>
      <c r="G40" s="9">
        <f t="shared" si="5"/>
        <v>1</v>
      </c>
      <c r="H40" s="9">
        <f t="shared" si="6"/>
        <v>27</v>
      </c>
      <c r="I40" s="10">
        <f t="shared" si="7"/>
        <v>6</v>
      </c>
    </row>
    <row r="41" spans="1:9" ht="12.75">
      <c r="A41" s="8" t="s">
        <v>20</v>
      </c>
      <c r="B41" s="9">
        <f t="shared" si="4"/>
        <v>9</v>
      </c>
      <c r="C41" s="8"/>
      <c r="D41" s="8"/>
      <c r="E41" s="8">
        <v>5</v>
      </c>
      <c r="F41" s="8">
        <v>4</v>
      </c>
      <c r="G41" s="9">
        <f t="shared" si="5"/>
        <v>1</v>
      </c>
      <c r="H41" s="9">
        <f t="shared" si="6"/>
        <v>8</v>
      </c>
      <c r="I41" s="10">
        <f t="shared" si="7"/>
        <v>6</v>
      </c>
    </row>
    <row r="42" spans="1:9" ht="12.75">
      <c r="A42" s="8" t="s">
        <v>21</v>
      </c>
      <c r="B42" s="9">
        <f t="shared" si="4"/>
        <v>2</v>
      </c>
      <c r="C42" s="8"/>
      <c r="D42" s="8"/>
      <c r="E42" s="8">
        <v>2</v>
      </c>
      <c r="F42" s="8">
        <v>2</v>
      </c>
      <c r="G42" s="9">
        <f t="shared" si="5"/>
        <v>0</v>
      </c>
      <c r="H42" s="9">
        <f t="shared" si="6"/>
        <v>2</v>
      </c>
      <c r="I42" s="10">
        <f t="shared" si="7"/>
        <v>0</v>
      </c>
    </row>
    <row r="43" spans="1:9" ht="12.75">
      <c r="A43" s="8" t="s">
        <v>22</v>
      </c>
      <c r="B43" s="9">
        <f t="shared" si="4"/>
        <v>29</v>
      </c>
      <c r="C43" s="8"/>
      <c r="D43" s="8"/>
      <c r="E43" s="8">
        <v>4</v>
      </c>
      <c r="F43" s="8">
        <v>3</v>
      </c>
      <c r="G43" s="9">
        <f t="shared" si="5"/>
        <v>1</v>
      </c>
      <c r="H43" s="9">
        <f t="shared" si="6"/>
        <v>28</v>
      </c>
      <c r="I43" s="10">
        <f t="shared" si="7"/>
        <v>6</v>
      </c>
    </row>
    <row r="44" spans="1:9" ht="12.75">
      <c r="A44" s="8" t="s">
        <v>23</v>
      </c>
      <c r="B44" s="9">
        <f t="shared" si="4"/>
        <v>24</v>
      </c>
      <c r="C44" s="11"/>
      <c r="D44" s="8"/>
      <c r="E44" s="8">
        <v>6</v>
      </c>
      <c r="F44" s="8">
        <v>2</v>
      </c>
      <c r="G44" s="9">
        <f t="shared" si="5"/>
        <v>4</v>
      </c>
      <c r="H44" s="9">
        <f t="shared" si="6"/>
        <v>20</v>
      </c>
      <c r="I44" s="10">
        <f t="shared" si="7"/>
        <v>24</v>
      </c>
    </row>
    <row r="45" spans="1:9" ht="12.75">
      <c r="A45" s="8" t="s">
        <v>24</v>
      </c>
      <c r="B45" s="9">
        <f t="shared" si="4"/>
        <v>14</v>
      </c>
      <c r="C45" s="8"/>
      <c r="D45" s="8"/>
      <c r="E45" s="8">
        <v>3</v>
      </c>
      <c r="F45" s="8">
        <v>3</v>
      </c>
      <c r="G45" s="9">
        <f t="shared" si="5"/>
        <v>0</v>
      </c>
      <c r="H45" s="9">
        <f t="shared" si="6"/>
        <v>14</v>
      </c>
      <c r="I45" s="10">
        <f t="shared" si="7"/>
        <v>0</v>
      </c>
    </row>
    <row r="46" spans="1:9" ht="12.75">
      <c r="A46" s="8" t="s">
        <v>25</v>
      </c>
      <c r="B46" s="9">
        <f t="shared" si="4"/>
        <v>17</v>
      </c>
      <c r="C46" s="8">
        <v>1</v>
      </c>
      <c r="D46" s="8">
        <v>30</v>
      </c>
      <c r="E46" s="8">
        <v>8</v>
      </c>
      <c r="F46" s="8">
        <v>3</v>
      </c>
      <c r="G46" s="9">
        <f t="shared" si="5"/>
        <v>5</v>
      </c>
      <c r="H46" s="9">
        <f t="shared" si="6"/>
        <v>41</v>
      </c>
      <c r="I46" s="10">
        <f t="shared" si="7"/>
        <v>30</v>
      </c>
    </row>
    <row r="47" spans="1:9" ht="12.75">
      <c r="A47" s="8" t="s">
        <v>26</v>
      </c>
      <c r="B47" s="9">
        <f t="shared" si="4"/>
        <v>13</v>
      </c>
      <c r="C47" s="8"/>
      <c r="D47" s="8"/>
      <c r="E47" s="8">
        <v>4</v>
      </c>
      <c r="F47" s="8">
        <v>4</v>
      </c>
      <c r="G47" s="9">
        <f t="shared" si="5"/>
        <v>0</v>
      </c>
      <c r="H47" s="9">
        <f t="shared" si="6"/>
        <v>13</v>
      </c>
      <c r="I47" s="10">
        <f t="shared" si="7"/>
        <v>0</v>
      </c>
    </row>
    <row r="48" spans="1:9" ht="12.75">
      <c r="A48" s="8" t="s">
        <v>27</v>
      </c>
      <c r="B48" s="9">
        <f t="shared" si="4"/>
        <v>13</v>
      </c>
      <c r="C48" s="8"/>
      <c r="D48" s="8"/>
      <c r="E48" s="8">
        <v>3</v>
      </c>
      <c r="F48" s="8">
        <v>1</v>
      </c>
      <c r="G48" s="9">
        <f t="shared" si="5"/>
        <v>2</v>
      </c>
      <c r="H48" s="9">
        <f t="shared" si="6"/>
        <v>11</v>
      </c>
      <c r="I48" s="10">
        <f t="shared" si="7"/>
        <v>12</v>
      </c>
    </row>
    <row r="49" spans="1:9" ht="12.75">
      <c r="A49" s="8" t="s">
        <v>28</v>
      </c>
      <c r="B49" s="9">
        <f t="shared" si="4"/>
        <v>36</v>
      </c>
      <c r="C49" s="8"/>
      <c r="D49" s="8"/>
      <c r="E49" s="8">
        <v>6</v>
      </c>
      <c r="F49" s="8">
        <v>4</v>
      </c>
      <c r="G49" s="9">
        <f t="shared" si="5"/>
        <v>2</v>
      </c>
      <c r="H49" s="9">
        <f t="shared" si="6"/>
        <v>34</v>
      </c>
      <c r="I49" s="10">
        <f t="shared" si="7"/>
        <v>12</v>
      </c>
    </row>
    <row r="50" spans="1:9" ht="12.75">
      <c r="A50" s="8" t="s">
        <v>29</v>
      </c>
      <c r="B50" s="9">
        <f t="shared" si="4"/>
        <v>38</v>
      </c>
      <c r="C50" s="8"/>
      <c r="D50" s="8">
        <v>33</v>
      </c>
      <c r="E50" s="8">
        <v>25</v>
      </c>
      <c r="F50" s="8">
        <v>17</v>
      </c>
      <c r="G50" s="9">
        <f t="shared" si="5"/>
        <v>8</v>
      </c>
      <c r="H50" s="9">
        <f t="shared" si="6"/>
        <v>63</v>
      </c>
      <c r="I50" s="10">
        <f t="shared" si="7"/>
        <v>48</v>
      </c>
    </row>
    <row r="51" spans="1:9" ht="12.75">
      <c r="A51" s="8" t="s">
        <v>30</v>
      </c>
      <c r="B51" s="9">
        <f t="shared" si="4"/>
        <v>12</v>
      </c>
      <c r="C51" s="8"/>
      <c r="D51" s="8"/>
      <c r="E51" s="8">
        <v>2</v>
      </c>
      <c r="F51" s="8">
        <v>2</v>
      </c>
      <c r="G51" s="9">
        <f t="shared" si="5"/>
        <v>0</v>
      </c>
      <c r="H51" s="9">
        <f t="shared" si="6"/>
        <v>12</v>
      </c>
      <c r="I51" s="10">
        <f t="shared" si="7"/>
        <v>0</v>
      </c>
    </row>
    <row r="52" spans="1:9" ht="12.75">
      <c r="A52" s="13" t="s">
        <v>31</v>
      </c>
      <c r="B52" s="9">
        <f t="shared" si="4"/>
        <v>18</v>
      </c>
      <c r="C52" s="8"/>
      <c r="D52" s="8"/>
      <c r="E52" s="8">
        <v>2</v>
      </c>
      <c r="F52" s="8">
        <v>0</v>
      </c>
      <c r="G52" s="9">
        <f t="shared" si="5"/>
        <v>2</v>
      </c>
      <c r="H52" s="9">
        <f t="shared" si="6"/>
        <v>16</v>
      </c>
      <c r="I52" s="10">
        <f t="shared" si="7"/>
        <v>12</v>
      </c>
    </row>
    <row r="53" spans="1:9" ht="12.75">
      <c r="A53" s="13" t="s">
        <v>32</v>
      </c>
      <c r="B53" s="9">
        <f t="shared" si="4"/>
        <v>19</v>
      </c>
      <c r="C53" s="8"/>
      <c r="D53" s="8"/>
      <c r="E53" s="8">
        <v>2</v>
      </c>
      <c r="F53" s="8">
        <v>1</v>
      </c>
      <c r="G53" s="9">
        <f t="shared" si="5"/>
        <v>1</v>
      </c>
      <c r="H53" s="9">
        <f t="shared" si="6"/>
        <v>18</v>
      </c>
      <c r="I53" s="10">
        <f t="shared" si="7"/>
        <v>6</v>
      </c>
    </row>
    <row r="54" spans="1:9" ht="12.75">
      <c r="A54" s="14" t="s">
        <v>33</v>
      </c>
      <c r="B54" s="15">
        <f>SUM(B31:B53)</f>
        <v>444</v>
      </c>
      <c r="C54" s="14"/>
      <c r="D54" s="14"/>
      <c r="E54" s="15">
        <f t="shared" ref="E54:G54" si="8">SUM(E30:E53)</f>
        <v>118</v>
      </c>
      <c r="F54" s="15">
        <f t="shared" si="8"/>
        <v>72</v>
      </c>
      <c r="G54" s="15">
        <f t="shared" si="8"/>
        <v>46</v>
      </c>
      <c r="H54" s="15">
        <f>SUM(H31:H53)</f>
        <v>460</v>
      </c>
      <c r="I54" s="16">
        <f>SUM(I30:I53)</f>
        <v>276</v>
      </c>
    </row>
    <row r="55" spans="1:9" ht="12.75">
      <c r="A55" s="17"/>
      <c r="B55" s="17"/>
      <c r="C55" s="17"/>
      <c r="D55" s="17"/>
      <c r="E55" s="17"/>
      <c r="F55" s="134" t="s">
        <v>34</v>
      </c>
      <c r="G55" s="133"/>
      <c r="H55" s="18"/>
      <c r="I55" s="19"/>
    </row>
    <row r="57" spans="1:9">
      <c r="A57" s="1"/>
      <c r="B57" s="131" t="s">
        <v>46</v>
      </c>
      <c r="C57" s="132"/>
      <c r="D57" s="132"/>
      <c r="E57" s="132"/>
      <c r="F57" s="132"/>
      <c r="G57" s="132"/>
      <c r="H57" s="132"/>
      <c r="I57" s="133"/>
    </row>
    <row r="58" spans="1:9" ht="45">
      <c r="A58" s="2" t="s">
        <v>1</v>
      </c>
      <c r="B58" s="6" t="s">
        <v>2</v>
      </c>
      <c r="C58" s="4" t="s">
        <v>3</v>
      </c>
      <c r="D58" s="5" t="s">
        <v>4</v>
      </c>
      <c r="E58" s="2" t="s">
        <v>5</v>
      </c>
      <c r="F58" s="2" t="s">
        <v>6</v>
      </c>
      <c r="G58" s="2" t="s">
        <v>7</v>
      </c>
      <c r="H58" s="6" t="s">
        <v>8</v>
      </c>
      <c r="I58" s="7" t="s">
        <v>9</v>
      </c>
    </row>
    <row r="59" spans="1:9" ht="12.75">
      <c r="A59" s="8" t="s">
        <v>10</v>
      </c>
      <c r="B59" s="9">
        <f t="shared" ref="B59:B81" si="9">H31</f>
        <v>23</v>
      </c>
      <c r="C59" s="8"/>
      <c r="D59" s="8"/>
      <c r="E59" s="8">
        <v>6</v>
      </c>
      <c r="F59" s="8">
        <v>6</v>
      </c>
      <c r="G59" s="9">
        <f t="shared" ref="G59:G81" si="10">E59-F59</f>
        <v>0</v>
      </c>
      <c r="H59" s="9">
        <f t="shared" ref="H59:H81" si="11">B59-C59+D59-G59</f>
        <v>23</v>
      </c>
      <c r="I59" s="10">
        <f t="shared" ref="I59:I81" si="12">G59*6</f>
        <v>0</v>
      </c>
    </row>
    <row r="60" spans="1:9" ht="12.75">
      <c r="A60" s="8" t="s">
        <v>11</v>
      </c>
      <c r="B60" s="9">
        <f t="shared" si="9"/>
        <v>21</v>
      </c>
      <c r="C60" s="11"/>
      <c r="D60" s="8"/>
      <c r="E60" s="8">
        <v>3</v>
      </c>
      <c r="F60" s="8">
        <v>2</v>
      </c>
      <c r="G60" s="9">
        <f t="shared" si="10"/>
        <v>1</v>
      </c>
      <c r="H60" s="9">
        <f t="shared" si="11"/>
        <v>20</v>
      </c>
      <c r="I60" s="10">
        <f t="shared" si="12"/>
        <v>6</v>
      </c>
    </row>
    <row r="61" spans="1:9" ht="12.75">
      <c r="A61" s="8" t="s">
        <v>12</v>
      </c>
      <c r="B61" s="9">
        <f t="shared" si="9"/>
        <v>21</v>
      </c>
      <c r="C61" s="8"/>
      <c r="D61" s="8"/>
      <c r="E61" s="8">
        <v>5</v>
      </c>
      <c r="F61" s="8">
        <v>5</v>
      </c>
      <c r="G61" s="9">
        <f t="shared" si="10"/>
        <v>0</v>
      </c>
      <c r="H61" s="9">
        <f t="shared" si="11"/>
        <v>21</v>
      </c>
      <c r="I61" s="10">
        <f t="shared" si="12"/>
        <v>0</v>
      </c>
    </row>
    <row r="62" spans="1:9" ht="12.75">
      <c r="A62" s="8" t="s">
        <v>13</v>
      </c>
      <c r="B62" s="9">
        <f t="shared" si="9"/>
        <v>25</v>
      </c>
      <c r="C62" s="8"/>
      <c r="D62" s="8"/>
      <c r="E62" s="8">
        <v>6</v>
      </c>
      <c r="F62" s="8">
        <v>3</v>
      </c>
      <c r="G62" s="9">
        <f t="shared" si="10"/>
        <v>3</v>
      </c>
      <c r="H62" s="9">
        <f t="shared" si="11"/>
        <v>22</v>
      </c>
      <c r="I62" s="10">
        <f t="shared" si="12"/>
        <v>18</v>
      </c>
    </row>
    <row r="63" spans="1:9" ht="12.75">
      <c r="A63" s="8" t="s">
        <v>14</v>
      </c>
      <c r="B63" s="9">
        <f t="shared" si="9"/>
        <v>14</v>
      </c>
      <c r="C63" s="8"/>
      <c r="D63" s="8"/>
      <c r="E63" s="8">
        <v>4</v>
      </c>
      <c r="F63" s="8">
        <v>4</v>
      </c>
      <c r="G63" s="9">
        <f t="shared" si="10"/>
        <v>0</v>
      </c>
      <c r="H63" s="9">
        <f t="shared" si="11"/>
        <v>14</v>
      </c>
      <c r="I63" s="10">
        <f t="shared" si="12"/>
        <v>0</v>
      </c>
    </row>
    <row r="64" spans="1:9" ht="12.75">
      <c r="A64" s="8" t="s">
        <v>15</v>
      </c>
      <c r="B64" s="9">
        <f t="shared" si="9"/>
        <v>6</v>
      </c>
      <c r="C64" s="8"/>
      <c r="D64" s="8">
        <v>35</v>
      </c>
      <c r="E64" s="8">
        <v>7</v>
      </c>
      <c r="F64" s="8">
        <v>6</v>
      </c>
      <c r="G64" s="9">
        <f t="shared" si="10"/>
        <v>1</v>
      </c>
      <c r="H64" s="9">
        <f t="shared" si="11"/>
        <v>40</v>
      </c>
      <c r="I64" s="10">
        <f t="shared" si="12"/>
        <v>6</v>
      </c>
    </row>
    <row r="65" spans="1:9" ht="12.75">
      <c r="A65" s="8" t="s">
        <v>16</v>
      </c>
      <c r="B65" s="9">
        <f t="shared" si="9"/>
        <v>15</v>
      </c>
      <c r="C65" s="8"/>
      <c r="D65" s="8"/>
      <c r="E65" s="8">
        <v>4</v>
      </c>
      <c r="F65" s="8">
        <v>1</v>
      </c>
      <c r="G65" s="9">
        <f t="shared" si="10"/>
        <v>3</v>
      </c>
      <c r="H65" s="9">
        <f t="shared" si="11"/>
        <v>12</v>
      </c>
      <c r="I65" s="10">
        <f t="shared" si="12"/>
        <v>18</v>
      </c>
    </row>
    <row r="66" spans="1:9" ht="12.75">
      <c r="A66" s="8" t="s">
        <v>17</v>
      </c>
      <c r="B66" s="9">
        <f t="shared" si="9"/>
        <v>8</v>
      </c>
      <c r="C66" s="8"/>
      <c r="D66" s="8"/>
      <c r="E66" s="8">
        <v>3</v>
      </c>
      <c r="F66" s="8">
        <v>3</v>
      </c>
      <c r="G66" s="9">
        <f t="shared" si="10"/>
        <v>0</v>
      </c>
      <c r="H66" s="9">
        <f t="shared" si="11"/>
        <v>8</v>
      </c>
      <c r="I66" s="10">
        <f t="shared" si="12"/>
        <v>0</v>
      </c>
    </row>
    <row r="67" spans="1:9" ht="12.75">
      <c r="A67" s="8" t="s">
        <v>18</v>
      </c>
      <c r="B67" s="9">
        <f t="shared" si="9"/>
        <v>20</v>
      </c>
      <c r="C67" s="8"/>
      <c r="D67" s="8"/>
      <c r="E67" s="8">
        <v>5</v>
      </c>
      <c r="F67" s="8">
        <v>3</v>
      </c>
      <c r="G67" s="9">
        <f t="shared" si="10"/>
        <v>2</v>
      </c>
      <c r="H67" s="9">
        <f t="shared" si="11"/>
        <v>18</v>
      </c>
      <c r="I67" s="10">
        <f t="shared" si="12"/>
        <v>12</v>
      </c>
    </row>
    <row r="68" spans="1:9" ht="12.75">
      <c r="A68" s="8" t="s">
        <v>19</v>
      </c>
      <c r="B68" s="9">
        <f t="shared" si="9"/>
        <v>27</v>
      </c>
      <c r="C68" s="8"/>
      <c r="D68" s="8"/>
      <c r="E68" s="8">
        <v>5</v>
      </c>
      <c r="F68" s="8">
        <v>3</v>
      </c>
      <c r="G68" s="9">
        <f t="shared" si="10"/>
        <v>2</v>
      </c>
      <c r="H68" s="9">
        <f t="shared" si="11"/>
        <v>25</v>
      </c>
      <c r="I68" s="10">
        <f t="shared" si="12"/>
        <v>12</v>
      </c>
    </row>
    <row r="69" spans="1:9" ht="12.75">
      <c r="A69" s="8" t="s">
        <v>20</v>
      </c>
      <c r="B69" s="9">
        <f t="shared" si="9"/>
        <v>8</v>
      </c>
      <c r="C69" s="8"/>
      <c r="D69" s="8"/>
      <c r="E69" s="8">
        <v>5</v>
      </c>
      <c r="F69" s="8">
        <v>3</v>
      </c>
      <c r="G69" s="9">
        <f t="shared" si="10"/>
        <v>2</v>
      </c>
      <c r="H69" s="9">
        <f t="shared" si="11"/>
        <v>6</v>
      </c>
      <c r="I69" s="10">
        <f t="shared" si="12"/>
        <v>12</v>
      </c>
    </row>
    <row r="70" spans="1:9" ht="12.75">
      <c r="A70" s="8" t="s">
        <v>21</v>
      </c>
      <c r="B70" s="9">
        <f t="shared" si="9"/>
        <v>2</v>
      </c>
      <c r="C70" s="8"/>
      <c r="D70" s="8"/>
      <c r="E70" s="8">
        <v>2</v>
      </c>
      <c r="F70" s="8">
        <v>1</v>
      </c>
      <c r="G70" s="9">
        <f t="shared" si="10"/>
        <v>1</v>
      </c>
      <c r="H70" s="9">
        <f t="shared" si="11"/>
        <v>1</v>
      </c>
      <c r="I70" s="10">
        <f t="shared" si="12"/>
        <v>6</v>
      </c>
    </row>
    <row r="71" spans="1:9" ht="12.75">
      <c r="A71" s="8" t="s">
        <v>22</v>
      </c>
      <c r="B71" s="9">
        <f t="shared" si="9"/>
        <v>28</v>
      </c>
      <c r="C71" s="8"/>
      <c r="D71" s="8"/>
      <c r="E71" s="8">
        <v>4</v>
      </c>
      <c r="F71" s="8">
        <v>4</v>
      </c>
      <c r="G71" s="9">
        <f t="shared" si="10"/>
        <v>0</v>
      </c>
      <c r="H71" s="9">
        <f t="shared" si="11"/>
        <v>28</v>
      </c>
      <c r="I71" s="10">
        <f t="shared" si="12"/>
        <v>0</v>
      </c>
    </row>
    <row r="72" spans="1:9" ht="12.75">
      <c r="A72" s="8" t="s">
        <v>23</v>
      </c>
      <c r="B72" s="9">
        <f t="shared" si="9"/>
        <v>20</v>
      </c>
      <c r="C72" s="11"/>
      <c r="D72" s="8"/>
      <c r="E72" s="8">
        <v>6</v>
      </c>
      <c r="F72" s="8">
        <v>3</v>
      </c>
      <c r="G72" s="9">
        <f t="shared" si="10"/>
        <v>3</v>
      </c>
      <c r="H72" s="9">
        <f t="shared" si="11"/>
        <v>17</v>
      </c>
      <c r="I72" s="10">
        <f t="shared" si="12"/>
        <v>18</v>
      </c>
    </row>
    <row r="73" spans="1:9" ht="12.75">
      <c r="A73" s="8" t="s">
        <v>24</v>
      </c>
      <c r="B73" s="9">
        <f t="shared" si="9"/>
        <v>14</v>
      </c>
      <c r="C73" s="8"/>
      <c r="D73" s="8"/>
      <c r="E73" s="8">
        <v>3</v>
      </c>
      <c r="F73" s="8">
        <v>3</v>
      </c>
      <c r="G73" s="9">
        <f t="shared" si="10"/>
        <v>0</v>
      </c>
      <c r="H73" s="9">
        <f t="shared" si="11"/>
        <v>14</v>
      </c>
      <c r="I73" s="10">
        <f t="shared" si="12"/>
        <v>0</v>
      </c>
    </row>
    <row r="74" spans="1:9" ht="12.75">
      <c r="A74" s="8" t="s">
        <v>25</v>
      </c>
      <c r="B74" s="9">
        <f t="shared" si="9"/>
        <v>41</v>
      </c>
      <c r="C74" s="8"/>
      <c r="D74" s="8"/>
      <c r="E74" s="8">
        <v>10</v>
      </c>
      <c r="F74" s="8">
        <v>6</v>
      </c>
      <c r="G74" s="9">
        <f t="shared" si="10"/>
        <v>4</v>
      </c>
      <c r="H74" s="9">
        <f t="shared" si="11"/>
        <v>37</v>
      </c>
      <c r="I74" s="10">
        <f t="shared" si="12"/>
        <v>24</v>
      </c>
    </row>
    <row r="75" spans="1:9" ht="12.75">
      <c r="A75" s="8" t="s">
        <v>26</v>
      </c>
      <c r="B75" s="9">
        <f t="shared" si="9"/>
        <v>13</v>
      </c>
      <c r="C75" s="8"/>
      <c r="D75" s="8"/>
      <c r="E75" s="8">
        <v>4</v>
      </c>
      <c r="F75" s="8">
        <v>3</v>
      </c>
      <c r="G75" s="9">
        <f t="shared" si="10"/>
        <v>1</v>
      </c>
      <c r="H75" s="9">
        <f t="shared" si="11"/>
        <v>12</v>
      </c>
      <c r="I75" s="10">
        <f t="shared" si="12"/>
        <v>6</v>
      </c>
    </row>
    <row r="76" spans="1:9" ht="12.75">
      <c r="A76" s="8" t="s">
        <v>27</v>
      </c>
      <c r="B76" s="9">
        <f t="shared" si="9"/>
        <v>11</v>
      </c>
      <c r="C76" s="8"/>
      <c r="D76" s="8"/>
      <c r="E76" s="8">
        <v>4</v>
      </c>
      <c r="F76" s="8">
        <v>2</v>
      </c>
      <c r="G76" s="9">
        <f t="shared" si="10"/>
        <v>2</v>
      </c>
      <c r="H76" s="9">
        <f t="shared" si="11"/>
        <v>9</v>
      </c>
      <c r="I76" s="10">
        <f t="shared" si="12"/>
        <v>12</v>
      </c>
    </row>
    <row r="77" spans="1:9" ht="12.75">
      <c r="A77" s="8" t="s">
        <v>28</v>
      </c>
      <c r="B77" s="9">
        <f t="shared" si="9"/>
        <v>34</v>
      </c>
      <c r="C77" s="8"/>
      <c r="D77" s="8"/>
      <c r="E77" s="8">
        <v>8</v>
      </c>
      <c r="F77" s="8">
        <v>8</v>
      </c>
      <c r="G77" s="9">
        <f t="shared" si="10"/>
        <v>0</v>
      </c>
      <c r="H77" s="9">
        <f t="shared" si="11"/>
        <v>34</v>
      </c>
      <c r="I77" s="10">
        <f t="shared" si="12"/>
        <v>0</v>
      </c>
    </row>
    <row r="78" spans="1:9" ht="12.75">
      <c r="A78" s="8" t="s">
        <v>29</v>
      </c>
      <c r="B78" s="9">
        <f t="shared" si="9"/>
        <v>63</v>
      </c>
      <c r="C78" s="8"/>
      <c r="D78" s="8"/>
      <c r="E78" s="8">
        <v>26</v>
      </c>
      <c r="F78" s="8">
        <v>1</v>
      </c>
      <c r="G78" s="9">
        <f t="shared" si="10"/>
        <v>25</v>
      </c>
      <c r="H78" s="9">
        <f t="shared" si="11"/>
        <v>38</v>
      </c>
      <c r="I78" s="10">
        <f t="shared" si="12"/>
        <v>150</v>
      </c>
    </row>
    <row r="79" spans="1:9" ht="12.75">
      <c r="A79" s="8" t="s">
        <v>30</v>
      </c>
      <c r="B79" s="9">
        <f t="shared" si="9"/>
        <v>12</v>
      </c>
      <c r="C79" s="8"/>
      <c r="D79" s="8"/>
      <c r="E79" s="8">
        <v>2</v>
      </c>
      <c r="F79" s="8">
        <v>2</v>
      </c>
      <c r="G79" s="9">
        <f t="shared" si="10"/>
        <v>0</v>
      </c>
      <c r="H79" s="9">
        <f t="shared" si="11"/>
        <v>12</v>
      </c>
      <c r="I79" s="10">
        <f t="shared" si="12"/>
        <v>0</v>
      </c>
    </row>
    <row r="80" spans="1:9" ht="12.75">
      <c r="A80" s="13" t="s">
        <v>31</v>
      </c>
      <c r="B80" s="9">
        <f t="shared" si="9"/>
        <v>16</v>
      </c>
      <c r="C80" s="8"/>
      <c r="D80" s="8"/>
      <c r="E80" s="8">
        <v>2</v>
      </c>
      <c r="F80" s="8">
        <v>1</v>
      </c>
      <c r="G80" s="9">
        <f t="shared" si="10"/>
        <v>1</v>
      </c>
      <c r="H80" s="9">
        <f t="shared" si="11"/>
        <v>15</v>
      </c>
      <c r="I80" s="10">
        <f t="shared" si="12"/>
        <v>6</v>
      </c>
    </row>
    <row r="81" spans="1:9" ht="12.75">
      <c r="A81" s="13" t="s">
        <v>32</v>
      </c>
      <c r="B81" s="9">
        <f t="shared" si="9"/>
        <v>18</v>
      </c>
      <c r="C81" s="8"/>
      <c r="D81" s="8"/>
      <c r="E81" s="8">
        <v>2</v>
      </c>
      <c r="F81" s="8">
        <v>1</v>
      </c>
      <c r="G81" s="9">
        <f t="shared" si="10"/>
        <v>1</v>
      </c>
      <c r="H81" s="9">
        <f t="shared" si="11"/>
        <v>17</v>
      </c>
      <c r="I81" s="10">
        <f t="shared" si="12"/>
        <v>6</v>
      </c>
    </row>
    <row r="82" spans="1:9" ht="12.75">
      <c r="A82" s="14" t="s">
        <v>33</v>
      </c>
      <c r="B82" s="15">
        <f>SUM(B59:B81)</f>
        <v>460</v>
      </c>
      <c r="C82" s="14"/>
      <c r="D82" s="14"/>
      <c r="E82" s="15">
        <f t="shared" ref="E82:G82" si="13">SUM(E58:E81)</f>
        <v>126</v>
      </c>
      <c r="F82" s="15">
        <f t="shared" si="13"/>
        <v>74</v>
      </c>
      <c r="G82" s="15">
        <f t="shared" si="13"/>
        <v>52</v>
      </c>
      <c r="H82" s="15">
        <f>SUM(H59:H81)</f>
        <v>443</v>
      </c>
      <c r="I82" s="16">
        <f>SUM(I58:I81)</f>
        <v>312</v>
      </c>
    </row>
    <row r="83" spans="1:9" ht="12.75">
      <c r="A83" s="17"/>
      <c r="B83" s="17"/>
      <c r="C83" s="17"/>
      <c r="D83" s="17"/>
      <c r="E83" s="17"/>
      <c r="F83" s="134" t="s">
        <v>34</v>
      </c>
      <c r="G83" s="133"/>
      <c r="H83" s="18"/>
      <c r="I83" s="19"/>
    </row>
    <row r="85" spans="1:9">
      <c r="A85" s="1"/>
      <c r="B85" s="131" t="s">
        <v>47</v>
      </c>
      <c r="C85" s="132"/>
      <c r="D85" s="132"/>
      <c r="E85" s="132"/>
      <c r="F85" s="132"/>
      <c r="G85" s="132"/>
      <c r="H85" s="132"/>
      <c r="I85" s="133"/>
    </row>
    <row r="86" spans="1:9" ht="45">
      <c r="A86" s="2" t="s">
        <v>1</v>
      </c>
      <c r="B86" s="6" t="s">
        <v>2</v>
      </c>
      <c r="C86" s="4" t="s">
        <v>3</v>
      </c>
      <c r="D86" s="5" t="s">
        <v>4</v>
      </c>
      <c r="E86" s="2" t="s">
        <v>5</v>
      </c>
      <c r="F86" s="2" t="s">
        <v>6</v>
      </c>
      <c r="G86" s="2" t="s">
        <v>7</v>
      </c>
      <c r="H86" s="6" t="s">
        <v>8</v>
      </c>
      <c r="I86" s="7" t="s">
        <v>9</v>
      </c>
    </row>
    <row r="87" spans="1:9" ht="12.75">
      <c r="A87" s="8" t="s">
        <v>10</v>
      </c>
      <c r="B87" s="9">
        <f t="shared" ref="B87:B109" si="14">H59</f>
        <v>23</v>
      </c>
      <c r="C87" s="8"/>
      <c r="D87" s="8"/>
      <c r="E87" s="8">
        <v>6</v>
      </c>
      <c r="F87" s="8">
        <v>2</v>
      </c>
      <c r="G87" s="9">
        <f t="shared" ref="G87:G109" si="15">E87-F87</f>
        <v>4</v>
      </c>
      <c r="H87" s="9">
        <f t="shared" ref="H87:H109" si="16">B87-C87+D87-G87</f>
        <v>19</v>
      </c>
      <c r="I87" s="10">
        <f t="shared" ref="I87:I109" si="17">G87*6</f>
        <v>24</v>
      </c>
    </row>
    <row r="88" spans="1:9" ht="12.75">
      <c r="A88" s="8" t="s">
        <v>11</v>
      </c>
      <c r="B88" s="9">
        <f t="shared" si="14"/>
        <v>20</v>
      </c>
      <c r="C88" s="11"/>
      <c r="D88" s="8"/>
      <c r="E88" s="8">
        <v>3</v>
      </c>
      <c r="F88" s="8">
        <v>3</v>
      </c>
      <c r="G88" s="9">
        <f t="shared" si="15"/>
        <v>0</v>
      </c>
      <c r="H88" s="9">
        <f t="shared" si="16"/>
        <v>20</v>
      </c>
      <c r="I88" s="10">
        <f t="shared" si="17"/>
        <v>0</v>
      </c>
    </row>
    <row r="89" spans="1:9" ht="12.75">
      <c r="A89" s="8" t="s">
        <v>12</v>
      </c>
      <c r="B89" s="9">
        <f t="shared" si="14"/>
        <v>21</v>
      </c>
      <c r="C89" s="8"/>
      <c r="D89" s="8"/>
      <c r="E89" s="8">
        <v>4</v>
      </c>
      <c r="F89" s="8">
        <v>4</v>
      </c>
      <c r="G89" s="9">
        <f t="shared" si="15"/>
        <v>0</v>
      </c>
      <c r="H89" s="9">
        <f t="shared" si="16"/>
        <v>21</v>
      </c>
      <c r="I89" s="10">
        <f t="shared" si="17"/>
        <v>0</v>
      </c>
    </row>
    <row r="90" spans="1:9" ht="12.75">
      <c r="A90" s="8" t="s">
        <v>13</v>
      </c>
      <c r="B90" s="9">
        <f t="shared" si="14"/>
        <v>22</v>
      </c>
      <c r="C90" s="8"/>
      <c r="D90" s="8"/>
      <c r="E90" s="8">
        <v>6</v>
      </c>
      <c r="F90" s="8">
        <v>4</v>
      </c>
      <c r="G90" s="9">
        <f t="shared" si="15"/>
        <v>2</v>
      </c>
      <c r="H90" s="9">
        <f t="shared" si="16"/>
        <v>20</v>
      </c>
      <c r="I90" s="10">
        <f t="shared" si="17"/>
        <v>12</v>
      </c>
    </row>
    <row r="91" spans="1:9" ht="12.75">
      <c r="A91" s="8" t="s">
        <v>14</v>
      </c>
      <c r="B91" s="9">
        <f t="shared" si="14"/>
        <v>14</v>
      </c>
      <c r="C91" s="8"/>
      <c r="D91" s="8"/>
      <c r="E91" s="8">
        <v>4</v>
      </c>
      <c r="F91" s="8">
        <v>4</v>
      </c>
      <c r="G91" s="9">
        <f t="shared" si="15"/>
        <v>0</v>
      </c>
      <c r="H91" s="9">
        <f t="shared" si="16"/>
        <v>14</v>
      </c>
      <c r="I91" s="10">
        <f t="shared" si="17"/>
        <v>0</v>
      </c>
    </row>
    <row r="92" spans="1:9" ht="12.75">
      <c r="A92" s="8" t="s">
        <v>15</v>
      </c>
      <c r="B92" s="9">
        <f t="shared" si="14"/>
        <v>40</v>
      </c>
      <c r="C92" s="8"/>
      <c r="D92" s="8"/>
      <c r="E92" s="8">
        <v>6</v>
      </c>
      <c r="F92" s="8">
        <v>5</v>
      </c>
      <c r="G92" s="9">
        <f t="shared" si="15"/>
        <v>1</v>
      </c>
      <c r="H92" s="9">
        <f t="shared" si="16"/>
        <v>39</v>
      </c>
      <c r="I92" s="10">
        <f t="shared" si="17"/>
        <v>6</v>
      </c>
    </row>
    <row r="93" spans="1:9" ht="12.75">
      <c r="A93" s="8" t="s">
        <v>16</v>
      </c>
      <c r="B93" s="9">
        <f t="shared" si="14"/>
        <v>12</v>
      </c>
      <c r="C93" s="8"/>
      <c r="D93" s="8"/>
      <c r="E93" s="8">
        <v>5</v>
      </c>
      <c r="F93" s="8">
        <v>5</v>
      </c>
      <c r="G93" s="9">
        <f t="shared" si="15"/>
        <v>0</v>
      </c>
      <c r="H93" s="9">
        <f t="shared" si="16"/>
        <v>12</v>
      </c>
      <c r="I93" s="10">
        <f t="shared" si="17"/>
        <v>0</v>
      </c>
    </row>
    <row r="94" spans="1:9" ht="12.75">
      <c r="A94" s="8" t="s">
        <v>17</v>
      </c>
      <c r="B94" s="9">
        <f t="shared" si="14"/>
        <v>8</v>
      </c>
      <c r="C94" s="8"/>
      <c r="D94" s="8"/>
      <c r="E94" s="8">
        <v>3</v>
      </c>
      <c r="F94" s="8">
        <v>3</v>
      </c>
      <c r="G94" s="9">
        <f t="shared" si="15"/>
        <v>0</v>
      </c>
      <c r="H94" s="9">
        <f t="shared" si="16"/>
        <v>8</v>
      </c>
      <c r="I94" s="10">
        <f t="shared" si="17"/>
        <v>0</v>
      </c>
    </row>
    <row r="95" spans="1:9" ht="12.75">
      <c r="A95" s="8" t="s">
        <v>18</v>
      </c>
      <c r="B95" s="9">
        <f t="shared" si="14"/>
        <v>18</v>
      </c>
      <c r="C95" s="8"/>
      <c r="D95" s="8"/>
      <c r="E95" s="8">
        <v>6</v>
      </c>
      <c r="F95" s="8">
        <v>6</v>
      </c>
      <c r="G95" s="9">
        <f t="shared" si="15"/>
        <v>0</v>
      </c>
      <c r="H95" s="9">
        <f t="shared" si="16"/>
        <v>18</v>
      </c>
      <c r="I95" s="10">
        <f t="shared" si="17"/>
        <v>0</v>
      </c>
    </row>
    <row r="96" spans="1:9" ht="12.75">
      <c r="A96" s="8" t="s">
        <v>19</v>
      </c>
      <c r="B96" s="9">
        <f t="shared" si="14"/>
        <v>25</v>
      </c>
      <c r="C96" s="8"/>
      <c r="D96" s="8"/>
      <c r="E96" s="8">
        <v>5</v>
      </c>
      <c r="F96" s="8">
        <v>4</v>
      </c>
      <c r="G96" s="9">
        <f t="shared" si="15"/>
        <v>1</v>
      </c>
      <c r="H96" s="9">
        <f t="shared" si="16"/>
        <v>24</v>
      </c>
      <c r="I96" s="10">
        <f t="shared" si="17"/>
        <v>6</v>
      </c>
    </row>
    <row r="97" spans="1:9" ht="12.75">
      <c r="A97" s="8" t="s">
        <v>20</v>
      </c>
      <c r="B97" s="9">
        <f t="shared" si="14"/>
        <v>6</v>
      </c>
      <c r="C97" s="8"/>
      <c r="D97" s="8">
        <v>30</v>
      </c>
      <c r="E97" s="8">
        <v>5</v>
      </c>
      <c r="F97" s="8">
        <v>1</v>
      </c>
      <c r="G97" s="9">
        <f t="shared" si="15"/>
        <v>4</v>
      </c>
      <c r="H97" s="9">
        <f t="shared" si="16"/>
        <v>32</v>
      </c>
      <c r="I97" s="10">
        <f t="shared" si="17"/>
        <v>24</v>
      </c>
    </row>
    <row r="98" spans="1:9" ht="12.75">
      <c r="A98" s="8" t="s">
        <v>21</v>
      </c>
      <c r="B98" s="9">
        <f t="shared" si="14"/>
        <v>1</v>
      </c>
      <c r="C98" s="8"/>
      <c r="D98" s="8"/>
      <c r="E98" s="8">
        <v>1</v>
      </c>
      <c r="F98" s="8">
        <v>0</v>
      </c>
      <c r="G98" s="9">
        <f t="shared" si="15"/>
        <v>1</v>
      </c>
      <c r="H98" s="9">
        <f t="shared" si="16"/>
        <v>0</v>
      </c>
      <c r="I98" s="10">
        <f t="shared" si="17"/>
        <v>6</v>
      </c>
    </row>
    <row r="99" spans="1:9" ht="12.75">
      <c r="A99" s="8" t="s">
        <v>22</v>
      </c>
      <c r="B99" s="9">
        <f t="shared" si="14"/>
        <v>28</v>
      </c>
      <c r="C99" s="8"/>
      <c r="D99" s="8"/>
      <c r="E99" s="8">
        <v>4</v>
      </c>
      <c r="F99" s="8">
        <v>4</v>
      </c>
      <c r="G99" s="9">
        <f t="shared" si="15"/>
        <v>0</v>
      </c>
      <c r="H99" s="9">
        <f t="shared" si="16"/>
        <v>28</v>
      </c>
      <c r="I99" s="10">
        <f t="shared" si="17"/>
        <v>0</v>
      </c>
    </row>
    <row r="100" spans="1:9" ht="12.75">
      <c r="A100" s="8" t="s">
        <v>23</v>
      </c>
      <c r="B100" s="9">
        <f t="shared" si="14"/>
        <v>17</v>
      </c>
      <c r="C100" s="11"/>
      <c r="D100" s="8"/>
      <c r="E100" s="8">
        <v>6</v>
      </c>
      <c r="F100" s="8">
        <v>4</v>
      </c>
      <c r="G100" s="9">
        <f t="shared" si="15"/>
        <v>2</v>
      </c>
      <c r="H100" s="9">
        <f t="shared" si="16"/>
        <v>15</v>
      </c>
      <c r="I100" s="10">
        <f t="shared" si="17"/>
        <v>12</v>
      </c>
    </row>
    <row r="101" spans="1:9" ht="12.75">
      <c r="A101" s="8" t="s">
        <v>24</v>
      </c>
      <c r="B101" s="9">
        <f t="shared" si="14"/>
        <v>14</v>
      </c>
      <c r="C101" s="8"/>
      <c r="D101" s="8"/>
      <c r="E101" s="8">
        <v>3</v>
      </c>
      <c r="F101" s="8">
        <v>3</v>
      </c>
      <c r="G101" s="9">
        <f t="shared" si="15"/>
        <v>0</v>
      </c>
      <c r="H101" s="9">
        <f t="shared" si="16"/>
        <v>14</v>
      </c>
      <c r="I101" s="10">
        <f t="shared" si="17"/>
        <v>0</v>
      </c>
    </row>
    <row r="102" spans="1:9" ht="12.75">
      <c r="A102" s="8" t="s">
        <v>25</v>
      </c>
      <c r="B102" s="9">
        <f t="shared" si="14"/>
        <v>37</v>
      </c>
      <c r="C102" s="8"/>
      <c r="D102" s="8"/>
      <c r="E102" s="8">
        <v>8</v>
      </c>
      <c r="F102" s="8">
        <v>2</v>
      </c>
      <c r="G102" s="9">
        <f t="shared" si="15"/>
        <v>6</v>
      </c>
      <c r="H102" s="9">
        <f t="shared" si="16"/>
        <v>31</v>
      </c>
      <c r="I102" s="10">
        <f t="shared" si="17"/>
        <v>36</v>
      </c>
    </row>
    <row r="103" spans="1:9" ht="12.75">
      <c r="A103" s="8" t="s">
        <v>26</v>
      </c>
      <c r="B103" s="9">
        <f t="shared" si="14"/>
        <v>12</v>
      </c>
      <c r="C103" s="8"/>
      <c r="D103" s="8"/>
      <c r="E103" s="8">
        <v>4</v>
      </c>
      <c r="F103" s="8">
        <v>4</v>
      </c>
      <c r="G103" s="9">
        <f t="shared" si="15"/>
        <v>0</v>
      </c>
      <c r="H103" s="9">
        <f t="shared" si="16"/>
        <v>12</v>
      </c>
      <c r="I103" s="10">
        <f t="shared" si="17"/>
        <v>0</v>
      </c>
    </row>
    <row r="104" spans="1:9" ht="12.75">
      <c r="A104" s="8" t="s">
        <v>27</v>
      </c>
      <c r="B104" s="9">
        <f t="shared" si="14"/>
        <v>9</v>
      </c>
      <c r="C104" s="8"/>
      <c r="D104" s="8"/>
      <c r="E104" s="8">
        <v>4</v>
      </c>
      <c r="F104" s="8">
        <v>3</v>
      </c>
      <c r="G104" s="9">
        <f t="shared" si="15"/>
        <v>1</v>
      </c>
      <c r="H104" s="9">
        <f t="shared" si="16"/>
        <v>8</v>
      </c>
      <c r="I104" s="10">
        <f t="shared" si="17"/>
        <v>6</v>
      </c>
    </row>
    <row r="105" spans="1:9" ht="12.75">
      <c r="A105" s="8" t="s">
        <v>28</v>
      </c>
      <c r="B105" s="9">
        <f t="shared" si="14"/>
        <v>34</v>
      </c>
      <c r="C105" s="8"/>
      <c r="D105" s="8"/>
      <c r="E105" s="8">
        <v>8</v>
      </c>
      <c r="F105" s="8">
        <v>5</v>
      </c>
      <c r="G105" s="9">
        <f t="shared" si="15"/>
        <v>3</v>
      </c>
      <c r="H105" s="9">
        <f t="shared" si="16"/>
        <v>31</v>
      </c>
      <c r="I105" s="10">
        <f t="shared" si="17"/>
        <v>18</v>
      </c>
    </row>
    <row r="106" spans="1:9" ht="12.75">
      <c r="A106" s="8" t="s">
        <v>29</v>
      </c>
      <c r="B106" s="9">
        <f t="shared" si="14"/>
        <v>38</v>
      </c>
      <c r="C106" s="8"/>
      <c r="D106" s="8">
        <v>32</v>
      </c>
      <c r="E106" s="8">
        <v>28</v>
      </c>
      <c r="F106" s="8">
        <v>13</v>
      </c>
      <c r="G106" s="9">
        <f t="shared" si="15"/>
        <v>15</v>
      </c>
      <c r="H106" s="9">
        <f t="shared" si="16"/>
        <v>55</v>
      </c>
      <c r="I106" s="10">
        <f t="shared" si="17"/>
        <v>90</v>
      </c>
    </row>
    <row r="107" spans="1:9" ht="12.75">
      <c r="A107" s="8" t="s">
        <v>30</v>
      </c>
      <c r="B107" s="9">
        <f t="shared" si="14"/>
        <v>12</v>
      </c>
      <c r="C107" s="8"/>
      <c r="D107" s="8"/>
      <c r="E107" s="8">
        <v>2</v>
      </c>
      <c r="F107" s="8">
        <v>2</v>
      </c>
      <c r="G107" s="9">
        <f t="shared" si="15"/>
        <v>0</v>
      </c>
      <c r="H107" s="9">
        <f t="shared" si="16"/>
        <v>12</v>
      </c>
      <c r="I107" s="10">
        <f t="shared" si="17"/>
        <v>0</v>
      </c>
    </row>
    <row r="108" spans="1:9" ht="12.75">
      <c r="A108" s="13" t="s">
        <v>31</v>
      </c>
      <c r="B108" s="9">
        <f t="shared" si="14"/>
        <v>15</v>
      </c>
      <c r="C108" s="8"/>
      <c r="D108" s="8"/>
      <c r="E108" s="8">
        <v>2</v>
      </c>
      <c r="F108" s="8">
        <v>2</v>
      </c>
      <c r="G108" s="9">
        <f t="shared" si="15"/>
        <v>0</v>
      </c>
      <c r="H108" s="9">
        <f t="shared" si="16"/>
        <v>15</v>
      </c>
      <c r="I108" s="10">
        <f t="shared" si="17"/>
        <v>0</v>
      </c>
    </row>
    <row r="109" spans="1:9" ht="12.75">
      <c r="A109" s="13" t="s">
        <v>32</v>
      </c>
      <c r="B109" s="9">
        <f t="shared" si="14"/>
        <v>17</v>
      </c>
      <c r="C109" s="8"/>
      <c r="D109" s="8"/>
      <c r="E109" s="8">
        <v>2</v>
      </c>
      <c r="F109" s="8">
        <v>2</v>
      </c>
      <c r="G109" s="9">
        <f t="shared" si="15"/>
        <v>0</v>
      </c>
      <c r="H109" s="9">
        <f t="shared" si="16"/>
        <v>17</v>
      </c>
      <c r="I109" s="10">
        <f t="shared" si="17"/>
        <v>0</v>
      </c>
    </row>
    <row r="110" spans="1:9" ht="12.75">
      <c r="A110" s="14" t="s">
        <v>33</v>
      </c>
      <c r="B110" s="15">
        <f>SUM(B87:B109)</f>
        <v>443</v>
      </c>
      <c r="C110" s="14"/>
      <c r="D110" s="14"/>
      <c r="E110" s="15">
        <f t="shared" ref="E110:G110" si="18">SUM(E86:E109)</f>
        <v>125</v>
      </c>
      <c r="F110" s="15">
        <f t="shared" si="18"/>
        <v>85</v>
      </c>
      <c r="G110" s="15">
        <f t="shared" si="18"/>
        <v>40</v>
      </c>
      <c r="H110" s="15">
        <f>SUM(H87:H109)</f>
        <v>465</v>
      </c>
      <c r="I110" s="16">
        <f>SUM(I86:I109)</f>
        <v>240</v>
      </c>
    </row>
    <row r="111" spans="1:9" ht="12.75">
      <c r="A111" s="17"/>
      <c r="B111" s="17"/>
      <c r="C111" s="17"/>
      <c r="D111" s="17"/>
      <c r="E111" s="17"/>
      <c r="F111" s="134" t="s">
        <v>34</v>
      </c>
      <c r="G111" s="133"/>
      <c r="H111" s="18"/>
      <c r="I111" s="19"/>
    </row>
    <row r="113" spans="1:9">
      <c r="A113" s="1"/>
      <c r="B113" s="131" t="s">
        <v>48</v>
      </c>
      <c r="C113" s="132"/>
      <c r="D113" s="132"/>
      <c r="E113" s="132"/>
      <c r="F113" s="132"/>
      <c r="G113" s="132"/>
      <c r="H113" s="132"/>
      <c r="I113" s="133"/>
    </row>
    <row r="114" spans="1:9" ht="45">
      <c r="A114" s="2" t="s">
        <v>1</v>
      </c>
      <c r="B114" s="6" t="s">
        <v>2</v>
      </c>
      <c r="C114" s="4" t="s">
        <v>3</v>
      </c>
      <c r="D114" s="5" t="s">
        <v>4</v>
      </c>
      <c r="E114" s="2" t="s">
        <v>5</v>
      </c>
      <c r="F114" s="2" t="s">
        <v>6</v>
      </c>
      <c r="G114" s="2" t="s">
        <v>7</v>
      </c>
      <c r="H114" s="6" t="s">
        <v>8</v>
      </c>
      <c r="I114" s="7" t="s">
        <v>9</v>
      </c>
    </row>
    <row r="115" spans="1:9" ht="12.75">
      <c r="A115" s="8" t="s">
        <v>10</v>
      </c>
      <c r="B115" s="9">
        <f t="shared" ref="B115:B137" si="19">H87</f>
        <v>19</v>
      </c>
      <c r="C115" s="8"/>
      <c r="D115" s="8"/>
      <c r="E115" s="8">
        <v>6</v>
      </c>
      <c r="F115" s="8">
        <v>5</v>
      </c>
      <c r="G115" s="9">
        <f t="shared" ref="G115:G137" si="20">E115-F115</f>
        <v>1</v>
      </c>
      <c r="H115" s="9">
        <f t="shared" ref="H115:H131" si="21">B115-C115+D115-G115</f>
        <v>18</v>
      </c>
      <c r="I115" s="10">
        <f t="shared" ref="I115:I137" si="22">G115*6</f>
        <v>6</v>
      </c>
    </row>
    <row r="116" spans="1:9" ht="12.75">
      <c r="A116" s="8" t="s">
        <v>11</v>
      </c>
      <c r="B116" s="9">
        <f t="shared" si="19"/>
        <v>20</v>
      </c>
      <c r="C116" s="11"/>
      <c r="D116" s="8"/>
      <c r="E116" s="8">
        <v>3</v>
      </c>
      <c r="F116" s="8">
        <v>1</v>
      </c>
      <c r="G116" s="9">
        <f t="shared" si="20"/>
        <v>2</v>
      </c>
      <c r="H116" s="9">
        <f t="shared" si="21"/>
        <v>18</v>
      </c>
      <c r="I116" s="10">
        <f t="shared" si="22"/>
        <v>12</v>
      </c>
    </row>
    <row r="117" spans="1:9" ht="12.75">
      <c r="A117" s="8" t="s">
        <v>12</v>
      </c>
      <c r="B117" s="9">
        <f t="shared" si="19"/>
        <v>21</v>
      </c>
      <c r="C117" s="8"/>
      <c r="D117" s="8"/>
      <c r="E117" s="8">
        <v>4</v>
      </c>
      <c r="F117" s="8">
        <v>1</v>
      </c>
      <c r="G117" s="9">
        <f t="shared" si="20"/>
        <v>3</v>
      </c>
      <c r="H117" s="9">
        <f t="shared" si="21"/>
        <v>18</v>
      </c>
      <c r="I117" s="10">
        <f t="shared" si="22"/>
        <v>18</v>
      </c>
    </row>
    <row r="118" spans="1:9" ht="12.75">
      <c r="A118" s="8" t="s">
        <v>13</v>
      </c>
      <c r="B118" s="9">
        <f t="shared" si="19"/>
        <v>20</v>
      </c>
      <c r="C118" s="8"/>
      <c r="D118" s="8"/>
      <c r="E118" s="8">
        <v>6</v>
      </c>
      <c r="F118" s="8">
        <v>3</v>
      </c>
      <c r="G118" s="9">
        <f t="shared" si="20"/>
        <v>3</v>
      </c>
      <c r="H118" s="9">
        <f t="shared" si="21"/>
        <v>17</v>
      </c>
      <c r="I118" s="10">
        <f t="shared" si="22"/>
        <v>18</v>
      </c>
    </row>
    <row r="119" spans="1:9" ht="12.75">
      <c r="A119" s="8" t="s">
        <v>14</v>
      </c>
      <c r="B119" s="9">
        <f t="shared" si="19"/>
        <v>14</v>
      </c>
      <c r="C119" s="8"/>
      <c r="D119" s="8"/>
      <c r="E119" s="8">
        <v>4</v>
      </c>
      <c r="F119" s="8">
        <v>4</v>
      </c>
      <c r="G119" s="9">
        <f t="shared" si="20"/>
        <v>0</v>
      </c>
      <c r="H119" s="9">
        <f t="shared" si="21"/>
        <v>14</v>
      </c>
      <c r="I119" s="10">
        <f t="shared" si="22"/>
        <v>0</v>
      </c>
    </row>
    <row r="120" spans="1:9" ht="12.75">
      <c r="A120" s="8" t="s">
        <v>15</v>
      </c>
      <c r="B120" s="9">
        <f t="shared" si="19"/>
        <v>39</v>
      </c>
      <c r="C120" s="8"/>
      <c r="D120" s="8"/>
      <c r="E120" s="8">
        <v>5</v>
      </c>
      <c r="F120" s="8">
        <v>3</v>
      </c>
      <c r="G120" s="9">
        <f t="shared" si="20"/>
        <v>2</v>
      </c>
      <c r="H120" s="9">
        <f t="shared" si="21"/>
        <v>37</v>
      </c>
      <c r="I120" s="10">
        <f t="shared" si="22"/>
        <v>12</v>
      </c>
    </row>
    <row r="121" spans="1:9" ht="12.75">
      <c r="A121" s="8" t="s">
        <v>16</v>
      </c>
      <c r="B121" s="9">
        <f t="shared" si="19"/>
        <v>12</v>
      </c>
      <c r="C121" s="8"/>
      <c r="D121" s="8"/>
      <c r="E121" s="8">
        <v>4</v>
      </c>
      <c r="F121" s="8">
        <v>3</v>
      </c>
      <c r="G121" s="9">
        <f t="shared" si="20"/>
        <v>1</v>
      </c>
      <c r="H121" s="9">
        <f t="shared" si="21"/>
        <v>11</v>
      </c>
      <c r="I121" s="10">
        <f t="shared" si="22"/>
        <v>6</v>
      </c>
    </row>
    <row r="122" spans="1:9" ht="12.75">
      <c r="A122" s="8" t="s">
        <v>17</v>
      </c>
      <c r="B122" s="9">
        <f t="shared" si="19"/>
        <v>8</v>
      </c>
      <c r="C122" s="8"/>
      <c r="D122" s="8"/>
      <c r="E122" s="8">
        <v>3</v>
      </c>
      <c r="F122" s="8">
        <v>1</v>
      </c>
      <c r="G122" s="9">
        <f t="shared" si="20"/>
        <v>2</v>
      </c>
      <c r="H122" s="9">
        <f t="shared" si="21"/>
        <v>6</v>
      </c>
      <c r="I122" s="10">
        <f t="shared" si="22"/>
        <v>12</v>
      </c>
    </row>
    <row r="123" spans="1:9" ht="12.75">
      <c r="A123" s="8" t="s">
        <v>18</v>
      </c>
      <c r="B123" s="9">
        <f t="shared" si="19"/>
        <v>18</v>
      </c>
      <c r="C123" s="8"/>
      <c r="D123" s="8"/>
      <c r="E123" s="8">
        <v>4</v>
      </c>
      <c r="F123" s="8">
        <v>3</v>
      </c>
      <c r="G123" s="9">
        <f t="shared" si="20"/>
        <v>1</v>
      </c>
      <c r="H123" s="9">
        <f t="shared" si="21"/>
        <v>17</v>
      </c>
      <c r="I123" s="10">
        <f t="shared" si="22"/>
        <v>6</v>
      </c>
    </row>
    <row r="124" spans="1:9" ht="12.75">
      <c r="A124" s="8" t="s">
        <v>19</v>
      </c>
      <c r="B124" s="9">
        <f t="shared" si="19"/>
        <v>24</v>
      </c>
      <c r="C124" s="8"/>
      <c r="D124" s="8"/>
      <c r="E124" s="8">
        <v>5</v>
      </c>
      <c r="F124" s="8">
        <v>4</v>
      </c>
      <c r="G124" s="9">
        <f t="shared" si="20"/>
        <v>1</v>
      </c>
      <c r="H124" s="9">
        <f t="shared" si="21"/>
        <v>23</v>
      </c>
      <c r="I124" s="10">
        <f t="shared" si="22"/>
        <v>6</v>
      </c>
    </row>
    <row r="125" spans="1:9" ht="12.75">
      <c r="A125" s="8" t="s">
        <v>20</v>
      </c>
      <c r="B125" s="9">
        <f t="shared" si="19"/>
        <v>32</v>
      </c>
      <c r="C125" s="8"/>
      <c r="D125" s="8"/>
      <c r="E125" s="8">
        <v>5</v>
      </c>
      <c r="F125" s="8">
        <v>4</v>
      </c>
      <c r="G125" s="9">
        <f t="shared" si="20"/>
        <v>1</v>
      </c>
      <c r="H125" s="9">
        <f t="shared" si="21"/>
        <v>31</v>
      </c>
      <c r="I125" s="10">
        <f t="shared" si="22"/>
        <v>6</v>
      </c>
    </row>
    <row r="126" spans="1:9" ht="12.75">
      <c r="A126" s="8" t="s">
        <v>21</v>
      </c>
      <c r="B126" s="9">
        <f t="shared" si="19"/>
        <v>0</v>
      </c>
      <c r="C126" s="8"/>
      <c r="D126" s="8"/>
      <c r="E126" s="8">
        <v>0</v>
      </c>
      <c r="F126" s="8">
        <v>0</v>
      </c>
      <c r="G126" s="9">
        <f t="shared" si="20"/>
        <v>0</v>
      </c>
      <c r="H126" s="9">
        <f t="shared" si="21"/>
        <v>0</v>
      </c>
      <c r="I126" s="10">
        <f t="shared" si="22"/>
        <v>0</v>
      </c>
    </row>
    <row r="127" spans="1:9" ht="12.75">
      <c r="A127" s="8" t="s">
        <v>22</v>
      </c>
      <c r="B127" s="9">
        <f t="shared" si="19"/>
        <v>28</v>
      </c>
      <c r="C127" s="8"/>
      <c r="D127" s="8"/>
      <c r="E127" s="8">
        <v>4</v>
      </c>
      <c r="F127" s="8">
        <v>3</v>
      </c>
      <c r="G127" s="9">
        <f t="shared" si="20"/>
        <v>1</v>
      </c>
      <c r="H127" s="9">
        <f t="shared" si="21"/>
        <v>27</v>
      </c>
      <c r="I127" s="10">
        <f t="shared" si="22"/>
        <v>6</v>
      </c>
    </row>
    <row r="128" spans="1:9" ht="12.75">
      <c r="A128" s="8" t="s">
        <v>23</v>
      </c>
      <c r="B128" s="9">
        <f t="shared" si="19"/>
        <v>15</v>
      </c>
      <c r="C128" s="11"/>
      <c r="D128" s="8"/>
      <c r="E128" s="8">
        <v>6</v>
      </c>
      <c r="F128" s="8">
        <v>4</v>
      </c>
      <c r="G128" s="9">
        <f t="shared" si="20"/>
        <v>2</v>
      </c>
      <c r="H128" s="9">
        <f t="shared" si="21"/>
        <v>13</v>
      </c>
      <c r="I128" s="10">
        <f t="shared" si="22"/>
        <v>12</v>
      </c>
    </row>
    <row r="129" spans="1:9" ht="12.75">
      <c r="A129" s="8" t="s">
        <v>24</v>
      </c>
      <c r="B129" s="9">
        <f t="shared" si="19"/>
        <v>14</v>
      </c>
      <c r="C129" s="8"/>
      <c r="D129" s="8"/>
      <c r="E129" s="8">
        <v>3</v>
      </c>
      <c r="F129" s="8">
        <v>3</v>
      </c>
      <c r="G129" s="9">
        <f t="shared" si="20"/>
        <v>0</v>
      </c>
      <c r="H129" s="9">
        <f t="shared" si="21"/>
        <v>14</v>
      </c>
      <c r="I129" s="10">
        <f t="shared" si="22"/>
        <v>0</v>
      </c>
    </row>
    <row r="130" spans="1:9" ht="12.75">
      <c r="A130" s="8" t="s">
        <v>25</v>
      </c>
      <c r="B130" s="9">
        <f t="shared" si="19"/>
        <v>31</v>
      </c>
      <c r="C130" s="8"/>
      <c r="D130" s="8"/>
      <c r="E130" s="8">
        <v>8</v>
      </c>
      <c r="F130" s="8">
        <v>0</v>
      </c>
      <c r="G130" s="9">
        <f t="shared" si="20"/>
        <v>8</v>
      </c>
      <c r="H130" s="9">
        <f t="shared" si="21"/>
        <v>23</v>
      </c>
      <c r="I130" s="10">
        <f t="shared" si="22"/>
        <v>48</v>
      </c>
    </row>
    <row r="131" spans="1:9" ht="12.75">
      <c r="A131" s="8" t="s">
        <v>26</v>
      </c>
      <c r="B131" s="9">
        <f t="shared" si="19"/>
        <v>12</v>
      </c>
      <c r="C131" s="8"/>
      <c r="D131" s="8"/>
      <c r="E131" s="8">
        <v>4</v>
      </c>
      <c r="F131" s="8">
        <v>4</v>
      </c>
      <c r="G131" s="9">
        <f t="shared" si="20"/>
        <v>0</v>
      </c>
      <c r="H131" s="9">
        <f t="shared" si="21"/>
        <v>12</v>
      </c>
      <c r="I131" s="10">
        <f t="shared" si="22"/>
        <v>0</v>
      </c>
    </row>
    <row r="132" spans="1:9" ht="12.75">
      <c r="A132" s="8" t="s">
        <v>27</v>
      </c>
      <c r="B132" s="9">
        <f t="shared" si="19"/>
        <v>8</v>
      </c>
      <c r="C132" s="8"/>
      <c r="E132" s="8">
        <v>3</v>
      </c>
      <c r="F132" s="8">
        <v>2</v>
      </c>
      <c r="G132" s="9">
        <f t="shared" si="20"/>
        <v>1</v>
      </c>
      <c r="H132" s="9">
        <f>B132-C132+D134-G132</f>
        <v>7</v>
      </c>
      <c r="I132" s="10">
        <f t="shared" si="22"/>
        <v>6</v>
      </c>
    </row>
    <row r="133" spans="1:9" ht="12.75">
      <c r="A133" s="8" t="s">
        <v>28</v>
      </c>
      <c r="B133" s="9">
        <f t="shared" si="19"/>
        <v>31</v>
      </c>
      <c r="C133" s="8"/>
      <c r="D133" s="8"/>
      <c r="E133" s="8">
        <v>8</v>
      </c>
      <c r="F133" s="8">
        <v>5</v>
      </c>
      <c r="G133" s="9">
        <f t="shared" si="20"/>
        <v>3</v>
      </c>
      <c r="H133" s="9">
        <f t="shared" ref="H133:H137" si="23">B133-C133+D133-G133</f>
        <v>28</v>
      </c>
      <c r="I133" s="10">
        <f t="shared" si="22"/>
        <v>18</v>
      </c>
    </row>
    <row r="134" spans="1:9" ht="12.75">
      <c r="A134" s="8" t="s">
        <v>29</v>
      </c>
      <c r="B134" s="9">
        <f t="shared" si="19"/>
        <v>55</v>
      </c>
      <c r="C134" s="8"/>
      <c r="D134" s="8"/>
      <c r="E134" s="8">
        <v>28</v>
      </c>
      <c r="F134" s="8">
        <v>6</v>
      </c>
      <c r="G134" s="9">
        <f t="shared" si="20"/>
        <v>22</v>
      </c>
      <c r="H134" s="9">
        <f t="shared" si="23"/>
        <v>33</v>
      </c>
      <c r="I134" s="10">
        <f t="shared" si="22"/>
        <v>132</v>
      </c>
    </row>
    <row r="135" spans="1:9" ht="12.75">
      <c r="A135" s="8" t="s">
        <v>30</v>
      </c>
      <c r="B135" s="9">
        <f t="shared" si="19"/>
        <v>12</v>
      </c>
      <c r="C135" s="8"/>
      <c r="D135" s="8"/>
      <c r="E135" s="8">
        <v>2</v>
      </c>
      <c r="F135" s="8">
        <v>1</v>
      </c>
      <c r="G135" s="9">
        <f t="shared" si="20"/>
        <v>1</v>
      </c>
      <c r="H135" s="9">
        <f t="shared" si="23"/>
        <v>11</v>
      </c>
      <c r="I135" s="10">
        <f t="shared" si="22"/>
        <v>6</v>
      </c>
    </row>
    <row r="136" spans="1:9" ht="12.75">
      <c r="A136" s="13" t="s">
        <v>31</v>
      </c>
      <c r="B136" s="9">
        <f t="shared" si="19"/>
        <v>15</v>
      </c>
      <c r="C136" s="8"/>
      <c r="D136" s="8"/>
      <c r="E136" s="8">
        <v>2</v>
      </c>
      <c r="F136" s="8">
        <v>1</v>
      </c>
      <c r="G136" s="9">
        <f t="shared" si="20"/>
        <v>1</v>
      </c>
      <c r="H136" s="9">
        <f t="shared" si="23"/>
        <v>14</v>
      </c>
      <c r="I136" s="10">
        <f t="shared" si="22"/>
        <v>6</v>
      </c>
    </row>
    <row r="137" spans="1:9" ht="12.75">
      <c r="A137" s="13" t="s">
        <v>32</v>
      </c>
      <c r="B137" s="9">
        <f t="shared" si="19"/>
        <v>17</v>
      </c>
      <c r="C137" s="8"/>
      <c r="D137" s="8"/>
      <c r="E137" s="8">
        <v>2</v>
      </c>
      <c r="F137" s="8">
        <v>2</v>
      </c>
      <c r="G137" s="9">
        <f t="shared" si="20"/>
        <v>0</v>
      </c>
      <c r="H137" s="9">
        <f t="shared" si="23"/>
        <v>17</v>
      </c>
      <c r="I137" s="10">
        <f t="shared" si="22"/>
        <v>0</v>
      </c>
    </row>
    <row r="138" spans="1:9" ht="12.75">
      <c r="A138" s="14" t="s">
        <v>33</v>
      </c>
      <c r="B138" s="15">
        <f>SUM(B115:B137)</f>
        <v>465</v>
      </c>
      <c r="C138" s="14"/>
      <c r="D138" s="14"/>
      <c r="E138" s="15">
        <f t="shared" ref="E138:G138" si="24">SUM(E114:E137)</f>
        <v>119</v>
      </c>
      <c r="F138" s="15">
        <f t="shared" si="24"/>
        <v>63</v>
      </c>
      <c r="G138" s="15">
        <f t="shared" si="24"/>
        <v>56</v>
      </c>
      <c r="H138" s="15">
        <f>SUM(H115:H137)</f>
        <v>409</v>
      </c>
      <c r="I138" s="16">
        <f>SUM(I114:I137)</f>
        <v>336</v>
      </c>
    </row>
    <row r="139" spans="1:9" ht="12.75">
      <c r="A139" s="17"/>
      <c r="B139" s="17"/>
      <c r="C139" s="17"/>
      <c r="D139" s="17"/>
      <c r="E139" s="17"/>
      <c r="F139" s="134" t="s">
        <v>34</v>
      </c>
      <c r="G139" s="133"/>
      <c r="H139" s="18"/>
      <c r="I139" s="19"/>
    </row>
    <row r="141" spans="1:9">
      <c r="A141" s="1"/>
      <c r="B141" s="131" t="s">
        <v>49</v>
      </c>
      <c r="C141" s="132"/>
      <c r="D141" s="132"/>
      <c r="E141" s="132"/>
      <c r="F141" s="132"/>
      <c r="G141" s="132"/>
      <c r="H141" s="132"/>
      <c r="I141" s="133"/>
    </row>
    <row r="142" spans="1:9" ht="45">
      <c r="A142" s="2" t="s">
        <v>1</v>
      </c>
      <c r="B142" s="6" t="s">
        <v>2</v>
      </c>
      <c r="C142" s="4" t="s">
        <v>3</v>
      </c>
      <c r="D142" s="5" t="s">
        <v>4</v>
      </c>
      <c r="E142" s="2" t="s">
        <v>5</v>
      </c>
      <c r="F142" s="2" t="s">
        <v>6</v>
      </c>
      <c r="G142" s="2" t="s">
        <v>7</v>
      </c>
      <c r="H142" s="6" t="s">
        <v>8</v>
      </c>
      <c r="I142" s="7" t="s">
        <v>9</v>
      </c>
    </row>
    <row r="143" spans="1:9" ht="12.75">
      <c r="A143" s="8" t="s">
        <v>10</v>
      </c>
      <c r="B143" s="9">
        <f t="shared" ref="B143:B165" si="25">H115</f>
        <v>18</v>
      </c>
      <c r="C143" s="8">
        <v>1</v>
      </c>
      <c r="D143" s="8"/>
      <c r="E143" s="8">
        <v>6</v>
      </c>
      <c r="F143" s="8">
        <v>4</v>
      </c>
      <c r="G143" s="9">
        <f t="shared" ref="G143:G165" si="26">E143-F143</f>
        <v>2</v>
      </c>
      <c r="H143" s="9">
        <f t="shared" ref="H143:H165" si="27">B143-C143+D143-G143</f>
        <v>15</v>
      </c>
      <c r="I143" s="10">
        <f t="shared" ref="I143:I165" si="28">G143*6</f>
        <v>12</v>
      </c>
    </row>
    <row r="144" spans="1:9" ht="12.75">
      <c r="A144" s="8" t="s">
        <v>11</v>
      </c>
      <c r="B144" s="9">
        <f t="shared" si="25"/>
        <v>18</v>
      </c>
      <c r="C144" s="11"/>
      <c r="D144" s="8"/>
      <c r="E144" s="8">
        <v>3</v>
      </c>
      <c r="F144" s="8">
        <v>1</v>
      </c>
      <c r="G144" s="9">
        <f t="shared" si="26"/>
        <v>2</v>
      </c>
      <c r="H144" s="9">
        <f t="shared" si="27"/>
        <v>16</v>
      </c>
      <c r="I144" s="10">
        <f t="shared" si="28"/>
        <v>12</v>
      </c>
    </row>
    <row r="145" spans="1:9" ht="12.75">
      <c r="A145" s="8" t="s">
        <v>12</v>
      </c>
      <c r="B145" s="9">
        <f t="shared" si="25"/>
        <v>18</v>
      </c>
      <c r="C145" s="8"/>
      <c r="D145" s="8"/>
      <c r="E145" s="8">
        <v>5</v>
      </c>
      <c r="F145" s="8">
        <v>1</v>
      </c>
      <c r="G145" s="9">
        <f t="shared" si="26"/>
        <v>4</v>
      </c>
      <c r="H145" s="9">
        <f t="shared" si="27"/>
        <v>14</v>
      </c>
      <c r="I145" s="10">
        <f t="shared" si="28"/>
        <v>24</v>
      </c>
    </row>
    <row r="146" spans="1:9" ht="12.75">
      <c r="A146" s="8" t="s">
        <v>13</v>
      </c>
      <c r="B146" s="9">
        <f t="shared" si="25"/>
        <v>17</v>
      </c>
      <c r="C146" s="8">
        <v>2</v>
      </c>
      <c r="D146" s="8"/>
      <c r="E146" s="8">
        <v>6</v>
      </c>
      <c r="F146" s="8">
        <v>5</v>
      </c>
      <c r="G146" s="9">
        <f t="shared" si="26"/>
        <v>1</v>
      </c>
      <c r="H146" s="9">
        <f t="shared" si="27"/>
        <v>14</v>
      </c>
      <c r="I146" s="10">
        <f t="shared" si="28"/>
        <v>6</v>
      </c>
    </row>
    <row r="147" spans="1:9" ht="12.75">
      <c r="A147" s="8" t="s">
        <v>14</v>
      </c>
      <c r="B147" s="9">
        <f t="shared" si="25"/>
        <v>14</v>
      </c>
      <c r="C147" s="8"/>
      <c r="D147" s="8"/>
      <c r="E147" s="8">
        <v>4</v>
      </c>
      <c r="F147" s="8">
        <v>1</v>
      </c>
      <c r="G147" s="9">
        <f t="shared" si="26"/>
        <v>3</v>
      </c>
      <c r="H147" s="9">
        <f t="shared" si="27"/>
        <v>11</v>
      </c>
      <c r="I147" s="10">
        <f t="shared" si="28"/>
        <v>18</v>
      </c>
    </row>
    <row r="148" spans="1:9" ht="12.75">
      <c r="A148" s="8" t="s">
        <v>15</v>
      </c>
      <c r="B148" s="9">
        <f t="shared" si="25"/>
        <v>37</v>
      </c>
      <c r="C148" s="8">
        <v>2</v>
      </c>
      <c r="D148" s="8"/>
      <c r="E148" s="8">
        <v>6</v>
      </c>
      <c r="F148" s="8">
        <v>3</v>
      </c>
      <c r="G148" s="9">
        <f t="shared" si="26"/>
        <v>3</v>
      </c>
      <c r="H148" s="9">
        <f t="shared" si="27"/>
        <v>32</v>
      </c>
      <c r="I148" s="10">
        <f t="shared" si="28"/>
        <v>18</v>
      </c>
    </row>
    <row r="149" spans="1:9" ht="12.75">
      <c r="A149" s="8" t="s">
        <v>16</v>
      </c>
      <c r="B149" s="9">
        <f t="shared" si="25"/>
        <v>11</v>
      </c>
      <c r="C149" s="8"/>
      <c r="D149" s="8">
        <v>3</v>
      </c>
      <c r="E149" s="8">
        <v>4</v>
      </c>
      <c r="F149" s="8">
        <v>3</v>
      </c>
      <c r="G149" s="9">
        <f t="shared" si="26"/>
        <v>1</v>
      </c>
      <c r="H149" s="9">
        <f t="shared" si="27"/>
        <v>13</v>
      </c>
      <c r="I149" s="10">
        <f t="shared" si="28"/>
        <v>6</v>
      </c>
    </row>
    <row r="150" spans="1:9" ht="12.75">
      <c r="A150" s="8" t="s">
        <v>17</v>
      </c>
      <c r="B150" s="9">
        <f t="shared" si="25"/>
        <v>6</v>
      </c>
      <c r="C150" s="8"/>
      <c r="D150" s="8"/>
      <c r="E150" s="8">
        <v>3</v>
      </c>
      <c r="F150" s="8">
        <v>2</v>
      </c>
      <c r="G150" s="9">
        <f t="shared" si="26"/>
        <v>1</v>
      </c>
      <c r="H150" s="9">
        <f t="shared" si="27"/>
        <v>5</v>
      </c>
      <c r="I150" s="10">
        <f t="shared" si="28"/>
        <v>6</v>
      </c>
    </row>
    <row r="151" spans="1:9" ht="12.75">
      <c r="A151" s="8" t="s">
        <v>18</v>
      </c>
      <c r="B151" s="9">
        <f t="shared" si="25"/>
        <v>17</v>
      </c>
      <c r="C151" s="8">
        <v>4</v>
      </c>
      <c r="D151" s="8">
        <v>31</v>
      </c>
      <c r="E151" s="8">
        <v>5</v>
      </c>
      <c r="F151" s="8">
        <v>2</v>
      </c>
      <c r="G151" s="9">
        <f t="shared" si="26"/>
        <v>3</v>
      </c>
      <c r="H151" s="9">
        <f t="shared" si="27"/>
        <v>41</v>
      </c>
      <c r="I151" s="10">
        <f t="shared" si="28"/>
        <v>18</v>
      </c>
    </row>
    <row r="152" spans="1:9" ht="12.75">
      <c r="A152" s="8" t="s">
        <v>19</v>
      </c>
      <c r="B152" s="9">
        <f t="shared" si="25"/>
        <v>23</v>
      </c>
      <c r="C152" s="8"/>
      <c r="D152" s="8"/>
      <c r="E152" s="8">
        <v>5</v>
      </c>
      <c r="F152" s="8">
        <v>2</v>
      </c>
      <c r="G152" s="9">
        <f t="shared" si="26"/>
        <v>3</v>
      </c>
      <c r="H152" s="9">
        <f t="shared" si="27"/>
        <v>20</v>
      </c>
      <c r="I152" s="10">
        <f t="shared" si="28"/>
        <v>18</v>
      </c>
    </row>
    <row r="153" spans="1:9" ht="12.75">
      <c r="A153" s="8" t="s">
        <v>20</v>
      </c>
      <c r="B153" s="9">
        <f t="shared" si="25"/>
        <v>31</v>
      </c>
      <c r="C153" s="8"/>
      <c r="D153" s="8"/>
      <c r="E153" s="8">
        <v>5</v>
      </c>
      <c r="F153" s="8">
        <v>4</v>
      </c>
      <c r="G153" s="9">
        <f t="shared" si="26"/>
        <v>1</v>
      </c>
      <c r="H153" s="9">
        <f t="shared" si="27"/>
        <v>30</v>
      </c>
      <c r="I153" s="10">
        <f t="shared" si="28"/>
        <v>6</v>
      </c>
    </row>
    <row r="154" spans="1:9" ht="12.75">
      <c r="A154" s="8" t="s">
        <v>21</v>
      </c>
      <c r="B154" s="9">
        <f t="shared" si="25"/>
        <v>0</v>
      </c>
      <c r="C154" s="8"/>
      <c r="D154" s="8">
        <v>18</v>
      </c>
      <c r="E154" s="8">
        <v>0</v>
      </c>
      <c r="F154" s="8">
        <v>0</v>
      </c>
      <c r="G154" s="9">
        <f t="shared" si="26"/>
        <v>0</v>
      </c>
      <c r="H154" s="9">
        <f t="shared" si="27"/>
        <v>18</v>
      </c>
      <c r="I154" s="10">
        <f t="shared" si="28"/>
        <v>0</v>
      </c>
    </row>
    <row r="155" spans="1:9" ht="12.75">
      <c r="A155" s="8" t="s">
        <v>22</v>
      </c>
      <c r="B155" s="9">
        <f t="shared" si="25"/>
        <v>27</v>
      </c>
      <c r="C155" s="8"/>
      <c r="D155" s="8"/>
      <c r="E155" s="8">
        <v>4</v>
      </c>
      <c r="F155" s="8">
        <v>4</v>
      </c>
      <c r="G155" s="9">
        <f t="shared" si="26"/>
        <v>0</v>
      </c>
      <c r="H155" s="9">
        <f t="shared" si="27"/>
        <v>27</v>
      </c>
      <c r="I155" s="10">
        <f t="shared" si="28"/>
        <v>0</v>
      </c>
    </row>
    <row r="156" spans="1:9" ht="12.75">
      <c r="A156" s="8" t="s">
        <v>23</v>
      </c>
      <c r="B156" s="9">
        <f t="shared" si="25"/>
        <v>13</v>
      </c>
      <c r="C156" s="11">
        <v>6</v>
      </c>
      <c r="D156" s="8">
        <v>29</v>
      </c>
      <c r="E156" s="8">
        <v>6</v>
      </c>
      <c r="F156" s="8">
        <v>3</v>
      </c>
      <c r="G156" s="9">
        <f t="shared" si="26"/>
        <v>3</v>
      </c>
      <c r="H156" s="9">
        <f t="shared" si="27"/>
        <v>33</v>
      </c>
      <c r="I156" s="10">
        <f t="shared" si="28"/>
        <v>18</v>
      </c>
    </row>
    <row r="157" spans="1:9" ht="12.75">
      <c r="A157" s="8" t="s">
        <v>24</v>
      </c>
      <c r="B157" s="9">
        <f t="shared" si="25"/>
        <v>14</v>
      </c>
      <c r="C157" s="8"/>
      <c r="D157" s="8">
        <v>1</v>
      </c>
      <c r="E157" s="8">
        <v>3</v>
      </c>
      <c r="F157" s="8">
        <v>3</v>
      </c>
      <c r="G157" s="9">
        <f t="shared" si="26"/>
        <v>0</v>
      </c>
      <c r="H157" s="9">
        <f t="shared" si="27"/>
        <v>15</v>
      </c>
      <c r="I157" s="10">
        <f t="shared" si="28"/>
        <v>0</v>
      </c>
    </row>
    <row r="158" spans="1:9" ht="12.75">
      <c r="A158" s="8" t="s">
        <v>25</v>
      </c>
      <c r="B158" s="9">
        <f t="shared" si="25"/>
        <v>23</v>
      </c>
      <c r="C158" s="8"/>
      <c r="D158" s="8"/>
      <c r="E158" s="8">
        <v>8</v>
      </c>
      <c r="F158" s="8">
        <v>5</v>
      </c>
      <c r="G158" s="9">
        <f t="shared" si="26"/>
        <v>3</v>
      </c>
      <c r="H158" s="9">
        <f t="shared" si="27"/>
        <v>20</v>
      </c>
      <c r="I158" s="10">
        <f t="shared" si="28"/>
        <v>18</v>
      </c>
    </row>
    <row r="159" spans="1:9" ht="12.75">
      <c r="A159" s="8" t="s">
        <v>26</v>
      </c>
      <c r="B159" s="9">
        <f t="shared" si="25"/>
        <v>12</v>
      </c>
      <c r="C159" s="8"/>
      <c r="D159" s="8"/>
      <c r="E159" s="8">
        <v>4</v>
      </c>
      <c r="F159" s="8">
        <v>4</v>
      </c>
      <c r="G159" s="9">
        <f t="shared" si="26"/>
        <v>0</v>
      </c>
      <c r="H159" s="9">
        <f t="shared" si="27"/>
        <v>12</v>
      </c>
      <c r="I159" s="10">
        <f t="shared" si="28"/>
        <v>0</v>
      </c>
    </row>
    <row r="160" spans="1:9" ht="12.75">
      <c r="A160" s="8" t="s">
        <v>27</v>
      </c>
      <c r="B160" s="9">
        <f t="shared" si="25"/>
        <v>7</v>
      </c>
      <c r="C160" s="8">
        <v>4</v>
      </c>
      <c r="D160" s="8"/>
      <c r="E160" s="8">
        <v>3</v>
      </c>
      <c r="F160" s="8">
        <v>3</v>
      </c>
      <c r="G160" s="9">
        <f t="shared" si="26"/>
        <v>0</v>
      </c>
      <c r="H160" s="9">
        <f t="shared" si="27"/>
        <v>3</v>
      </c>
      <c r="I160" s="10">
        <f t="shared" si="28"/>
        <v>0</v>
      </c>
    </row>
    <row r="161" spans="1:9" ht="12.75">
      <c r="A161" s="8" t="s">
        <v>28</v>
      </c>
      <c r="B161" s="9">
        <f t="shared" si="25"/>
        <v>28</v>
      </c>
      <c r="C161" s="8">
        <v>4</v>
      </c>
      <c r="D161" s="8"/>
      <c r="E161" s="8">
        <v>8</v>
      </c>
      <c r="F161" s="8">
        <v>3</v>
      </c>
      <c r="G161" s="9">
        <f t="shared" si="26"/>
        <v>5</v>
      </c>
      <c r="H161" s="9">
        <f t="shared" si="27"/>
        <v>19</v>
      </c>
      <c r="I161" s="10">
        <f t="shared" si="28"/>
        <v>30</v>
      </c>
    </row>
    <row r="162" spans="1:9" ht="12.75">
      <c r="A162" s="8" t="s">
        <v>29</v>
      </c>
      <c r="B162" s="9">
        <f t="shared" si="25"/>
        <v>33</v>
      </c>
      <c r="C162" s="8">
        <v>4</v>
      </c>
      <c r="D162" s="8">
        <v>72</v>
      </c>
      <c r="E162" s="8">
        <v>29</v>
      </c>
      <c r="F162" s="8">
        <v>17</v>
      </c>
      <c r="G162" s="9">
        <f t="shared" si="26"/>
        <v>12</v>
      </c>
      <c r="H162" s="9">
        <f t="shared" si="27"/>
        <v>89</v>
      </c>
      <c r="I162" s="10">
        <f t="shared" si="28"/>
        <v>72</v>
      </c>
    </row>
    <row r="163" spans="1:9" ht="12.75">
      <c r="A163" s="8" t="s">
        <v>30</v>
      </c>
      <c r="B163" s="9">
        <f t="shared" si="25"/>
        <v>11</v>
      </c>
      <c r="C163" s="8"/>
      <c r="D163" s="8"/>
      <c r="E163" s="8">
        <v>2</v>
      </c>
      <c r="F163" s="8">
        <v>1</v>
      </c>
      <c r="G163" s="9">
        <f t="shared" si="26"/>
        <v>1</v>
      </c>
      <c r="H163" s="9">
        <f t="shared" si="27"/>
        <v>10</v>
      </c>
      <c r="I163" s="10">
        <f t="shared" si="28"/>
        <v>6</v>
      </c>
    </row>
    <row r="164" spans="1:9" ht="12.75">
      <c r="A164" s="13" t="s">
        <v>31</v>
      </c>
      <c r="B164" s="9">
        <f t="shared" si="25"/>
        <v>14</v>
      </c>
      <c r="C164" s="8"/>
      <c r="D164" s="8">
        <v>5</v>
      </c>
      <c r="E164" s="8">
        <v>2</v>
      </c>
      <c r="F164" s="8">
        <v>2</v>
      </c>
      <c r="G164" s="9">
        <f t="shared" si="26"/>
        <v>0</v>
      </c>
      <c r="H164" s="9">
        <f t="shared" si="27"/>
        <v>19</v>
      </c>
      <c r="I164" s="10">
        <f t="shared" si="28"/>
        <v>0</v>
      </c>
    </row>
    <row r="165" spans="1:9" ht="12.75">
      <c r="A165" s="13" t="s">
        <v>32</v>
      </c>
      <c r="B165" s="9">
        <f t="shared" si="25"/>
        <v>17</v>
      </c>
      <c r="C165" s="8"/>
      <c r="D165" s="8"/>
      <c r="E165" s="8">
        <v>2</v>
      </c>
      <c r="F165" s="8">
        <v>2</v>
      </c>
      <c r="G165" s="9">
        <f t="shared" si="26"/>
        <v>0</v>
      </c>
      <c r="H165" s="9">
        <f t="shared" si="27"/>
        <v>17</v>
      </c>
      <c r="I165" s="10">
        <f t="shared" si="28"/>
        <v>0</v>
      </c>
    </row>
    <row r="166" spans="1:9" ht="12.75">
      <c r="A166" s="14" t="s">
        <v>33</v>
      </c>
      <c r="B166" s="15">
        <f>SUM(B143:B165)</f>
        <v>409</v>
      </c>
      <c r="C166" s="14"/>
      <c r="D166" s="14"/>
      <c r="E166" s="15">
        <f t="shared" ref="E166:G166" si="29">SUM(E142:E165)</f>
        <v>123</v>
      </c>
      <c r="F166" s="15">
        <f t="shared" si="29"/>
        <v>75</v>
      </c>
      <c r="G166" s="15">
        <f t="shared" si="29"/>
        <v>48</v>
      </c>
      <c r="H166" s="15">
        <f>SUM(H143:H165)</f>
        <v>493</v>
      </c>
      <c r="I166" s="16">
        <f>SUM(I142:I165)</f>
        <v>288</v>
      </c>
    </row>
    <row r="167" spans="1:9" ht="12.75">
      <c r="A167" s="17"/>
      <c r="B167" s="17"/>
      <c r="C167" s="17"/>
      <c r="D167" s="17"/>
      <c r="E167" s="17"/>
      <c r="F167" s="134" t="s">
        <v>34</v>
      </c>
      <c r="G167" s="133"/>
      <c r="H167" s="18"/>
      <c r="I167" s="19"/>
    </row>
    <row r="169" spans="1:9">
      <c r="A169" s="1"/>
      <c r="B169" s="131" t="s">
        <v>50</v>
      </c>
      <c r="C169" s="132"/>
      <c r="D169" s="132"/>
      <c r="E169" s="132"/>
      <c r="F169" s="132"/>
      <c r="G169" s="132"/>
      <c r="H169" s="132"/>
      <c r="I169" s="133"/>
    </row>
    <row r="170" spans="1:9" ht="45">
      <c r="A170" s="2" t="s">
        <v>1</v>
      </c>
      <c r="B170" s="6" t="s">
        <v>2</v>
      </c>
      <c r="C170" s="4" t="s">
        <v>3</v>
      </c>
      <c r="D170" s="5" t="s">
        <v>4</v>
      </c>
      <c r="E170" s="2" t="s">
        <v>5</v>
      </c>
      <c r="F170" s="2" t="s">
        <v>6</v>
      </c>
      <c r="G170" s="2" t="s">
        <v>7</v>
      </c>
      <c r="H170" s="6" t="s">
        <v>8</v>
      </c>
      <c r="I170" s="7" t="s">
        <v>9</v>
      </c>
    </row>
    <row r="171" spans="1:9" ht="12.75">
      <c r="A171" s="8" t="s">
        <v>10</v>
      </c>
      <c r="B171" s="9">
        <f t="shared" ref="B171:B193" si="30">H143</f>
        <v>15</v>
      </c>
      <c r="C171" s="8"/>
      <c r="D171" s="8">
        <v>37</v>
      </c>
      <c r="E171" s="8">
        <v>6</v>
      </c>
      <c r="F171" s="8">
        <v>5</v>
      </c>
      <c r="G171" s="9">
        <f t="shared" ref="G171:G193" si="31">E171-F171</f>
        <v>1</v>
      </c>
      <c r="H171" s="9">
        <f t="shared" ref="H171:H193" si="32">B171-C171+D171-G171</f>
        <v>51</v>
      </c>
      <c r="I171" s="10">
        <f t="shared" ref="I171:I193" si="33">G171*6</f>
        <v>6</v>
      </c>
    </row>
    <row r="172" spans="1:9" ht="12.75">
      <c r="A172" s="8" t="s">
        <v>11</v>
      </c>
      <c r="B172" s="9">
        <f t="shared" si="30"/>
        <v>16</v>
      </c>
      <c r="C172" s="11"/>
      <c r="D172" s="8"/>
      <c r="E172" s="8">
        <v>3</v>
      </c>
      <c r="F172" s="8">
        <v>1</v>
      </c>
      <c r="G172" s="9">
        <f t="shared" si="31"/>
        <v>2</v>
      </c>
      <c r="H172" s="9">
        <f t="shared" si="32"/>
        <v>14</v>
      </c>
      <c r="I172" s="10">
        <f t="shared" si="33"/>
        <v>12</v>
      </c>
    </row>
    <row r="173" spans="1:9" ht="12.75">
      <c r="A173" s="8" t="s">
        <v>12</v>
      </c>
      <c r="B173" s="9">
        <f t="shared" si="30"/>
        <v>14</v>
      </c>
      <c r="C173" s="8"/>
      <c r="D173" s="8"/>
      <c r="E173" s="8">
        <v>4</v>
      </c>
      <c r="F173" s="8">
        <v>1</v>
      </c>
      <c r="G173" s="9">
        <f t="shared" si="31"/>
        <v>3</v>
      </c>
      <c r="H173" s="9">
        <f t="shared" si="32"/>
        <v>11</v>
      </c>
      <c r="I173" s="10">
        <f t="shared" si="33"/>
        <v>18</v>
      </c>
    </row>
    <row r="174" spans="1:9" ht="12.75">
      <c r="A174" s="8" t="s">
        <v>13</v>
      </c>
      <c r="B174" s="9">
        <f t="shared" si="30"/>
        <v>14</v>
      </c>
      <c r="C174" s="8"/>
      <c r="D174" s="8"/>
      <c r="E174" s="8">
        <v>6</v>
      </c>
      <c r="F174" s="8">
        <v>5</v>
      </c>
      <c r="G174" s="9">
        <f t="shared" si="31"/>
        <v>1</v>
      </c>
      <c r="H174" s="9">
        <f t="shared" si="32"/>
        <v>13</v>
      </c>
      <c r="I174" s="10">
        <f t="shared" si="33"/>
        <v>6</v>
      </c>
    </row>
    <row r="175" spans="1:9" ht="12.75">
      <c r="A175" s="8" t="s">
        <v>14</v>
      </c>
      <c r="B175" s="9">
        <f t="shared" si="30"/>
        <v>11</v>
      </c>
      <c r="C175" s="8"/>
      <c r="D175" s="8"/>
      <c r="E175" s="8">
        <v>4</v>
      </c>
      <c r="F175" s="8">
        <v>2</v>
      </c>
      <c r="G175" s="9">
        <f t="shared" si="31"/>
        <v>2</v>
      </c>
      <c r="H175" s="9">
        <f t="shared" si="32"/>
        <v>9</v>
      </c>
      <c r="I175" s="10">
        <f t="shared" si="33"/>
        <v>12</v>
      </c>
    </row>
    <row r="176" spans="1:9" ht="12.75">
      <c r="A176" s="8" t="s">
        <v>15</v>
      </c>
      <c r="B176" s="9">
        <f t="shared" si="30"/>
        <v>32</v>
      </c>
      <c r="C176" s="8"/>
      <c r="D176" s="8"/>
      <c r="E176" s="8">
        <v>5</v>
      </c>
      <c r="F176" s="8">
        <v>4</v>
      </c>
      <c r="G176" s="9">
        <f t="shared" si="31"/>
        <v>1</v>
      </c>
      <c r="H176" s="9">
        <f t="shared" si="32"/>
        <v>31</v>
      </c>
      <c r="I176" s="10">
        <f t="shared" si="33"/>
        <v>6</v>
      </c>
    </row>
    <row r="177" spans="1:9" ht="12.75">
      <c r="A177" s="8" t="s">
        <v>16</v>
      </c>
      <c r="B177" s="9">
        <f t="shared" si="30"/>
        <v>13</v>
      </c>
      <c r="C177" s="8"/>
      <c r="D177" s="8"/>
      <c r="E177" s="8">
        <v>4</v>
      </c>
      <c r="F177" s="8">
        <v>0</v>
      </c>
      <c r="G177" s="9">
        <f t="shared" si="31"/>
        <v>4</v>
      </c>
      <c r="H177" s="9">
        <f t="shared" si="32"/>
        <v>9</v>
      </c>
      <c r="I177" s="10">
        <f t="shared" si="33"/>
        <v>24</v>
      </c>
    </row>
    <row r="178" spans="1:9" ht="12.75">
      <c r="A178" s="8" t="s">
        <v>17</v>
      </c>
      <c r="B178" s="9">
        <f t="shared" si="30"/>
        <v>5</v>
      </c>
      <c r="C178" s="8"/>
      <c r="D178" s="8"/>
      <c r="E178" s="8">
        <v>3</v>
      </c>
      <c r="F178" s="8">
        <v>3</v>
      </c>
      <c r="G178" s="9">
        <f t="shared" si="31"/>
        <v>0</v>
      </c>
      <c r="H178" s="9">
        <f t="shared" si="32"/>
        <v>5</v>
      </c>
      <c r="I178" s="10">
        <f t="shared" si="33"/>
        <v>0</v>
      </c>
    </row>
    <row r="179" spans="1:9" ht="12.75">
      <c r="A179" s="8" t="s">
        <v>18</v>
      </c>
      <c r="B179" s="9">
        <f t="shared" si="30"/>
        <v>41</v>
      </c>
      <c r="C179" s="8"/>
      <c r="D179" s="8"/>
      <c r="E179" s="8">
        <v>6</v>
      </c>
      <c r="F179" s="8">
        <v>3</v>
      </c>
      <c r="G179" s="9">
        <f t="shared" si="31"/>
        <v>3</v>
      </c>
      <c r="H179" s="9">
        <f t="shared" si="32"/>
        <v>38</v>
      </c>
      <c r="I179" s="10">
        <f t="shared" si="33"/>
        <v>18</v>
      </c>
    </row>
    <row r="180" spans="1:9" ht="12.75">
      <c r="A180" s="8" t="s">
        <v>19</v>
      </c>
      <c r="B180" s="9">
        <f t="shared" si="30"/>
        <v>20</v>
      </c>
      <c r="C180" s="8"/>
      <c r="D180" s="8"/>
      <c r="E180" s="8">
        <v>5</v>
      </c>
      <c r="F180" s="8">
        <v>4</v>
      </c>
      <c r="G180" s="9">
        <f t="shared" si="31"/>
        <v>1</v>
      </c>
      <c r="H180" s="9">
        <f t="shared" si="32"/>
        <v>19</v>
      </c>
      <c r="I180" s="10">
        <f t="shared" si="33"/>
        <v>6</v>
      </c>
    </row>
    <row r="181" spans="1:9" ht="12.75">
      <c r="A181" s="8" t="s">
        <v>20</v>
      </c>
      <c r="B181" s="9">
        <f t="shared" si="30"/>
        <v>30</v>
      </c>
      <c r="C181" s="8"/>
      <c r="D181" s="8"/>
      <c r="E181" s="8">
        <v>5</v>
      </c>
      <c r="F181" s="8">
        <v>4</v>
      </c>
      <c r="G181" s="9">
        <f t="shared" si="31"/>
        <v>1</v>
      </c>
      <c r="H181" s="9">
        <f t="shared" si="32"/>
        <v>29</v>
      </c>
      <c r="I181" s="10">
        <f t="shared" si="33"/>
        <v>6</v>
      </c>
    </row>
    <row r="182" spans="1:9" ht="12.75">
      <c r="A182" s="8" t="s">
        <v>21</v>
      </c>
      <c r="B182" s="9">
        <f t="shared" si="30"/>
        <v>18</v>
      </c>
      <c r="C182" s="8">
        <v>1</v>
      </c>
      <c r="D182" s="8"/>
      <c r="E182" s="8">
        <v>2</v>
      </c>
      <c r="F182" s="8">
        <v>2</v>
      </c>
      <c r="G182" s="9">
        <f t="shared" si="31"/>
        <v>0</v>
      </c>
      <c r="H182" s="9">
        <f t="shared" si="32"/>
        <v>17</v>
      </c>
      <c r="I182" s="10">
        <f t="shared" si="33"/>
        <v>0</v>
      </c>
    </row>
    <row r="183" spans="1:9" ht="12.75">
      <c r="A183" s="8" t="s">
        <v>22</v>
      </c>
      <c r="B183" s="9">
        <f t="shared" si="30"/>
        <v>27</v>
      </c>
      <c r="C183" s="8"/>
      <c r="D183" s="8"/>
      <c r="E183" s="8">
        <v>4</v>
      </c>
      <c r="F183" s="8">
        <v>1</v>
      </c>
      <c r="G183" s="9">
        <f t="shared" si="31"/>
        <v>3</v>
      </c>
      <c r="H183" s="9">
        <f t="shared" si="32"/>
        <v>24</v>
      </c>
      <c r="I183" s="10">
        <f t="shared" si="33"/>
        <v>18</v>
      </c>
    </row>
    <row r="184" spans="1:9" ht="12.75">
      <c r="A184" s="8" t="s">
        <v>23</v>
      </c>
      <c r="B184" s="9">
        <f t="shared" si="30"/>
        <v>33</v>
      </c>
      <c r="C184" s="11"/>
      <c r="D184" s="8"/>
      <c r="E184" s="8">
        <v>6</v>
      </c>
      <c r="F184" s="8">
        <v>5</v>
      </c>
      <c r="G184" s="9">
        <f t="shared" si="31"/>
        <v>1</v>
      </c>
      <c r="H184" s="9">
        <f t="shared" si="32"/>
        <v>32</v>
      </c>
      <c r="I184" s="10">
        <f t="shared" si="33"/>
        <v>6</v>
      </c>
    </row>
    <row r="185" spans="1:9" ht="12.75">
      <c r="A185" s="8" t="s">
        <v>24</v>
      </c>
      <c r="B185" s="9">
        <f t="shared" si="30"/>
        <v>15</v>
      </c>
      <c r="C185" s="8">
        <v>2</v>
      </c>
      <c r="D185" s="8"/>
      <c r="E185" s="8">
        <v>3</v>
      </c>
      <c r="F185" s="8">
        <v>3</v>
      </c>
      <c r="G185" s="9">
        <f t="shared" si="31"/>
        <v>0</v>
      </c>
      <c r="H185" s="9">
        <f t="shared" si="32"/>
        <v>13</v>
      </c>
      <c r="I185" s="10">
        <f t="shared" si="33"/>
        <v>0</v>
      </c>
    </row>
    <row r="186" spans="1:9" ht="12.75">
      <c r="A186" s="8" t="s">
        <v>25</v>
      </c>
      <c r="B186" s="9">
        <f t="shared" si="30"/>
        <v>20</v>
      </c>
      <c r="C186" s="8"/>
      <c r="D186" s="8">
        <v>29</v>
      </c>
      <c r="E186" s="8">
        <v>8</v>
      </c>
      <c r="F186" s="8">
        <v>2</v>
      </c>
      <c r="G186" s="9">
        <f t="shared" si="31"/>
        <v>6</v>
      </c>
      <c r="H186" s="9">
        <f t="shared" si="32"/>
        <v>43</v>
      </c>
      <c r="I186" s="10">
        <f t="shared" si="33"/>
        <v>36</v>
      </c>
    </row>
    <row r="187" spans="1:9" ht="12.75">
      <c r="A187" s="8" t="s">
        <v>26</v>
      </c>
      <c r="B187" s="9">
        <f t="shared" si="30"/>
        <v>12</v>
      </c>
      <c r="C187" s="8"/>
      <c r="D187" s="8"/>
      <c r="E187" s="8">
        <v>4</v>
      </c>
      <c r="F187" s="8">
        <v>1</v>
      </c>
      <c r="G187" s="9">
        <f t="shared" si="31"/>
        <v>3</v>
      </c>
      <c r="H187" s="9">
        <f t="shared" si="32"/>
        <v>9</v>
      </c>
      <c r="I187" s="10">
        <f t="shared" si="33"/>
        <v>18</v>
      </c>
    </row>
    <row r="188" spans="1:9" ht="12.75">
      <c r="A188" s="8" t="s">
        <v>27</v>
      </c>
      <c r="B188" s="9">
        <f t="shared" si="30"/>
        <v>3</v>
      </c>
      <c r="C188" s="8"/>
      <c r="D188" s="8"/>
      <c r="E188" s="8">
        <v>3</v>
      </c>
      <c r="F188" s="8">
        <v>2</v>
      </c>
      <c r="G188" s="9">
        <f t="shared" si="31"/>
        <v>1</v>
      </c>
      <c r="H188" s="9">
        <f t="shared" si="32"/>
        <v>2</v>
      </c>
      <c r="I188" s="10">
        <f t="shared" si="33"/>
        <v>6</v>
      </c>
    </row>
    <row r="189" spans="1:9" ht="12.75">
      <c r="A189" s="8" t="s">
        <v>28</v>
      </c>
      <c r="B189" s="9">
        <f t="shared" si="30"/>
        <v>19</v>
      </c>
      <c r="C189" s="8"/>
      <c r="D189" s="8"/>
      <c r="E189" s="8">
        <v>8</v>
      </c>
      <c r="F189" s="8">
        <v>8</v>
      </c>
      <c r="G189" s="9">
        <f t="shared" si="31"/>
        <v>0</v>
      </c>
      <c r="H189" s="9">
        <f t="shared" si="32"/>
        <v>19</v>
      </c>
      <c r="I189" s="10">
        <f t="shared" si="33"/>
        <v>0</v>
      </c>
    </row>
    <row r="190" spans="1:9" ht="12.75">
      <c r="A190" s="8" t="s">
        <v>29</v>
      </c>
      <c r="B190" s="9">
        <f t="shared" si="30"/>
        <v>89</v>
      </c>
      <c r="C190" s="8"/>
      <c r="D190" s="8"/>
      <c r="E190" s="8">
        <v>30</v>
      </c>
      <c r="F190" s="8">
        <v>13</v>
      </c>
      <c r="G190" s="9">
        <f t="shared" si="31"/>
        <v>17</v>
      </c>
      <c r="H190" s="9">
        <f t="shared" si="32"/>
        <v>72</v>
      </c>
      <c r="I190" s="10">
        <f t="shared" si="33"/>
        <v>102</v>
      </c>
    </row>
    <row r="191" spans="1:9" ht="12.75">
      <c r="A191" s="8" t="s">
        <v>30</v>
      </c>
      <c r="B191" s="9">
        <f t="shared" si="30"/>
        <v>10</v>
      </c>
      <c r="C191" s="8"/>
      <c r="D191" s="8"/>
      <c r="E191" s="8">
        <v>2</v>
      </c>
      <c r="F191" s="8">
        <v>2</v>
      </c>
      <c r="G191" s="9">
        <f t="shared" si="31"/>
        <v>0</v>
      </c>
      <c r="H191" s="9">
        <f t="shared" si="32"/>
        <v>10</v>
      </c>
      <c r="I191" s="10">
        <f t="shared" si="33"/>
        <v>0</v>
      </c>
    </row>
    <row r="192" spans="1:9" ht="12.75">
      <c r="A192" s="13" t="s">
        <v>31</v>
      </c>
      <c r="B192" s="9">
        <f t="shared" si="30"/>
        <v>19</v>
      </c>
      <c r="C192" s="8"/>
      <c r="D192" s="8"/>
      <c r="E192" s="8">
        <v>2</v>
      </c>
      <c r="F192" s="8">
        <v>1</v>
      </c>
      <c r="G192" s="9">
        <f t="shared" si="31"/>
        <v>1</v>
      </c>
      <c r="H192" s="9">
        <f t="shared" si="32"/>
        <v>18</v>
      </c>
      <c r="I192" s="10">
        <f t="shared" si="33"/>
        <v>6</v>
      </c>
    </row>
    <row r="193" spans="1:9" ht="12.75">
      <c r="A193" s="13" t="s">
        <v>32</v>
      </c>
      <c r="B193" s="9">
        <f t="shared" si="30"/>
        <v>17</v>
      </c>
      <c r="C193" s="8"/>
      <c r="D193" s="8"/>
      <c r="E193" s="8">
        <v>2</v>
      </c>
      <c r="F193" s="8">
        <v>1</v>
      </c>
      <c r="G193" s="9">
        <f t="shared" si="31"/>
        <v>1</v>
      </c>
      <c r="H193" s="9">
        <f t="shared" si="32"/>
        <v>16</v>
      </c>
      <c r="I193" s="10">
        <f t="shared" si="33"/>
        <v>6</v>
      </c>
    </row>
    <row r="194" spans="1:9" ht="12.75">
      <c r="A194" s="14" t="s">
        <v>33</v>
      </c>
      <c r="B194" s="15">
        <f>SUM(B171:B193)</f>
        <v>493</v>
      </c>
      <c r="C194" s="14"/>
      <c r="D194" s="14"/>
      <c r="E194" s="15">
        <f t="shared" ref="E194:G194" si="34">SUM(E170:E193)</f>
        <v>125</v>
      </c>
      <c r="F194" s="15">
        <f t="shared" si="34"/>
        <v>73</v>
      </c>
      <c r="G194" s="15">
        <f t="shared" si="34"/>
        <v>52</v>
      </c>
      <c r="H194" s="15">
        <f>SUM(H171:H193)</f>
        <v>504</v>
      </c>
      <c r="I194" s="16">
        <f>SUM(I170:I193)</f>
        <v>312</v>
      </c>
    </row>
    <row r="195" spans="1:9" ht="12.75">
      <c r="A195" s="17"/>
      <c r="B195" s="17"/>
      <c r="C195" s="17"/>
      <c r="D195" s="17"/>
      <c r="E195" s="17"/>
      <c r="F195" s="134" t="s">
        <v>34</v>
      </c>
      <c r="G195" s="133"/>
      <c r="H195" s="18"/>
      <c r="I195" s="19"/>
    </row>
    <row r="197" spans="1:9">
      <c r="A197" s="1"/>
      <c r="B197" s="131" t="s">
        <v>51</v>
      </c>
      <c r="C197" s="132"/>
      <c r="D197" s="132"/>
      <c r="E197" s="132"/>
      <c r="F197" s="132"/>
      <c r="G197" s="132"/>
      <c r="H197" s="132"/>
      <c r="I197" s="133"/>
    </row>
    <row r="198" spans="1:9" ht="45">
      <c r="A198" s="2" t="s">
        <v>1</v>
      </c>
      <c r="B198" s="6" t="s">
        <v>2</v>
      </c>
      <c r="C198" s="4" t="s">
        <v>3</v>
      </c>
      <c r="D198" s="5" t="s">
        <v>4</v>
      </c>
      <c r="E198" s="2" t="s">
        <v>5</v>
      </c>
      <c r="F198" s="2" t="s">
        <v>6</v>
      </c>
      <c r="G198" s="2" t="s">
        <v>7</v>
      </c>
      <c r="H198" s="6" t="s">
        <v>8</v>
      </c>
      <c r="I198" s="7" t="s">
        <v>9</v>
      </c>
    </row>
    <row r="199" spans="1:9" ht="12.75">
      <c r="A199" s="8" t="s">
        <v>10</v>
      </c>
      <c r="B199" s="9">
        <f t="shared" ref="B199:B221" si="35">H171</f>
        <v>51</v>
      </c>
      <c r="C199" s="8"/>
      <c r="D199" s="8"/>
      <c r="E199" s="8">
        <v>6</v>
      </c>
      <c r="F199" s="8">
        <v>3</v>
      </c>
      <c r="G199" s="9">
        <f t="shared" ref="G199:G221" si="36">E199-F199</f>
        <v>3</v>
      </c>
      <c r="H199" s="9">
        <f t="shared" ref="H199:H221" si="37">B199-C199+D199-G199</f>
        <v>48</v>
      </c>
      <c r="I199" s="10">
        <f t="shared" ref="I199:I221" si="38">G199*6</f>
        <v>18</v>
      </c>
    </row>
    <row r="200" spans="1:9" ht="12.75">
      <c r="A200" s="8" t="s">
        <v>11</v>
      </c>
      <c r="B200" s="9">
        <f t="shared" si="35"/>
        <v>14</v>
      </c>
      <c r="C200" s="11"/>
      <c r="D200" s="8"/>
      <c r="E200" s="8">
        <v>4</v>
      </c>
      <c r="F200" s="8">
        <v>2</v>
      </c>
      <c r="G200" s="9">
        <f t="shared" si="36"/>
        <v>2</v>
      </c>
      <c r="H200" s="9">
        <f t="shared" si="37"/>
        <v>12</v>
      </c>
      <c r="I200" s="10">
        <f t="shared" si="38"/>
        <v>12</v>
      </c>
    </row>
    <row r="201" spans="1:9" ht="12.75">
      <c r="A201" s="8" t="s">
        <v>12</v>
      </c>
      <c r="B201" s="9">
        <f t="shared" si="35"/>
        <v>11</v>
      </c>
      <c r="C201" s="8"/>
      <c r="D201" s="8"/>
      <c r="E201" s="8">
        <v>4</v>
      </c>
      <c r="F201" s="8">
        <v>3</v>
      </c>
      <c r="G201" s="9">
        <f t="shared" si="36"/>
        <v>1</v>
      </c>
      <c r="H201" s="9">
        <f t="shared" si="37"/>
        <v>10</v>
      </c>
      <c r="I201" s="10">
        <f t="shared" si="38"/>
        <v>6</v>
      </c>
    </row>
    <row r="202" spans="1:9" ht="12.75">
      <c r="A202" s="8" t="s">
        <v>13</v>
      </c>
      <c r="B202" s="9">
        <f t="shared" si="35"/>
        <v>13</v>
      </c>
      <c r="C202" s="8"/>
      <c r="D202" s="8"/>
      <c r="E202" s="8">
        <v>6</v>
      </c>
      <c r="F202" s="8">
        <v>3</v>
      </c>
      <c r="G202" s="9">
        <f t="shared" si="36"/>
        <v>3</v>
      </c>
      <c r="H202" s="9">
        <f t="shared" si="37"/>
        <v>10</v>
      </c>
      <c r="I202" s="10">
        <f t="shared" si="38"/>
        <v>18</v>
      </c>
    </row>
    <row r="203" spans="1:9" ht="12.75">
      <c r="A203" s="8" t="s">
        <v>14</v>
      </c>
      <c r="B203" s="9">
        <f t="shared" si="35"/>
        <v>9</v>
      </c>
      <c r="C203" s="8"/>
      <c r="D203" s="8"/>
      <c r="E203" s="8">
        <v>4</v>
      </c>
      <c r="F203" s="8">
        <v>2</v>
      </c>
      <c r="G203" s="9">
        <f t="shared" si="36"/>
        <v>2</v>
      </c>
      <c r="H203" s="9">
        <f t="shared" si="37"/>
        <v>7</v>
      </c>
      <c r="I203" s="10">
        <f t="shared" si="38"/>
        <v>12</v>
      </c>
    </row>
    <row r="204" spans="1:9" ht="12.75">
      <c r="A204" s="8" t="s">
        <v>15</v>
      </c>
      <c r="B204" s="9">
        <f t="shared" si="35"/>
        <v>31</v>
      </c>
      <c r="C204" s="8"/>
      <c r="D204" s="8"/>
      <c r="E204" s="8">
        <v>5</v>
      </c>
      <c r="F204" s="8">
        <v>3</v>
      </c>
      <c r="G204" s="9">
        <f t="shared" si="36"/>
        <v>2</v>
      </c>
      <c r="H204" s="9">
        <f t="shared" si="37"/>
        <v>29</v>
      </c>
      <c r="I204" s="10">
        <f t="shared" si="38"/>
        <v>12</v>
      </c>
    </row>
    <row r="205" spans="1:9" ht="12.75">
      <c r="A205" s="8" t="s">
        <v>16</v>
      </c>
      <c r="B205" s="9">
        <f t="shared" si="35"/>
        <v>9</v>
      </c>
      <c r="C205" s="8"/>
      <c r="D205" s="8"/>
      <c r="E205" s="8">
        <v>5</v>
      </c>
      <c r="F205" s="8">
        <v>4</v>
      </c>
      <c r="G205" s="9">
        <f t="shared" si="36"/>
        <v>1</v>
      </c>
      <c r="H205" s="9">
        <f t="shared" si="37"/>
        <v>8</v>
      </c>
      <c r="I205" s="10">
        <f t="shared" si="38"/>
        <v>6</v>
      </c>
    </row>
    <row r="206" spans="1:9" ht="12.75">
      <c r="A206" s="8" t="s">
        <v>17</v>
      </c>
      <c r="B206" s="9">
        <f t="shared" si="35"/>
        <v>5</v>
      </c>
      <c r="C206" s="8"/>
      <c r="D206" s="8"/>
      <c r="E206" s="8">
        <v>3</v>
      </c>
      <c r="F206" s="8">
        <v>0</v>
      </c>
      <c r="G206" s="9">
        <f t="shared" si="36"/>
        <v>3</v>
      </c>
      <c r="H206" s="9">
        <f t="shared" si="37"/>
        <v>2</v>
      </c>
      <c r="I206" s="10">
        <f t="shared" si="38"/>
        <v>18</v>
      </c>
    </row>
    <row r="207" spans="1:9" ht="12.75">
      <c r="A207" s="8" t="s">
        <v>18</v>
      </c>
      <c r="B207" s="9">
        <f t="shared" si="35"/>
        <v>38</v>
      </c>
      <c r="C207" s="8"/>
      <c r="D207" s="8"/>
      <c r="E207" s="8">
        <v>5</v>
      </c>
      <c r="F207" s="8">
        <v>3</v>
      </c>
      <c r="G207" s="9">
        <f t="shared" si="36"/>
        <v>2</v>
      </c>
      <c r="H207" s="9">
        <f t="shared" si="37"/>
        <v>36</v>
      </c>
      <c r="I207" s="10">
        <f t="shared" si="38"/>
        <v>12</v>
      </c>
    </row>
    <row r="208" spans="1:9" ht="12.75">
      <c r="A208" s="8" t="s">
        <v>19</v>
      </c>
      <c r="B208" s="9">
        <f t="shared" si="35"/>
        <v>19</v>
      </c>
      <c r="C208" s="8"/>
      <c r="D208" s="8"/>
      <c r="E208" s="8">
        <v>5</v>
      </c>
      <c r="F208" s="8">
        <v>1</v>
      </c>
      <c r="G208" s="9">
        <f t="shared" si="36"/>
        <v>4</v>
      </c>
      <c r="H208" s="9">
        <f t="shared" si="37"/>
        <v>15</v>
      </c>
      <c r="I208" s="10">
        <f t="shared" si="38"/>
        <v>24</v>
      </c>
    </row>
    <row r="209" spans="1:9" ht="12.75">
      <c r="A209" s="8" t="s">
        <v>20</v>
      </c>
      <c r="B209" s="9">
        <f t="shared" si="35"/>
        <v>29</v>
      </c>
      <c r="C209" s="8"/>
      <c r="D209" s="8"/>
      <c r="E209" s="8">
        <v>6</v>
      </c>
      <c r="F209" s="8">
        <v>1</v>
      </c>
      <c r="G209" s="9">
        <f t="shared" si="36"/>
        <v>5</v>
      </c>
      <c r="H209" s="9">
        <f t="shared" si="37"/>
        <v>24</v>
      </c>
      <c r="I209" s="10">
        <f t="shared" si="38"/>
        <v>30</v>
      </c>
    </row>
    <row r="210" spans="1:9" ht="12.75">
      <c r="A210" s="8" t="s">
        <v>21</v>
      </c>
      <c r="B210" s="9">
        <f t="shared" si="35"/>
        <v>17</v>
      </c>
      <c r="C210" s="8"/>
      <c r="D210" s="8"/>
      <c r="E210" s="8">
        <v>2</v>
      </c>
      <c r="F210" s="8">
        <v>2</v>
      </c>
      <c r="G210" s="9">
        <f t="shared" si="36"/>
        <v>0</v>
      </c>
      <c r="H210" s="9">
        <f t="shared" si="37"/>
        <v>17</v>
      </c>
      <c r="I210" s="10">
        <f t="shared" si="38"/>
        <v>0</v>
      </c>
    </row>
    <row r="211" spans="1:9" ht="12.75">
      <c r="A211" s="8" t="s">
        <v>22</v>
      </c>
      <c r="B211" s="9">
        <f t="shared" si="35"/>
        <v>24</v>
      </c>
      <c r="C211" s="8"/>
      <c r="D211" s="8"/>
      <c r="E211" s="8">
        <v>4</v>
      </c>
      <c r="F211" s="8">
        <v>0</v>
      </c>
      <c r="G211" s="9">
        <f t="shared" si="36"/>
        <v>4</v>
      </c>
      <c r="H211" s="9">
        <f t="shared" si="37"/>
        <v>20</v>
      </c>
      <c r="I211" s="10">
        <f t="shared" si="38"/>
        <v>24</v>
      </c>
    </row>
    <row r="212" spans="1:9" ht="12.75">
      <c r="A212" s="8" t="s">
        <v>23</v>
      </c>
      <c r="B212" s="9">
        <f t="shared" si="35"/>
        <v>32</v>
      </c>
      <c r="C212" s="11"/>
      <c r="D212" s="8"/>
      <c r="E212" s="8">
        <v>8</v>
      </c>
      <c r="F212" s="8">
        <v>2</v>
      </c>
      <c r="G212" s="9">
        <f t="shared" si="36"/>
        <v>6</v>
      </c>
      <c r="H212" s="9">
        <f t="shared" si="37"/>
        <v>26</v>
      </c>
      <c r="I212" s="10">
        <f t="shared" si="38"/>
        <v>36</v>
      </c>
    </row>
    <row r="213" spans="1:9" ht="12.75">
      <c r="A213" s="8" t="s">
        <v>24</v>
      </c>
      <c r="B213" s="9">
        <f t="shared" si="35"/>
        <v>13</v>
      </c>
      <c r="C213" s="8"/>
      <c r="D213" s="8"/>
      <c r="E213" s="8">
        <v>3</v>
      </c>
      <c r="F213" s="8">
        <v>2</v>
      </c>
      <c r="G213" s="9">
        <f t="shared" si="36"/>
        <v>1</v>
      </c>
      <c r="H213" s="9">
        <f t="shared" si="37"/>
        <v>12</v>
      </c>
      <c r="I213" s="10">
        <f t="shared" si="38"/>
        <v>6</v>
      </c>
    </row>
    <row r="214" spans="1:9" ht="12.75">
      <c r="A214" s="8" t="s">
        <v>25</v>
      </c>
      <c r="B214" s="9">
        <f t="shared" si="35"/>
        <v>43</v>
      </c>
      <c r="C214" s="8"/>
      <c r="D214" s="8"/>
      <c r="E214" s="8">
        <v>13</v>
      </c>
      <c r="F214" s="8">
        <v>4</v>
      </c>
      <c r="G214" s="9">
        <f t="shared" si="36"/>
        <v>9</v>
      </c>
      <c r="H214" s="9">
        <f t="shared" si="37"/>
        <v>34</v>
      </c>
      <c r="I214" s="10">
        <f t="shared" si="38"/>
        <v>54</v>
      </c>
    </row>
    <row r="215" spans="1:9" ht="12.75">
      <c r="A215" s="8" t="s">
        <v>26</v>
      </c>
      <c r="B215" s="9">
        <f t="shared" si="35"/>
        <v>9</v>
      </c>
      <c r="C215" s="8"/>
      <c r="D215" s="8"/>
      <c r="E215" s="8">
        <v>4</v>
      </c>
      <c r="F215" s="8">
        <v>1</v>
      </c>
      <c r="G215" s="9">
        <f t="shared" si="36"/>
        <v>3</v>
      </c>
      <c r="H215" s="9">
        <f t="shared" si="37"/>
        <v>6</v>
      </c>
      <c r="I215" s="10">
        <f t="shared" si="38"/>
        <v>18</v>
      </c>
    </row>
    <row r="216" spans="1:9" ht="12.75">
      <c r="A216" s="8" t="s">
        <v>27</v>
      </c>
      <c r="B216" s="9">
        <f t="shared" si="35"/>
        <v>2</v>
      </c>
      <c r="C216" s="8"/>
      <c r="D216" s="8">
        <v>29</v>
      </c>
      <c r="E216" s="8">
        <v>2</v>
      </c>
      <c r="F216" s="8">
        <v>0</v>
      </c>
      <c r="G216" s="9">
        <f t="shared" si="36"/>
        <v>2</v>
      </c>
      <c r="H216" s="9">
        <f t="shared" si="37"/>
        <v>29</v>
      </c>
      <c r="I216" s="10">
        <f t="shared" si="38"/>
        <v>12</v>
      </c>
    </row>
    <row r="217" spans="1:9" ht="12.75">
      <c r="A217" s="8" t="s">
        <v>28</v>
      </c>
      <c r="B217" s="9">
        <f t="shared" si="35"/>
        <v>19</v>
      </c>
      <c r="C217" s="8"/>
      <c r="D217" s="8"/>
      <c r="E217" s="8">
        <v>8</v>
      </c>
      <c r="F217" s="8">
        <v>6</v>
      </c>
      <c r="G217" s="9">
        <f t="shared" si="36"/>
        <v>2</v>
      </c>
      <c r="H217" s="9">
        <f t="shared" si="37"/>
        <v>17</v>
      </c>
      <c r="I217" s="10">
        <f t="shared" si="38"/>
        <v>12</v>
      </c>
    </row>
    <row r="218" spans="1:9" ht="12.75">
      <c r="A218" s="8" t="s">
        <v>29</v>
      </c>
      <c r="B218" s="9">
        <f t="shared" si="35"/>
        <v>72</v>
      </c>
      <c r="C218" s="8"/>
      <c r="D218" s="8">
        <v>36</v>
      </c>
      <c r="E218" s="8">
        <v>28</v>
      </c>
      <c r="F218" s="8">
        <v>11</v>
      </c>
      <c r="G218" s="9">
        <f t="shared" si="36"/>
        <v>17</v>
      </c>
      <c r="H218" s="9">
        <f t="shared" si="37"/>
        <v>91</v>
      </c>
      <c r="I218" s="10">
        <f t="shared" si="38"/>
        <v>102</v>
      </c>
    </row>
    <row r="219" spans="1:9" ht="12.75">
      <c r="A219" s="8" t="s">
        <v>30</v>
      </c>
      <c r="B219" s="9">
        <f t="shared" si="35"/>
        <v>10</v>
      </c>
      <c r="C219" s="8"/>
      <c r="D219" s="8"/>
      <c r="E219" s="8">
        <v>3</v>
      </c>
      <c r="F219" s="8">
        <v>3</v>
      </c>
      <c r="G219" s="9">
        <f t="shared" si="36"/>
        <v>0</v>
      </c>
      <c r="H219" s="9">
        <f t="shared" si="37"/>
        <v>10</v>
      </c>
      <c r="I219" s="10">
        <f t="shared" si="38"/>
        <v>0</v>
      </c>
    </row>
    <row r="220" spans="1:9" ht="12.75">
      <c r="A220" s="13" t="s">
        <v>31</v>
      </c>
      <c r="B220" s="9">
        <f t="shared" si="35"/>
        <v>18</v>
      </c>
      <c r="C220" s="8"/>
      <c r="D220" s="8"/>
      <c r="E220" s="8">
        <v>2</v>
      </c>
      <c r="F220" s="8">
        <v>1</v>
      </c>
      <c r="G220" s="9">
        <f t="shared" si="36"/>
        <v>1</v>
      </c>
      <c r="H220" s="9">
        <f t="shared" si="37"/>
        <v>17</v>
      </c>
      <c r="I220" s="10">
        <f t="shared" si="38"/>
        <v>6</v>
      </c>
    </row>
    <row r="221" spans="1:9" ht="12.75">
      <c r="A221" s="13" t="s">
        <v>32</v>
      </c>
      <c r="B221" s="9">
        <f t="shared" si="35"/>
        <v>16</v>
      </c>
      <c r="C221" s="8"/>
      <c r="D221" s="8"/>
      <c r="E221" s="8">
        <v>2</v>
      </c>
      <c r="F221" s="8">
        <v>2</v>
      </c>
      <c r="G221" s="9">
        <f t="shared" si="36"/>
        <v>0</v>
      </c>
      <c r="H221" s="9">
        <f t="shared" si="37"/>
        <v>16</v>
      </c>
      <c r="I221" s="10">
        <f t="shared" si="38"/>
        <v>0</v>
      </c>
    </row>
    <row r="222" spans="1:9" ht="12.75">
      <c r="A222" s="14" t="s">
        <v>33</v>
      </c>
      <c r="B222" s="15">
        <f>SUM(B199:B221)</f>
        <v>504</v>
      </c>
      <c r="C222" s="14"/>
      <c r="D222" s="14"/>
      <c r="E222" s="15">
        <f t="shared" ref="E222:G222" si="39">SUM(E198:E221)</f>
        <v>132</v>
      </c>
      <c r="F222" s="15">
        <f t="shared" si="39"/>
        <v>59</v>
      </c>
      <c r="G222" s="15">
        <f t="shared" si="39"/>
        <v>73</v>
      </c>
      <c r="H222" s="15">
        <f>SUM(H199:H221)</f>
        <v>496</v>
      </c>
      <c r="I222" s="16">
        <f>SUM(I198:I221)</f>
        <v>438</v>
      </c>
    </row>
    <row r="223" spans="1:9" ht="12.75">
      <c r="A223" s="17"/>
      <c r="B223" s="17"/>
      <c r="C223" s="17"/>
      <c r="D223" s="17"/>
      <c r="E223" s="17"/>
      <c r="F223" s="134" t="s">
        <v>34</v>
      </c>
      <c r="G223" s="133"/>
      <c r="H223" s="18"/>
      <c r="I223" s="19"/>
    </row>
    <row r="225" spans="1:9">
      <c r="A225" s="1"/>
      <c r="B225" s="131" t="s">
        <v>52</v>
      </c>
      <c r="C225" s="132"/>
      <c r="D225" s="132"/>
      <c r="E225" s="132"/>
      <c r="F225" s="132"/>
      <c r="G225" s="132"/>
      <c r="H225" s="132"/>
      <c r="I225" s="133"/>
    </row>
    <row r="226" spans="1:9" ht="45">
      <c r="A226" s="2" t="s">
        <v>1</v>
      </c>
      <c r="B226" s="6" t="s">
        <v>2</v>
      </c>
      <c r="C226" s="4" t="s">
        <v>3</v>
      </c>
      <c r="D226" s="5" t="s">
        <v>4</v>
      </c>
      <c r="E226" s="2" t="s">
        <v>5</v>
      </c>
      <c r="F226" s="2" t="s">
        <v>6</v>
      </c>
      <c r="G226" s="2" t="s">
        <v>7</v>
      </c>
      <c r="H226" s="6" t="s">
        <v>8</v>
      </c>
      <c r="I226" s="7" t="s">
        <v>9</v>
      </c>
    </row>
    <row r="227" spans="1:9" ht="12.75">
      <c r="A227" s="8" t="s">
        <v>10</v>
      </c>
      <c r="B227" s="9">
        <f t="shared" ref="B227:B249" si="40">H199</f>
        <v>48</v>
      </c>
      <c r="C227" s="8"/>
      <c r="D227" s="8"/>
      <c r="E227" s="8">
        <v>6</v>
      </c>
      <c r="F227" s="8">
        <v>3</v>
      </c>
      <c r="G227" s="9">
        <f t="shared" ref="G227:G249" si="41">E227-F227</f>
        <v>3</v>
      </c>
      <c r="H227" s="9">
        <f t="shared" ref="H227:H249" si="42">B227-C227+D227-G227</f>
        <v>45</v>
      </c>
      <c r="I227" s="10">
        <f t="shared" ref="I227:I249" si="43">G227*6</f>
        <v>18</v>
      </c>
    </row>
    <row r="228" spans="1:9" ht="12.75">
      <c r="A228" s="8" t="s">
        <v>11</v>
      </c>
      <c r="B228" s="9">
        <f t="shared" si="40"/>
        <v>12</v>
      </c>
      <c r="C228" s="11"/>
      <c r="D228" s="8"/>
      <c r="E228" s="8">
        <v>3</v>
      </c>
      <c r="F228" s="8">
        <v>2</v>
      </c>
      <c r="G228" s="9">
        <f t="shared" si="41"/>
        <v>1</v>
      </c>
      <c r="H228" s="9">
        <f t="shared" si="42"/>
        <v>11</v>
      </c>
      <c r="I228" s="10">
        <f t="shared" si="43"/>
        <v>6</v>
      </c>
    </row>
    <row r="229" spans="1:9" ht="12.75">
      <c r="A229" s="8" t="s">
        <v>12</v>
      </c>
      <c r="B229" s="9">
        <f t="shared" si="40"/>
        <v>10</v>
      </c>
      <c r="C229" s="8">
        <v>4</v>
      </c>
      <c r="D229" s="8">
        <v>40</v>
      </c>
      <c r="E229" s="8">
        <v>5</v>
      </c>
      <c r="F229" s="8">
        <v>4</v>
      </c>
      <c r="G229" s="9">
        <f t="shared" si="41"/>
        <v>1</v>
      </c>
      <c r="H229" s="9">
        <f t="shared" si="42"/>
        <v>45</v>
      </c>
      <c r="I229" s="10">
        <f t="shared" si="43"/>
        <v>6</v>
      </c>
    </row>
    <row r="230" spans="1:9" ht="12.75">
      <c r="A230" s="8" t="s">
        <v>13</v>
      </c>
      <c r="B230" s="9">
        <f t="shared" si="40"/>
        <v>10</v>
      </c>
      <c r="C230" s="8"/>
      <c r="D230" s="8"/>
      <c r="E230" s="8">
        <v>6</v>
      </c>
      <c r="F230" s="8">
        <v>4</v>
      </c>
      <c r="G230" s="9">
        <f t="shared" si="41"/>
        <v>2</v>
      </c>
      <c r="H230" s="9">
        <f t="shared" si="42"/>
        <v>8</v>
      </c>
      <c r="I230" s="10">
        <f t="shared" si="43"/>
        <v>12</v>
      </c>
    </row>
    <row r="231" spans="1:9" ht="12.75">
      <c r="A231" s="8" t="s">
        <v>14</v>
      </c>
      <c r="B231" s="9">
        <f t="shared" si="40"/>
        <v>7</v>
      </c>
      <c r="C231" s="8"/>
      <c r="D231" s="8">
        <v>29</v>
      </c>
      <c r="E231" s="8">
        <v>4</v>
      </c>
      <c r="F231" s="8">
        <v>1</v>
      </c>
      <c r="G231" s="9">
        <f t="shared" si="41"/>
        <v>3</v>
      </c>
      <c r="H231" s="9">
        <f t="shared" si="42"/>
        <v>33</v>
      </c>
      <c r="I231" s="10">
        <f t="shared" si="43"/>
        <v>18</v>
      </c>
    </row>
    <row r="232" spans="1:9" ht="12.75">
      <c r="A232" s="8" t="s">
        <v>15</v>
      </c>
      <c r="B232" s="9">
        <f t="shared" si="40"/>
        <v>29</v>
      </c>
      <c r="C232" s="8"/>
      <c r="D232" s="8"/>
      <c r="E232" s="8">
        <v>5</v>
      </c>
      <c r="F232" s="8">
        <v>2</v>
      </c>
      <c r="G232" s="9">
        <f t="shared" si="41"/>
        <v>3</v>
      </c>
      <c r="H232" s="9">
        <f t="shared" si="42"/>
        <v>26</v>
      </c>
      <c r="I232" s="10">
        <f t="shared" si="43"/>
        <v>18</v>
      </c>
    </row>
    <row r="233" spans="1:9" ht="12.75">
      <c r="A233" s="8" t="s">
        <v>16</v>
      </c>
      <c r="B233" s="9">
        <f t="shared" si="40"/>
        <v>8</v>
      </c>
      <c r="C233" s="8"/>
      <c r="D233" s="8">
        <v>3</v>
      </c>
      <c r="E233" s="8">
        <v>4</v>
      </c>
      <c r="F233" s="8">
        <v>2</v>
      </c>
      <c r="G233" s="9">
        <f t="shared" si="41"/>
        <v>2</v>
      </c>
      <c r="H233" s="9">
        <f t="shared" si="42"/>
        <v>9</v>
      </c>
      <c r="I233" s="10">
        <f t="shared" si="43"/>
        <v>12</v>
      </c>
    </row>
    <row r="234" spans="1:9" ht="12.75">
      <c r="A234" s="8" t="s">
        <v>17</v>
      </c>
      <c r="B234" s="9">
        <f t="shared" si="40"/>
        <v>2</v>
      </c>
      <c r="C234" s="8"/>
      <c r="D234" s="8">
        <v>2</v>
      </c>
      <c r="E234" s="8">
        <v>3</v>
      </c>
      <c r="F234" s="8">
        <v>2</v>
      </c>
      <c r="G234" s="9">
        <f t="shared" si="41"/>
        <v>1</v>
      </c>
      <c r="H234" s="9">
        <f t="shared" si="42"/>
        <v>3</v>
      </c>
      <c r="I234" s="10">
        <f t="shared" si="43"/>
        <v>6</v>
      </c>
    </row>
    <row r="235" spans="1:9" ht="12.75">
      <c r="A235" s="8" t="s">
        <v>18</v>
      </c>
      <c r="B235" s="9">
        <f t="shared" si="40"/>
        <v>36</v>
      </c>
      <c r="C235" s="8"/>
      <c r="D235" s="8"/>
      <c r="E235" s="8">
        <v>5</v>
      </c>
      <c r="F235" s="8">
        <v>0</v>
      </c>
      <c r="G235" s="9">
        <f t="shared" si="41"/>
        <v>5</v>
      </c>
      <c r="H235" s="9">
        <f t="shared" si="42"/>
        <v>31</v>
      </c>
      <c r="I235" s="10">
        <f t="shared" si="43"/>
        <v>30</v>
      </c>
    </row>
    <row r="236" spans="1:9" ht="12.75">
      <c r="A236" s="8" t="s">
        <v>19</v>
      </c>
      <c r="B236" s="9">
        <f t="shared" si="40"/>
        <v>15</v>
      </c>
      <c r="C236" s="8"/>
      <c r="D236" s="8"/>
      <c r="E236" s="8">
        <v>5</v>
      </c>
      <c r="F236" s="8">
        <v>3</v>
      </c>
      <c r="G236" s="9">
        <f t="shared" si="41"/>
        <v>2</v>
      </c>
      <c r="H236" s="9">
        <f t="shared" si="42"/>
        <v>13</v>
      </c>
      <c r="I236" s="10">
        <f t="shared" si="43"/>
        <v>12</v>
      </c>
    </row>
    <row r="237" spans="1:9" ht="12.75">
      <c r="A237" s="8" t="s">
        <v>20</v>
      </c>
      <c r="B237" s="9">
        <f t="shared" si="40"/>
        <v>24</v>
      </c>
      <c r="C237" s="8"/>
      <c r="D237" s="8"/>
      <c r="E237" s="8">
        <v>5</v>
      </c>
      <c r="F237" s="8">
        <v>4</v>
      </c>
      <c r="G237" s="9">
        <f t="shared" si="41"/>
        <v>1</v>
      </c>
      <c r="H237" s="9">
        <f t="shared" si="42"/>
        <v>23</v>
      </c>
      <c r="I237" s="10">
        <f t="shared" si="43"/>
        <v>6</v>
      </c>
    </row>
    <row r="238" spans="1:9" ht="12.75">
      <c r="A238" s="8" t="s">
        <v>21</v>
      </c>
      <c r="B238" s="9">
        <f t="shared" si="40"/>
        <v>17</v>
      </c>
      <c r="C238" s="8"/>
      <c r="D238" s="8"/>
      <c r="E238" s="8">
        <v>2</v>
      </c>
      <c r="F238" s="8">
        <v>1</v>
      </c>
      <c r="G238" s="9">
        <f t="shared" si="41"/>
        <v>1</v>
      </c>
      <c r="H238" s="9">
        <f t="shared" si="42"/>
        <v>16</v>
      </c>
      <c r="I238" s="10">
        <f t="shared" si="43"/>
        <v>6</v>
      </c>
    </row>
    <row r="239" spans="1:9" ht="12.75">
      <c r="A239" s="8" t="s">
        <v>22</v>
      </c>
      <c r="B239" s="9">
        <f t="shared" si="40"/>
        <v>20</v>
      </c>
      <c r="C239" s="8"/>
      <c r="D239" s="8"/>
      <c r="E239" s="8">
        <v>5</v>
      </c>
      <c r="F239" s="8">
        <v>4</v>
      </c>
      <c r="G239" s="9">
        <f t="shared" si="41"/>
        <v>1</v>
      </c>
      <c r="H239" s="9">
        <f t="shared" si="42"/>
        <v>19</v>
      </c>
      <c r="I239" s="10">
        <f t="shared" si="43"/>
        <v>6</v>
      </c>
    </row>
    <row r="240" spans="1:9" ht="12.75">
      <c r="A240" s="8" t="s">
        <v>23</v>
      </c>
      <c r="B240" s="9">
        <f t="shared" si="40"/>
        <v>26</v>
      </c>
      <c r="C240" s="11"/>
      <c r="D240" s="8"/>
      <c r="E240" s="8">
        <v>6</v>
      </c>
      <c r="F240" s="8">
        <v>5</v>
      </c>
      <c r="G240" s="9">
        <f t="shared" si="41"/>
        <v>1</v>
      </c>
      <c r="H240" s="9">
        <f t="shared" si="42"/>
        <v>25</v>
      </c>
      <c r="I240" s="10">
        <f t="shared" si="43"/>
        <v>6</v>
      </c>
    </row>
    <row r="241" spans="1:9" ht="12.75">
      <c r="A241" s="8" t="s">
        <v>24</v>
      </c>
      <c r="B241" s="9">
        <f t="shared" si="40"/>
        <v>12</v>
      </c>
      <c r="C241" s="8"/>
      <c r="D241" s="8"/>
      <c r="E241" s="8">
        <v>3</v>
      </c>
      <c r="F241" s="8">
        <v>2</v>
      </c>
      <c r="G241" s="9">
        <f t="shared" si="41"/>
        <v>1</v>
      </c>
      <c r="H241" s="9">
        <f t="shared" si="42"/>
        <v>11</v>
      </c>
      <c r="I241" s="10">
        <f t="shared" si="43"/>
        <v>6</v>
      </c>
    </row>
    <row r="242" spans="1:9" ht="12.75">
      <c r="A242" s="8" t="s">
        <v>25</v>
      </c>
      <c r="B242" s="9">
        <f t="shared" si="40"/>
        <v>34</v>
      </c>
      <c r="C242" s="8">
        <v>1</v>
      </c>
      <c r="D242" s="8"/>
      <c r="E242" s="8">
        <v>10</v>
      </c>
      <c r="F242" s="8">
        <v>1</v>
      </c>
      <c r="G242" s="9">
        <f t="shared" si="41"/>
        <v>9</v>
      </c>
      <c r="H242" s="9">
        <f t="shared" si="42"/>
        <v>24</v>
      </c>
      <c r="I242" s="10">
        <f t="shared" si="43"/>
        <v>54</v>
      </c>
    </row>
    <row r="243" spans="1:9" ht="12.75">
      <c r="A243" s="8" t="s">
        <v>26</v>
      </c>
      <c r="B243" s="9">
        <f t="shared" si="40"/>
        <v>6</v>
      </c>
      <c r="C243" s="8">
        <v>1</v>
      </c>
      <c r="D243" s="8">
        <v>29</v>
      </c>
      <c r="E243" s="8">
        <v>5</v>
      </c>
      <c r="F243" s="8">
        <v>4</v>
      </c>
      <c r="G243" s="9">
        <f t="shared" si="41"/>
        <v>1</v>
      </c>
      <c r="H243" s="9">
        <f t="shared" si="42"/>
        <v>33</v>
      </c>
      <c r="I243" s="10">
        <f t="shared" si="43"/>
        <v>6</v>
      </c>
    </row>
    <row r="244" spans="1:9" ht="12.75">
      <c r="A244" s="8" t="s">
        <v>27</v>
      </c>
      <c r="B244" s="9">
        <f t="shared" si="40"/>
        <v>29</v>
      </c>
      <c r="C244" s="8"/>
      <c r="D244" s="8"/>
      <c r="E244" s="8">
        <v>4</v>
      </c>
      <c r="F244" s="8">
        <v>4</v>
      </c>
      <c r="G244" s="9">
        <f t="shared" si="41"/>
        <v>0</v>
      </c>
      <c r="H244" s="9">
        <f t="shared" si="42"/>
        <v>29</v>
      </c>
      <c r="I244" s="10">
        <f t="shared" si="43"/>
        <v>0</v>
      </c>
    </row>
    <row r="245" spans="1:9" ht="12.75">
      <c r="A245" s="8" t="s">
        <v>28</v>
      </c>
      <c r="B245" s="9">
        <f t="shared" si="40"/>
        <v>17</v>
      </c>
      <c r="C245" s="8"/>
      <c r="D245" s="8"/>
      <c r="E245" s="8">
        <v>8</v>
      </c>
      <c r="F245" s="8">
        <v>2</v>
      </c>
      <c r="G245" s="9">
        <f t="shared" si="41"/>
        <v>6</v>
      </c>
      <c r="H245" s="9">
        <f t="shared" si="42"/>
        <v>11</v>
      </c>
      <c r="I245" s="10">
        <f t="shared" si="43"/>
        <v>36</v>
      </c>
    </row>
    <row r="246" spans="1:9" ht="12.75">
      <c r="A246" s="8" t="s">
        <v>29</v>
      </c>
      <c r="B246" s="9">
        <f t="shared" si="40"/>
        <v>91</v>
      </c>
      <c r="C246" s="8"/>
      <c r="D246" s="8"/>
      <c r="E246" s="8">
        <v>25</v>
      </c>
      <c r="F246" s="8">
        <v>1</v>
      </c>
      <c r="G246" s="9">
        <f t="shared" si="41"/>
        <v>24</v>
      </c>
      <c r="H246" s="9">
        <f t="shared" si="42"/>
        <v>67</v>
      </c>
      <c r="I246" s="10">
        <f t="shared" si="43"/>
        <v>144</v>
      </c>
    </row>
    <row r="247" spans="1:9" ht="12.75">
      <c r="A247" s="8" t="s">
        <v>30</v>
      </c>
      <c r="B247" s="9">
        <f t="shared" si="40"/>
        <v>10</v>
      </c>
      <c r="C247" s="8"/>
      <c r="D247" s="8"/>
      <c r="E247" s="8">
        <v>2</v>
      </c>
      <c r="F247" s="8">
        <v>2</v>
      </c>
      <c r="G247" s="9">
        <f t="shared" si="41"/>
        <v>0</v>
      </c>
      <c r="H247" s="9">
        <f t="shared" si="42"/>
        <v>10</v>
      </c>
      <c r="I247" s="10">
        <f t="shared" si="43"/>
        <v>0</v>
      </c>
    </row>
    <row r="248" spans="1:9" ht="12.75">
      <c r="A248" s="13" t="s">
        <v>31</v>
      </c>
      <c r="B248" s="9">
        <f t="shared" si="40"/>
        <v>17</v>
      </c>
      <c r="C248" s="8"/>
      <c r="D248" s="8"/>
      <c r="E248" s="8">
        <v>2</v>
      </c>
      <c r="F248" s="8">
        <v>2</v>
      </c>
      <c r="G248" s="9">
        <f t="shared" si="41"/>
        <v>0</v>
      </c>
      <c r="H248" s="9">
        <f t="shared" si="42"/>
        <v>17</v>
      </c>
      <c r="I248" s="10">
        <f t="shared" si="43"/>
        <v>0</v>
      </c>
    </row>
    <row r="249" spans="1:9" ht="12.75">
      <c r="A249" s="13" t="s">
        <v>32</v>
      </c>
      <c r="B249" s="9">
        <f t="shared" si="40"/>
        <v>16</v>
      </c>
      <c r="C249" s="8"/>
      <c r="D249" s="8"/>
      <c r="E249" s="8">
        <v>2</v>
      </c>
      <c r="F249" s="8">
        <v>2</v>
      </c>
      <c r="G249" s="9">
        <f t="shared" si="41"/>
        <v>0</v>
      </c>
      <c r="H249" s="9">
        <f t="shared" si="42"/>
        <v>16</v>
      </c>
      <c r="I249" s="10">
        <f t="shared" si="43"/>
        <v>0</v>
      </c>
    </row>
    <row r="250" spans="1:9" ht="12.75">
      <c r="A250" s="14" t="s">
        <v>33</v>
      </c>
      <c r="B250" s="15">
        <f>SUM(B227:B249)</f>
        <v>496</v>
      </c>
      <c r="C250" s="14"/>
      <c r="D250" s="14"/>
      <c r="E250" s="15">
        <f t="shared" ref="E250:G250" si="44">SUM(E226:E249)</f>
        <v>125</v>
      </c>
      <c r="F250" s="15">
        <f t="shared" si="44"/>
        <v>57</v>
      </c>
      <c r="G250" s="15">
        <f t="shared" si="44"/>
        <v>68</v>
      </c>
      <c r="H250" s="15">
        <f>SUM(H227:H249)</f>
        <v>525</v>
      </c>
      <c r="I250" s="16">
        <f>SUM(I226:I249)</f>
        <v>408</v>
      </c>
    </row>
    <row r="251" spans="1:9" ht="12.75">
      <c r="A251" s="17"/>
      <c r="B251" s="17"/>
      <c r="C251" s="17"/>
      <c r="D251" s="17"/>
      <c r="E251" s="17"/>
      <c r="F251" s="134" t="s">
        <v>34</v>
      </c>
      <c r="G251" s="133"/>
      <c r="H251" s="18"/>
      <c r="I251" s="19"/>
    </row>
    <row r="253" spans="1:9">
      <c r="A253" s="1"/>
      <c r="B253" s="131" t="s">
        <v>53</v>
      </c>
      <c r="C253" s="132"/>
      <c r="D253" s="132"/>
      <c r="E253" s="132"/>
      <c r="F253" s="132"/>
      <c r="G253" s="132"/>
      <c r="H253" s="132"/>
      <c r="I253" s="133"/>
    </row>
    <row r="254" spans="1:9" ht="45">
      <c r="A254" s="2" t="s">
        <v>1</v>
      </c>
      <c r="B254" s="6" t="s">
        <v>2</v>
      </c>
      <c r="C254" s="4" t="s">
        <v>3</v>
      </c>
      <c r="D254" s="5" t="s">
        <v>4</v>
      </c>
      <c r="E254" s="2" t="s">
        <v>5</v>
      </c>
      <c r="F254" s="2" t="s">
        <v>6</v>
      </c>
      <c r="G254" s="2" t="s">
        <v>7</v>
      </c>
      <c r="H254" s="6" t="s">
        <v>8</v>
      </c>
      <c r="I254" s="7" t="s">
        <v>9</v>
      </c>
    </row>
    <row r="255" spans="1:9" ht="12.75">
      <c r="A255" s="8" t="s">
        <v>10</v>
      </c>
      <c r="B255" s="9">
        <f t="shared" ref="B255:B277" si="45">H227</f>
        <v>45</v>
      </c>
      <c r="C255" s="8"/>
      <c r="D255" s="8"/>
      <c r="E255" s="8">
        <v>6</v>
      </c>
      <c r="F255" s="8">
        <v>5</v>
      </c>
      <c r="G255" s="9">
        <f t="shared" ref="G255:G277" si="46">E255-F255</f>
        <v>1</v>
      </c>
      <c r="H255" s="9">
        <f t="shared" ref="H255:H277" si="47">B255-C255+D255-G255</f>
        <v>44</v>
      </c>
      <c r="I255" s="10">
        <f t="shared" ref="I255:I277" si="48">G255*6</f>
        <v>6</v>
      </c>
    </row>
    <row r="256" spans="1:9" ht="12.75">
      <c r="A256" s="8" t="s">
        <v>11</v>
      </c>
      <c r="B256" s="9">
        <f t="shared" si="45"/>
        <v>11</v>
      </c>
      <c r="C256" s="11"/>
      <c r="D256" s="8"/>
      <c r="E256" s="8">
        <v>3</v>
      </c>
      <c r="F256" s="8">
        <v>3</v>
      </c>
      <c r="G256" s="9">
        <f t="shared" si="46"/>
        <v>0</v>
      </c>
      <c r="H256" s="9">
        <f t="shared" si="47"/>
        <v>11</v>
      </c>
      <c r="I256" s="10">
        <f t="shared" si="48"/>
        <v>0</v>
      </c>
    </row>
    <row r="257" spans="1:9" ht="12.75">
      <c r="A257" s="8" t="s">
        <v>12</v>
      </c>
      <c r="B257" s="9">
        <f t="shared" si="45"/>
        <v>45</v>
      </c>
      <c r="C257" s="8"/>
      <c r="D257" s="8"/>
      <c r="E257" s="8">
        <v>5</v>
      </c>
      <c r="F257" s="8">
        <v>4</v>
      </c>
      <c r="G257" s="9">
        <f t="shared" si="46"/>
        <v>1</v>
      </c>
      <c r="H257" s="9">
        <f t="shared" si="47"/>
        <v>44</v>
      </c>
      <c r="I257" s="10">
        <f t="shared" si="48"/>
        <v>6</v>
      </c>
    </row>
    <row r="258" spans="1:9" ht="12.75">
      <c r="A258" s="8" t="s">
        <v>13</v>
      </c>
      <c r="B258" s="9">
        <f t="shared" si="45"/>
        <v>8</v>
      </c>
      <c r="C258" s="8"/>
      <c r="D258" s="8"/>
      <c r="E258" s="8">
        <v>6</v>
      </c>
      <c r="F258" s="8">
        <v>4</v>
      </c>
      <c r="G258" s="9">
        <f t="shared" si="46"/>
        <v>2</v>
      </c>
      <c r="H258" s="9">
        <f t="shared" si="47"/>
        <v>6</v>
      </c>
      <c r="I258" s="10">
        <f t="shared" si="48"/>
        <v>12</v>
      </c>
    </row>
    <row r="259" spans="1:9" ht="12.75">
      <c r="A259" s="8" t="s">
        <v>14</v>
      </c>
      <c r="B259" s="9">
        <f t="shared" si="45"/>
        <v>33</v>
      </c>
      <c r="C259" s="8"/>
      <c r="D259" s="8"/>
      <c r="E259" s="8">
        <v>4</v>
      </c>
      <c r="F259" s="8">
        <v>1</v>
      </c>
      <c r="G259" s="9">
        <f t="shared" si="46"/>
        <v>3</v>
      </c>
      <c r="H259" s="9">
        <f t="shared" si="47"/>
        <v>30</v>
      </c>
      <c r="I259" s="10">
        <f t="shared" si="48"/>
        <v>18</v>
      </c>
    </row>
    <row r="260" spans="1:9" ht="12.75">
      <c r="A260" s="8" t="s">
        <v>15</v>
      </c>
      <c r="B260" s="9">
        <f t="shared" si="45"/>
        <v>26</v>
      </c>
      <c r="C260" s="8"/>
      <c r="D260" s="8"/>
      <c r="E260" s="8">
        <v>6</v>
      </c>
      <c r="F260" s="8">
        <v>3</v>
      </c>
      <c r="G260" s="9">
        <f t="shared" si="46"/>
        <v>3</v>
      </c>
      <c r="H260" s="9">
        <f t="shared" si="47"/>
        <v>23</v>
      </c>
      <c r="I260" s="10">
        <f t="shared" si="48"/>
        <v>18</v>
      </c>
    </row>
    <row r="261" spans="1:9" ht="12.75">
      <c r="A261" s="8" t="s">
        <v>16</v>
      </c>
      <c r="B261" s="9">
        <f t="shared" si="45"/>
        <v>9</v>
      </c>
      <c r="C261" s="8"/>
      <c r="D261" s="8"/>
      <c r="E261" s="8">
        <v>4</v>
      </c>
      <c r="F261" s="8">
        <v>1</v>
      </c>
      <c r="G261" s="9">
        <f t="shared" si="46"/>
        <v>3</v>
      </c>
      <c r="H261" s="9">
        <f t="shared" si="47"/>
        <v>6</v>
      </c>
      <c r="I261" s="10">
        <f t="shared" si="48"/>
        <v>18</v>
      </c>
    </row>
    <row r="262" spans="1:9" ht="12.75">
      <c r="A262" s="8" t="s">
        <v>17</v>
      </c>
      <c r="B262" s="9">
        <f t="shared" si="45"/>
        <v>3</v>
      </c>
      <c r="C262" s="8"/>
      <c r="D262" s="8">
        <v>30</v>
      </c>
      <c r="E262" s="8">
        <v>3</v>
      </c>
      <c r="F262" s="8">
        <v>0</v>
      </c>
      <c r="G262" s="9">
        <f t="shared" si="46"/>
        <v>3</v>
      </c>
      <c r="H262" s="9">
        <f t="shared" si="47"/>
        <v>30</v>
      </c>
      <c r="I262" s="10">
        <f t="shared" si="48"/>
        <v>18</v>
      </c>
    </row>
    <row r="263" spans="1:9" ht="12.75">
      <c r="A263" s="8" t="s">
        <v>18</v>
      </c>
      <c r="B263" s="9">
        <f t="shared" si="45"/>
        <v>31</v>
      </c>
      <c r="C263" s="8"/>
      <c r="D263" s="8"/>
      <c r="E263" s="8">
        <v>5</v>
      </c>
      <c r="F263" s="8">
        <v>5</v>
      </c>
      <c r="G263" s="9">
        <f t="shared" si="46"/>
        <v>0</v>
      </c>
      <c r="H263" s="9">
        <f t="shared" si="47"/>
        <v>31</v>
      </c>
      <c r="I263" s="10">
        <f t="shared" si="48"/>
        <v>0</v>
      </c>
    </row>
    <row r="264" spans="1:9" ht="12.75">
      <c r="A264" s="8" t="s">
        <v>19</v>
      </c>
      <c r="B264" s="9">
        <f t="shared" si="45"/>
        <v>13</v>
      </c>
      <c r="C264" s="8"/>
      <c r="D264" s="8"/>
      <c r="E264" s="8">
        <v>5</v>
      </c>
      <c r="F264" s="8">
        <v>2</v>
      </c>
      <c r="G264" s="9">
        <f t="shared" si="46"/>
        <v>3</v>
      </c>
      <c r="H264" s="9">
        <f t="shared" si="47"/>
        <v>10</v>
      </c>
      <c r="I264" s="10">
        <f t="shared" si="48"/>
        <v>18</v>
      </c>
    </row>
    <row r="265" spans="1:9" ht="12.75">
      <c r="A265" s="8" t="s">
        <v>20</v>
      </c>
      <c r="B265" s="9">
        <f t="shared" si="45"/>
        <v>23</v>
      </c>
      <c r="C265" s="8"/>
      <c r="D265" s="8"/>
      <c r="E265" s="8">
        <v>5</v>
      </c>
      <c r="F265" s="8">
        <v>2</v>
      </c>
      <c r="G265" s="9">
        <f t="shared" si="46"/>
        <v>3</v>
      </c>
      <c r="H265" s="9">
        <f t="shared" si="47"/>
        <v>20</v>
      </c>
      <c r="I265" s="10">
        <f t="shared" si="48"/>
        <v>18</v>
      </c>
    </row>
    <row r="266" spans="1:9" ht="12.75">
      <c r="A266" s="8" t="s">
        <v>21</v>
      </c>
      <c r="B266" s="9">
        <f t="shared" si="45"/>
        <v>16</v>
      </c>
      <c r="C266" s="8"/>
      <c r="D266" s="8"/>
      <c r="E266" s="8">
        <v>2</v>
      </c>
      <c r="F266" s="8">
        <v>1</v>
      </c>
      <c r="G266" s="9">
        <f t="shared" si="46"/>
        <v>1</v>
      </c>
      <c r="H266" s="9">
        <f t="shared" si="47"/>
        <v>15</v>
      </c>
      <c r="I266" s="10">
        <f t="shared" si="48"/>
        <v>6</v>
      </c>
    </row>
    <row r="267" spans="1:9" ht="12.75">
      <c r="A267" s="8" t="s">
        <v>22</v>
      </c>
      <c r="B267" s="9">
        <f t="shared" si="45"/>
        <v>19</v>
      </c>
      <c r="C267" s="8"/>
      <c r="D267" s="8"/>
      <c r="E267" s="8">
        <v>5</v>
      </c>
      <c r="F267" s="8">
        <v>4</v>
      </c>
      <c r="G267" s="9">
        <f t="shared" si="46"/>
        <v>1</v>
      </c>
      <c r="H267" s="9">
        <f t="shared" si="47"/>
        <v>18</v>
      </c>
      <c r="I267" s="10">
        <f t="shared" si="48"/>
        <v>6</v>
      </c>
    </row>
    <row r="268" spans="1:9" ht="12.75">
      <c r="A268" s="8" t="s">
        <v>23</v>
      </c>
      <c r="B268" s="9">
        <f t="shared" si="45"/>
        <v>25</v>
      </c>
      <c r="C268" s="11"/>
      <c r="D268" s="8"/>
      <c r="E268" s="8">
        <v>6</v>
      </c>
      <c r="F268" s="8">
        <v>1</v>
      </c>
      <c r="G268" s="9">
        <f t="shared" si="46"/>
        <v>5</v>
      </c>
      <c r="H268" s="9">
        <f t="shared" si="47"/>
        <v>20</v>
      </c>
      <c r="I268" s="10">
        <f t="shared" si="48"/>
        <v>30</v>
      </c>
    </row>
    <row r="269" spans="1:9" ht="12.75">
      <c r="A269" s="8" t="s">
        <v>24</v>
      </c>
      <c r="B269" s="9">
        <f t="shared" si="45"/>
        <v>11</v>
      </c>
      <c r="C269" s="8"/>
      <c r="D269" s="8"/>
      <c r="E269" s="8">
        <v>3</v>
      </c>
      <c r="F269" s="8">
        <v>1</v>
      </c>
      <c r="G269" s="9">
        <f t="shared" si="46"/>
        <v>2</v>
      </c>
      <c r="H269" s="9">
        <f t="shared" si="47"/>
        <v>9</v>
      </c>
      <c r="I269" s="10">
        <f t="shared" si="48"/>
        <v>12</v>
      </c>
    </row>
    <row r="270" spans="1:9" ht="12.75">
      <c r="A270" s="8" t="s">
        <v>25</v>
      </c>
      <c r="B270" s="9">
        <f t="shared" si="45"/>
        <v>24</v>
      </c>
      <c r="C270" s="8"/>
      <c r="D270" s="8"/>
      <c r="E270" s="8">
        <v>8</v>
      </c>
      <c r="F270" s="8">
        <v>0</v>
      </c>
      <c r="G270" s="9">
        <f t="shared" si="46"/>
        <v>8</v>
      </c>
      <c r="H270" s="9">
        <f t="shared" si="47"/>
        <v>16</v>
      </c>
      <c r="I270" s="10">
        <f t="shared" si="48"/>
        <v>48</v>
      </c>
    </row>
    <row r="271" spans="1:9" ht="12.75">
      <c r="A271" s="8" t="s">
        <v>26</v>
      </c>
      <c r="B271" s="9">
        <f t="shared" si="45"/>
        <v>33</v>
      </c>
      <c r="C271" s="8"/>
      <c r="D271" s="8"/>
      <c r="E271" s="8">
        <v>4</v>
      </c>
      <c r="F271" s="8">
        <v>4</v>
      </c>
      <c r="G271" s="9">
        <f t="shared" si="46"/>
        <v>0</v>
      </c>
      <c r="H271" s="9">
        <f t="shared" si="47"/>
        <v>33</v>
      </c>
      <c r="I271" s="10">
        <f t="shared" si="48"/>
        <v>0</v>
      </c>
    </row>
    <row r="272" spans="1:9" ht="12.75">
      <c r="A272" s="8" t="s">
        <v>27</v>
      </c>
      <c r="B272" s="9">
        <f t="shared" si="45"/>
        <v>29</v>
      </c>
      <c r="C272" s="8"/>
      <c r="D272" s="8"/>
      <c r="E272" s="8">
        <v>4</v>
      </c>
      <c r="F272" s="8">
        <v>3</v>
      </c>
      <c r="G272" s="9">
        <f t="shared" si="46"/>
        <v>1</v>
      </c>
      <c r="H272" s="9">
        <f t="shared" si="47"/>
        <v>28</v>
      </c>
      <c r="I272" s="10">
        <f t="shared" si="48"/>
        <v>6</v>
      </c>
    </row>
    <row r="273" spans="1:9" ht="12.75">
      <c r="A273" s="8" t="s">
        <v>28</v>
      </c>
      <c r="B273" s="9">
        <f t="shared" si="45"/>
        <v>11</v>
      </c>
      <c r="C273" s="8"/>
      <c r="D273" s="8"/>
      <c r="E273" s="8">
        <v>8</v>
      </c>
      <c r="F273" s="8">
        <v>6</v>
      </c>
      <c r="G273" s="9">
        <f t="shared" si="46"/>
        <v>2</v>
      </c>
      <c r="H273" s="9">
        <f t="shared" si="47"/>
        <v>9</v>
      </c>
      <c r="I273" s="10">
        <f t="shared" si="48"/>
        <v>12</v>
      </c>
    </row>
    <row r="274" spans="1:9" ht="12.75">
      <c r="A274" s="8" t="s">
        <v>29</v>
      </c>
      <c r="B274" s="9">
        <f t="shared" si="45"/>
        <v>67</v>
      </c>
      <c r="C274" s="8"/>
      <c r="D274" s="8">
        <v>26</v>
      </c>
      <c r="E274" s="8">
        <v>28</v>
      </c>
      <c r="F274" s="8">
        <v>13</v>
      </c>
      <c r="G274" s="9">
        <f t="shared" si="46"/>
        <v>15</v>
      </c>
      <c r="H274" s="9">
        <f t="shared" si="47"/>
        <v>78</v>
      </c>
      <c r="I274" s="10">
        <f t="shared" si="48"/>
        <v>90</v>
      </c>
    </row>
    <row r="275" spans="1:9" ht="12.75">
      <c r="A275" s="8" t="s">
        <v>30</v>
      </c>
      <c r="B275" s="9">
        <f t="shared" si="45"/>
        <v>10</v>
      </c>
      <c r="C275" s="8"/>
      <c r="D275" s="8"/>
      <c r="E275" s="8">
        <v>2</v>
      </c>
      <c r="F275" s="8">
        <v>2</v>
      </c>
      <c r="G275" s="9">
        <f t="shared" si="46"/>
        <v>0</v>
      </c>
      <c r="H275" s="9">
        <f t="shared" si="47"/>
        <v>10</v>
      </c>
      <c r="I275" s="10">
        <f t="shared" si="48"/>
        <v>0</v>
      </c>
    </row>
    <row r="276" spans="1:9" ht="12.75">
      <c r="A276" s="13" t="s">
        <v>31</v>
      </c>
      <c r="B276" s="9">
        <f t="shared" si="45"/>
        <v>17</v>
      </c>
      <c r="C276" s="8"/>
      <c r="D276" s="8"/>
      <c r="E276" s="8">
        <v>2</v>
      </c>
      <c r="F276" s="8">
        <v>1</v>
      </c>
      <c r="G276" s="9">
        <f t="shared" si="46"/>
        <v>1</v>
      </c>
      <c r="H276" s="9">
        <f t="shared" si="47"/>
        <v>16</v>
      </c>
      <c r="I276" s="10">
        <f t="shared" si="48"/>
        <v>6</v>
      </c>
    </row>
    <row r="277" spans="1:9" ht="12.75">
      <c r="A277" s="13" t="s">
        <v>32</v>
      </c>
      <c r="B277" s="9">
        <f t="shared" si="45"/>
        <v>16</v>
      </c>
      <c r="C277" s="8"/>
      <c r="D277" s="8"/>
      <c r="E277" s="8">
        <v>2</v>
      </c>
      <c r="F277" s="8">
        <v>2</v>
      </c>
      <c r="G277" s="9">
        <f t="shared" si="46"/>
        <v>0</v>
      </c>
      <c r="H277" s="9">
        <f t="shared" si="47"/>
        <v>16</v>
      </c>
      <c r="I277" s="10">
        <f t="shared" si="48"/>
        <v>0</v>
      </c>
    </row>
    <row r="278" spans="1:9" ht="12.75">
      <c r="A278" s="14" t="s">
        <v>33</v>
      </c>
      <c r="B278" s="15">
        <f>SUM(B255:B277)</f>
        <v>525</v>
      </c>
      <c r="C278" s="14"/>
      <c r="D278" s="14"/>
      <c r="E278" s="15">
        <f t="shared" ref="E278:G278" si="49">SUM(E254:E277)</f>
        <v>126</v>
      </c>
      <c r="F278" s="15">
        <f t="shared" si="49"/>
        <v>68</v>
      </c>
      <c r="G278" s="15">
        <f t="shared" si="49"/>
        <v>58</v>
      </c>
      <c r="H278" s="15">
        <f>SUM(H255:H277)</f>
        <v>523</v>
      </c>
      <c r="I278" s="16">
        <f>SUM(I254:I277)</f>
        <v>348</v>
      </c>
    </row>
    <row r="279" spans="1:9" ht="12.75">
      <c r="A279" s="17"/>
      <c r="B279" s="17"/>
      <c r="C279" s="17"/>
      <c r="D279" s="17"/>
      <c r="E279" s="17"/>
      <c r="F279" s="134" t="s">
        <v>34</v>
      </c>
      <c r="G279" s="133"/>
      <c r="H279" s="18"/>
      <c r="I279" s="19"/>
    </row>
    <row r="281" spans="1:9">
      <c r="A281" s="1"/>
      <c r="B281" s="131" t="s">
        <v>54</v>
      </c>
      <c r="C281" s="132"/>
      <c r="D281" s="132"/>
      <c r="E281" s="132"/>
      <c r="F281" s="132"/>
      <c r="G281" s="132"/>
      <c r="H281" s="132"/>
      <c r="I281" s="133"/>
    </row>
    <row r="282" spans="1:9" ht="45">
      <c r="A282" s="2" t="s">
        <v>1</v>
      </c>
      <c r="B282" s="3" t="s">
        <v>2</v>
      </c>
      <c r="C282" s="4" t="s">
        <v>3</v>
      </c>
      <c r="D282" s="5" t="s">
        <v>4</v>
      </c>
      <c r="E282" s="2" t="s">
        <v>5</v>
      </c>
      <c r="F282" s="2" t="s">
        <v>6</v>
      </c>
      <c r="G282" s="2" t="s">
        <v>7</v>
      </c>
      <c r="H282" s="6" t="s">
        <v>8</v>
      </c>
      <c r="I282" s="7" t="s">
        <v>9</v>
      </c>
    </row>
    <row r="283" spans="1:9" ht="12.75">
      <c r="A283" s="8" t="s">
        <v>10</v>
      </c>
      <c r="B283" s="9">
        <f t="shared" ref="B283:B305" si="50">H255</f>
        <v>44</v>
      </c>
      <c r="C283" s="8"/>
      <c r="D283" s="8"/>
      <c r="E283" s="8">
        <v>6</v>
      </c>
      <c r="F283" s="8">
        <v>4</v>
      </c>
      <c r="G283" s="9">
        <f t="shared" ref="G283:G305" si="51">E283-F283</f>
        <v>2</v>
      </c>
      <c r="H283" s="9">
        <f t="shared" ref="H283:H305" si="52">B283-C283+D283-G283</f>
        <v>42</v>
      </c>
      <c r="I283" s="10">
        <f t="shared" ref="I283:I305" si="53">G283*6</f>
        <v>12</v>
      </c>
    </row>
    <row r="284" spans="1:9" ht="12.75">
      <c r="A284" s="8" t="s">
        <v>11</v>
      </c>
      <c r="B284" s="9">
        <f t="shared" si="50"/>
        <v>11</v>
      </c>
      <c r="C284" s="11">
        <v>1</v>
      </c>
      <c r="D284" s="8"/>
      <c r="E284" s="8">
        <v>3</v>
      </c>
      <c r="F284" s="8">
        <v>3</v>
      </c>
      <c r="G284" s="9">
        <f t="shared" si="51"/>
        <v>0</v>
      </c>
      <c r="H284" s="9">
        <f t="shared" si="52"/>
        <v>10</v>
      </c>
      <c r="I284" s="10">
        <f t="shared" si="53"/>
        <v>0</v>
      </c>
    </row>
    <row r="285" spans="1:9" ht="12.75">
      <c r="A285" s="8" t="s">
        <v>12</v>
      </c>
      <c r="B285" s="9">
        <f t="shared" si="50"/>
        <v>44</v>
      </c>
      <c r="C285" s="8">
        <v>5</v>
      </c>
      <c r="D285" s="8"/>
      <c r="E285" s="8">
        <v>5</v>
      </c>
      <c r="F285" s="8">
        <v>2</v>
      </c>
      <c r="G285" s="9">
        <f t="shared" si="51"/>
        <v>3</v>
      </c>
      <c r="H285" s="9">
        <f t="shared" si="52"/>
        <v>36</v>
      </c>
      <c r="I285" s="10">
        <f t="shared" si="53"/>
        <v>18</v>
      </c>
    </row>
    <row r="286" spans="1:9" ht="12.75">
      <c r="A286" s="8" t="s">
        <v>13</v>
      </c>
      <c r="B286" s="9">
        <f t="shared" si="50"/>
        <v>6</v>
      </c>
      <c r="C286" s="8">
        <v>2</v>
      </c>
      <c r="D286" s="8">
        <v>30</v>
      </c>
      <c r="E286" s="8">
        <v>8</v>
      </c>
      <c r="F286" s="8">
        <v>3</v>
      </c>
      <c r="G286" s="9">
        <f t="shared" si="51"/>
        <v>5</v>
      </c>
      <c r="H286" s="9">
        <f t="shared" si="52"/>
        <v>29</v>
      </c>
      <c r="I286" s="10">
        <f t="shared" si="53"/>
        <v>30</v>
      </c>
    </row>
    <row r="287" spans="1:9" ht="12.75">
      <c r="A287" s="8" t="s">
        <v>14</v>
      </c>
      <c r="B287" s="9">
        <f t="shared" si="50"/>
        <v>30</v>
      </c>
      <c r="C287" s="8"/>
      <c r="D287" s="8"/>
      <c r="E287" s="8">
        <v>4</v>
      </c>
      <c r="F287" s="8">
        <v>4</v>
      </c>
      <c r="G287" s="9">
        <f t="shared" si="51"/>
        <v>0</v>
      </c>
      <c r="H287" s="9">
        <f t="shared" si="52"/>
        <v>30</v>
      </c>
      <c r="I287" s="10">
        <f t="shared" si="53"/>
        <v>0</v>
      </c>
    </row>
    <row r="288" spans="1:9" ht="12.75">
      <c r="A288" s="8" t="s">
        <v>15</v>
      </c>
      <c r="B288" s="9">
        <f t="shared" si="50"/>
        <v>23</v>
      </c>
      <c r="C288" s="8">
        <v>2</v>
      </c>
      <c r="D288" s="8"/>
      <c r="E288" s="8">
        <v>5</v>
      </c>
      <c r="F288" s="8">
        <v>2</v>
      </c>
      <c r="G288" s="9">
        <f t="shared" si="51"/>
        <v>3</v>
      </c>
      <c r="H288" s="9">
        <f t="shared" si="52"/>
        <v>18</v>
      </c>
      <c r="I288" s="10">
        <f t="shared" si="53"/>
        <v>18</v>
      </c>
    </row>
    <row r="289" spans="1:9" ht="12.75">
      <c r="A289" s="8" t="s">
        <v>16</v>
      </c>
      <c r="B289" s="9">
        <f t="shared" si="50"/>
        <v>6</v>
      </c>
      <c r="C289" s="8"/>
      <c r="D289" s="8">
        <v>30</v>
      </c>
      <c r="E289" s="8">
        <v>3</v>
      </c>
      <c r="F289" s="8">
        <v>2</v>
      </c>
      <c r="G289" s="9">
        <f t="shared" si="51"/>
        <v>1</v>
      </c>
      <c r="H289" s="9">
        <f t="shared" si="52"/>
        <v>35</v>
      </c>
      <c r="I289" s="10">
        <f t="shared" si="53"/>
        <v>6</v>
      </c>
    </row>
    <row r="290" spans="1:9" ht="12.75">
      <c r="A290" s="8" t="s">
        <v>17</v>
      </c>
      <c r="B290" s="9">
        <f t="shared" si="50"/>
        <v>30</v>
      </c>
      <c r="C290" s="8"/>
      <c r="D290" s="8"/>
      <c r="E290" s="8">
        <v>6</v>
      </c>
      <c r="F290" s="8">
        <v>2</v>
      </c>
      <c r="G290" s="9">
        <f t="shared" si="51"/>
        <v>4</v>
      </c>
      <c r="H290" s="9">
        <f t="shared" si="52"/>
        <v>26</v>
      </c>
      <c r="I290" s="10">
        <f t="shared" si="53"/>
        <v>24</v>
      </c>
    </row>
    <row r="291" spans="1:9" ht="12.75">
      <c r="A291" s="8" t="s">
        <v>18</v>
      </c>
      <c r="B291" s="9">
        <f t="shared" si="50"/>
        <v>31</v>
      </c>
      <c r="C291" s="8"/>
      <c r="D291" s="8"/>
      <c r="E291" s="8">
        <v>10</v>
      </c>
      <c r="F291" s="8">
        <v>10</v>
      </c>
      <c r="G291" s="9">
        <f t="shared" si="51"/>
        <v>0</v>
      </c>
      <c r="H291" s="9">
        <f t="shared" si="52"/>
        <v>31</v>
      </c>
      <c r="I291" s="10">
        <f t="shared" si="53"/>
        <v>0</v>
      </c>
    </row>
    <row r="292" spans="1:9" ht="12.75">
      <c r="A292" s="8" t="s">
        <v>19</v>
      </c>
      <c r="B292" s="9">
        <f t="shared" si="50"/>
        <v>10</v>
      </c>
      <c r="C292" s="8"/>
      <c r="D292" s="8">
        <v>30</v>
      </c>
      <c r="E292" s="8">
        <v>5</v>
      </c>
      <c r="F292" s="8">
        <v>5</v>
      </c>
      <c r="G292" s="9">
        <f t="shared" si="51"/>
        <v>0</v>
      </c>
      <c r="H292" s="9">
        <f t="shared" si="52"/>
        <v>40</v>
      </c>
      <c r="I292" s="10">
        <f t="shared" si="53"/>
        <v>0</v>
      </c>
    </row>
    <row r="293" spans="1:9" ht="12.75">
      <c r="A293" s="8" t="s">
        <v>20</v>
      </c>
      <c r="B293" s="9">
        <f t="shared" si="50"/>
        <v>20</v>
      </c>
      <c r="C293" s="8"/>
      <c r="D293" s="8"/>
      <c r="E293" s="8">
        <v>5</v>
      </c>
      <c r="F293" s="8">
        <v>4</v>
      </c>
      <c r="G293" s="9">
        <f t="shared" si="51"/>
        <v>1</v>
      </c>
      <c r="H293" s="9">
        <f t="shared" si="52"/>
        <v>19</v>
      </c>
      <c r="I293" s="10">
        <f t="shared" si="53"/>
        <v>6</v>
      </c>
    </row>
    <row r="294" spans="1:9" ht="12.75">
      <c r="A294" s="8" t="s">
        <v>21</v>
      </c>
      <c r="B294" s="9">
        <f t="shared" si="50"/>
        <v>15</v>
      </c>
      <c r="C294" s="8">
        <v>1</v>
      </c>
      <c r="D294" s="8"/>
      <c r="E294" s="8">
        <v>2</v>
      </c>
      <c r="F294" s="8">
        <v>2</v>
      </c>
      <c r="G294" s="9">
        <f t="shared" si="51"/>
        <v>0</v>
      </c>
      <c r="H294" s="9">
        <f t="shared" si="52"/>
        <v>14</v>
      </c>
      <c r="I294" s="10">
        <f t="shared" si="53"/>
        <v>0</v>
      </c>
    </row>
    <row r="295" spans="1:9" ht="12.75">
      <c r="A295" s="8" t="s">
        <v>22</v>
      </c>
      <c r="B295" s="9">
        <f t="shared" si="50"/>
        <v>18</v>
      </c>
      <c r="C295" s="8"/>
      <c r="D295" s="8"/>
      <c r="E295" s="8">
        <v>5</v>
      </c>
      <c r="F295" s="8">
        <v>2</v>
      </c>
      <c r="G295" s="9">
        <f t="shared" si="51"/>
        <v>3</v>
      </c>
      <c r="H295" s="9">
        <f t="shared" si="52"/>
        <v>15</v>
      </c>
      <c r="I295" s="10">
        <f t="shared" si="53"/>
        <v>18</v>
      </c>
    </row>
    <row r="296" spans="1:9" ht="12.75">
      <c r="A296" s="8" t="s">
        <v>23</v>
      </c>
      <c r="B296" s="9">
        <f t="shared" si="50"/>
        <v>20</v>
      </c>
      <c r="C296" s="11"/>
      <c r="D296" s="8"/>
      <c r="E296" s="8">
        <v>6</v>
      </c>
      <c r="F296" s="8">
        <v>1</v>
      </c>
      <c r="G296" s="9">
        <f t="shared" si="51"/>
        <v>5</v>
      </c>
      <c r="H296" s="9">
        <f t="shared" si="52"/>
        <v>15</v>
      </c>
      <c r="I296" s="10">
        <f t="shared" si="53"/>
        <v>30</v>
      </c>
    </row>
    <row r="297" spans="1:9" ht="12.75">
      <c r="A297" s="8" t="s">
        <v>24</v>
      </c>
      <c r="B297" s="9">
        <f t="shared" si="50"/>
        <v>9</v>
      </c>
      <c r="C297" s="8">
        <v>2</v>
      </c>
      <c r="D297" s="8"/>
      <c r="E297" s="8">
        <v>3</v>
      </c>
      <c r="F297" s="8">
        <v>2</v>
      </c>
      <c r="G297" s="9">
        <f t="shared" si="51"/>
        <v>1</v>
      </c>
      <c r="H297" s="9">
        <f t="shared" si="52"/>
        <v>6</v>
      </c>
      <c r="I297" s="10">
        <f t="shared" si="53"/>
        <v>6</v>
      </c>
    </row>
    <row r="298" spans="1:9" ht="12.75">
      <c r="A298" s="8" t="s">
        <v>25</v>
      </c>
      <c r="B298" s="9">
        <f t="shared" si="50"/>
        <v>16</v>
      </c>
      <c r="C298" s="8"/>
      <c r="D298" s="8"/>
      <c r="E298" s="8">
        <v>8</v>
      </c>
      <c r="F298" s="8">
        <v>6</v>
      </c>
      <c r="G298" s="9">
        <f t="shared" si="51"/>
        <v>2</v>
      </c>
      <c r="H298" s="9">
        <f t="shared" si="52"/>
        <v>14</v>
      </c>
      <c r="I298" s="10">
        <f t="shared" si="53"/>
        <v>12</v>
      </c>
    </row>
    <row r="299" spans="1:9" ht="12.75">
      <c r="A299" s="8" t="s">
        <v>26</v>
      </c>
      <c r="B299" s="9">
        <f t="shared" si="50"/>
        <v>33</v>
      </c>
      <c r="C299" s="8"/>
      <c r="D299" s="8"/>
      <c r="E299" s="8">
        <v>4</v>
      </c>
      <c r="F299" s="8">
        <v>3</v>
      </c>
      <c r="G299" s="9">
        <f t="shared" si="51"/>
        <v>1</v>
      </c>
      <c r="H299" s="9">
        <f t="shared" si="52"/>
        <v>32</v>
      </c>
      <c r="I299" s="10">
        <f t="shared" si="53"/>
        <v>6</v>
      </c>
    </row>
    <row r="300" spans="1:9" ht="12.75">
      <c r="A300" s="8" t="s">
        <v>27</v>
      </c>
      <c r="B300" s="9">
        <f t="shared" si="50"/>
        <v>28</v>
      </c>
      <c r="C300" s="8"/>
      <c r="D300" s="8"/>
      <c r="E300" s="8">
        <v>4</v>
      </c>
      <c r="F300" s="8"/>
      <c r="G300" s="9">
        <f t="shared" si="51"/>
        <v>4</v>
      </c>
      <c r="H300" s="9">
        <f t="shared" si="52"/>
        <v>24</v>
      </c>
      <c r="I300" s="10">
        <f t="shared" si="53"/>
        <v>24</v>
      </c>
    </row>
    <row r="301" spans="1:9" ht="12.75">
      <c r="A301" s="8" t="s">
        <v>28</v>
      </c>
      <c r="B301" s="9">
        <f t="shared" si="50"/>
        <v>9</v>
      </c>
      <c r="C301" s="8"/>
      <c r="D301" s="8">
        <v>37</v>
      </c>
      <c r="E301" s="8">
        <v>8</v>
      </c>
      <c r="F301" s="8">
        <v>6</v>
      </c>
      <c r="G301" s="9">
        <f t="shared" si="51"/>
        <v>2</v>
      </c>
      <c r="H301" s="9">
        <f t="shared" si="52"/>
        <v>44</v>
      </c>
      <c r="I301" s="10">
        <f t="shared" si="53"/>
        <v>12</v>
      </c>
    </row>
    <row r="302" spans="1:9" ht="12.75">
      <c r="A302" s="8" t="s">
        <v>29</v>
      </c>
      <c r="B302" s="9">
        <f t="shared" si="50"/>
        <v>78</v>
      </c>
      <c r="C302" s="8">
        <v>5</v>
      </c>
      <c r="D302" s="8">
        <v>55</v>
      </c>
      <c r="E302" s="8">
        <v>32</v>
      </c>
      <c r="F302" s="8">
        <v>7</v>
      </c>
      <c r="G302" s="9">
        <f t="shared" si="51"/>
        <v>25</v>
      </c>
      <c r="H302" s="9">
        <f t="shared" si="52"/>
        <v>103</v>
      </c>
      <c r="I302" s="10">
        <f t="shared" si="53"/>
        <v>150</v>
      </c>
    </row>
    <row r="303" spans="1:9" ht="12.75">
      <c r="A303" s="8" t="s">
        <v>30</v>
      </c>
      <c r="B303" s="9">
        <f t="shared" si="50"/>
        <v>10</v>
      </c>
      <c r="C303" s="8"/>
      <c r="D303" s="8"/>
      <c r="E303" s="8">
        <v>2</v>
      </c>
      <c r="F303" s="8">
        <v>2</v>
      </c>
      <c r="G303" s="9">
        <f t="shared" si="51"/>
        <v>0</v>
      </c>
      <c r="H303" s="9">
        <f t="shared" si="52"/>
        <v>10</v>
      </c>
      <c r="I303" s="10">
        <f t="shared" si="53"/>
        <v>0</v>
      </c>
    </row>
    <row r="304" spans="1:9" ht="12.75">
      <c r="A304" s="13" t="s">
        <v>31</v>
      </c>
      <c r="B304" s="9">
        <f t="shared" si="50"/>
        <v>16</v>
      </c>
      <c r="C304" s="8"/>
      <c r="D304" s="8"/>
      <c r="E304" s="8">
        <v>2</v>
      </c>
      <c r="F304" s="8">
        <v>2</v>
      </c>
      <c r="G304" s="9">
        <f t="shared" si="51"/>
        <v>0</v>
      </c>
      <c r="H304" s="9">
        <f t="shared" si="52"/>
        <v>16</v>
      </c>
      <c r="I304" s="10">
        <f t="shared" si="53"/>
        <v>0</v>
      </c>
    </row>
    <row r="305" spans="1:9" ht="12.75">
      <c r="A305" s="13" t="s">
        <v>32</v>
      </c>
      <c r="B305" s="9">
        <f t="shared" si="50"/>
        <v>16</v>
      </c>
      <c r="C305" s="8"/>
      <c r="D305" s="8"/>
      <c r="E305" s="8">
        <v>2</v>
      </c>
      <c r="F305" s="8">
        <v>2</v>
      </c>
      <c r="G305" s="9">
        <f t="shared" si="51"/>
        <v>0</v>
      </c>
      <c r="H305" s="9">
        <f t="shared" si="52"/>
        <v>16</v>
      </c>
      <c r="I305" s="10">
        <f t="shared" si="53"/>
        <v>0</v>
      </c>
    </row>
    <row r="306" spans="1:9" ht="12.75">
      <c r="A306" s="14" t="s">
        <v>33</v>
      </c>
      <c r="B306" s="15">
        <f>SUM(B283:B305)</f>
        <v>523</v>
      </c>
      <c r="C306" s="14"/>
      <c r="D306" s="14"/>
      <c r="E306" s="15">
        <f t="shared" ref="E306:G306" si="54">SUM(E282:E305)</f>
        <v>138</v>
      </c>
      <c r="F306" s="15">
        <f t="shared" si="54"/>
        <v>76</v>
      </c>
      <c r="G306" s="15">
        <f t="shared" si="54"/>
        <v>62</v>
      </c>
      <c r="H306" s="15">
        <f>SUM(H283:H305)</f>
        <v>625</v>
      </c>
      <c r="I306" s="16">
        <f>SUM(I282:I305)</f>
        <v>372</v>
      </c>
    </row>
    <row r="307" spans="1:9" ht="12.75">
      <c r="A307" s="17"/>
      <c r="B307" s="17"/>
      <c r="C307" s="17"/>
      <c r="D307" s="17"/>
      <c r="E307" s="17"/>
      <c r="F307" s="134" t="s">
        <v>34</v>
      </c>
      <c r="G307" s="133"/>
      <c r="H307" s="18"/>
      <c r="I307" s="19"/>
    </row>
    <row r="309" spans="1:9">
      <c r="A309" s="1"/>
      <c r="B309" s="131" t="s">
        <v>55</v>
      </c>
      <c r="C309" s="132"/>
      <c r="D309" s="132"/>
      <c r="E309" s="132"/>
      <c r="F309" s="132"/>
      <c r="G309" s="132"/>
      <c r="H309" s="132"/>
      <c r="I309" s="133"/>
    </row>
    <row r="310" spans="1:9" ht="45">
      <c r="A310" s="2" t="s">
        <v>1</v>
      </c>
      <c r="B310" s="3" t="s">
        <v>2</v>
      </c>
      <c r="C310" s="4" t="s">
        <v>3</v>
      </c>
      <c r="D310" s="5" t="s">
        <v>4</v>
      </c>
      <c r="E310" s="2" t="s">
        <v>5</v>
      </c>
      <c r="F310" s="2" t="s">
        <v>6</v>
      </c>
      <c r="G310" s="2" t="s">
        <v>7</v>
      </c>
      <c r="H310" s="6" t="s">
        <v>8</v>
      </c>
      <c r="I310" s="7" t="s">
        <v>9</v>
      </c>
    </row>
    <row r="311" spans="1:9" ht="12.75">
      <c r="A311" s="8" t="s">
        <v>10</v>
      </c>
      <c r="B311" s="9">
        <f t="shared" ref="B311:B333" si="55">H283</f>
        <v>42</v>
      </c>
      <c r="C311" s="8"/>
      <c r="D311" s="8"/>
      <c r="E311" s="8">
        <v>6</v>
      </c>
      <c r="F311" s="8">
        <v>4</v>
      </c>
      <c r="G311" s="9">
        <f t="shared" ref="G311:G333" si="56">E311-F311</f>
        <v>2</v>
      </c>
      <c r="H311" s="9">
        <f t="shared" ref="H311:H333" si="57">B311-C311+D311-G311</f>
        <v>40</v>
      </c>
      <c r="I311" s="10">
        <f t="shared" ref="I311:I333" si="58">G311*6</f>
        <v>12</v>
      </c>
    </row>
    <row r="312" spans="1:9" ht="12.75">
      <c r="A312" s="8" t="s">
        <v>11</v>
      </c>
      <c r="B312" s="9">
        <f t="shared" si="55"/>
        <v>10</v>
      </c>
      <c r="C312" s="11"/>
      <c r="D312" s="8"/>
      <c r="E312" s="8">
        <v>3</v>
      </c>
      <c r="F312" s="8">
        <v>3</v>
      </c>
      <c r="G312" s="9">
        <f t="shared" si="56"/>
        <v>0</v>
      </c>
      <c r="H312" s="9">
        <f t="shared" si="57"/>
        <v>10</v>
      </c>
      <c r="I312" s="10">
        <f t="shared" si="58"/>
        <v>0</v>
      </c>
    </row>
    <row r="313" spans="1:9" ht="12.75">
      <c r="A313" s="8" t="s">
        <v>12</v>
      </c>
      <c r="B313" s="9">
        <f t="shared" si="55"/>
        <v>36</v>
      </c>
      <c r="C313" s="8"/>
      <c r="D313" s="8"/>
      <c r="E313" s="8">
        <v>5</v>
      </c>
      <c r="F313" s="8">
        <v>2</v>
      </c>
      <c r="G313" s="9">
        <f t="shared" si="56"/>
        <v>3</v>
      </c>
      <c r="H313" s="9">
        <f t="shared" si="57"/>
        <v>33</v>
      </c>
      <c r="I313" s="10">
        <f t="shared" si="58"/>
        <v>18</v>
      </c>
    </row>
    <row r="314" spans="1:9" ht="12.75">
      <c r="A314" s="8" t="s">
        <v>13</v>
      </c>
      <c r="B314" s="9">
        <f t="shared" si="55"/>
        <v>29</v>
      </c>
      <c r="C314" s="8"/>
      <c r="D314" s="8"/>
      <c r="E314" s="8">
        <v>6</v>
      </c>
      <c r="F314" s="8">
        <v>4</v>
      </c>
      <c r="G314" s="9">
        <f t="shared" si="56"/>
        <v>2</v>
      </c>
      <c r="H314" s="9">
        <f t="shared" si="57"/>
        <v>27</v>
      </c>
      <c r="I314" s="10">
        <f t="shared" si="58"/>
        <v>12</v>
      </c>
    </row>
    <row r="315" spans="1:9" ht="12.75">
      <c r="A315" s="8" t="s">
        <v>14</v>
      </c>
      <c r="B315" s="9">
        <f t="shared" si="55"/>
        <v>30</v>
      </c>
      <c r="C315" s="8"/>
      <c r="D315" s="8"/>
      <c r="E315" s="8">
        <v>4</v>
      </c>
      <c r="F315" s="8">
        <v>3</v>
      </c>
      <c r="G315" s="9">
        <f t="shared" si="56"/>
        <v>1</v>
      </c>
      <c r="H315" s="9">
        <f t="shared" si="57"/>
        <v>29</v>
      </c>
      <c r="I315" s="10">
        <f t="shared" si="58"/>
        <v>6</v>
      </c>
    </row>
    <row r="316" spans="1:9" ht="12.75">
      <c r="A316" s="8" t="s">
        <v>15</v>
      </c>
      <c r="B316" s="9">
        <f t="shared" si="55"/>
        <v>18</v>
      </c>
      <c r="C316" s="8"/>
      <c r="D316" s="8"/>
      <c r="E316" s="8">
        <v>5</v>
      </c>
      <c r="F316" s="8">
        <v>5</v>
      </c>
      <c r="G316" s="9">
        <f t="shared" si="56"/>
        <v>0</v>
      </c>
      <c r="H316" s="9">
        <f t="shared" si="57"/>
        <v>18</v>
      </c>
      <c r="I316" s="10">
        <f t="shared" si="58"/>
        <v>0</v>
      </c>
    </row>
    <row r="317" spans="1:9" ht="12.75">
      <c r="A317" s="8" t="s">
        <v>16</v>
      </c>
      <c r="B317" s="9">
        <f t="shared" si="55"/>
        <v>35</v>
      </c>
      <c r="C317" s="8"/>
      <c r="D317" s="8"/>
      <c r="E317" s="8">
        <v>5</v>
      </c>
      <c r="F317" s="8">
        <v>5</v>
      </c>
      <c r="G317" s="9">
        <f t="shared" si="56"/>
        <v>0</v>
      </c>
      <c r="H317" s="9">
        <f t="shared" si="57"/>
        <v>35</v>
      </c>
      <c r="I317" s="10">
        <f t="shared" si="58"/>
        <v>0</v>
      </c>
    </row>
    <row r="318" spans="1:9" ht="12.75">
      <c r="A318" s="8" t="s">
        <v>17</v>
      </c>
      <c r="B318" s="9">
        <f t="shared" si="55"/>
        <v>26</v>
      </c>
      <c r="C318" s="8"/>
      <c r="D318" s="8"/>
      <c r="E318" s="8">
        <v>3</v>
      </c>
      <c r="F318" s="8">
        <v>0</v>
      </c>
      <c r="G318" s="9">
        <f t="shared" si="56"/>
        <v>3</v>
      </c>
      <c r="H318" s="9">
        <f t="shared" si="57"/>
        <v>23</v>
      </c>
      <c r="I318" s="10">
        <f t="shared" si="58"/>
        <v>18</v>
      </c>
    </row>
    <row r="319" spans="1:9" ht="12.75">
      <c r="A319" s="8" t="s">
        <v>18</v>
      </c>
      <c r="B319" s="9">
        <f t="shared" si="55"/>
        <v>31</v>
      </c>
      <c r="C319" s="8"/>
      <c r="D319" s="8"/>
      <c r="E319" s="8">
        <v>5</v>
      </c>
      <c r="F319" s="8">
        <v>3</v>
      </c>
      <c r="G319" s="9">
        <f t="shared" si="56"/>
        <v>2</v>
      </c>
      <c r="H319" s="9">
        <f t="shared" si="57"/>
        <v>29</v>
      </c>
      <c r="I319" s="10">
        <f t="shared" si="58"/>
        <v>12</v>
      </c>
    </row>
    <row r="320" spans="1:9" ht="12.75">
      <c r="A320" s="8" t="s">
        <v>19</v>
      </c>
      <c r="B320" s="9">
        <f t="shared" si="55"/>
        <v>40</v>
      </c>
      <c r="C320" s="8"/>
      <c r="D320" s="8"/>
      <c r="E320" s="8">
        <v>5</v>
      </c>
      <c r="F320" s="8">
        <v>4</v>
      </c>
      <c r="G320" s="9">
        <f t="shared" si="56"/>
        <v>1</v>
      </c>
      <c r="H320" s="9">
        <f t="shared" si="57"/>
        <v>39</v>
      </c>
      <c r="I320" s="10">
        <f t="shared" si="58"/>
        <v>6</v>
      </c>
    </row>
    <row r="321" spans="1:9" ht="12.75">
      <c r="A321" s="8" t="s">
        <v>20</v>
      </c>
      <c r="B321" s="9">
        <f t="shared" si="55"/>
        <v>19</v>
      </c>
      <c r="C321" s="8"/>
      <c r="D321" s="8"/>
      <c r="E321" s="8">
        <v>5</v>
      </c>
      <c r="F321" s="8">
        <v>4</v>
      </c>
      <c r="G321" s="9">
        <f t="shared" si="56"/>
        <v>1</v>
      </c>
      <c r="H321" s="9">
        <f t="shared" si="57"/>
        <v>18</v>
      </c>
      <c r="I321" s="10">
        <f t="shared" si="58"/>
        <v>6</v>
      </c>
    </row>
    <row r="322" spans="1:9" ht="12.75">
      <c r="A322" s="8" t="s">
        <v>21</v>
      </c>
      <c r="B322" s="9">
        <f t="shared" si="55"/>
        <v>14</v>
      </c>
      <c r="C322" s="8"/>
      <c r="D322" s="8"/>
      <c r="E322" s="8">
        <v>2</v>
      </c>
      <c r="F322" s="8">
        <v>2</v>
      </c>
      <c r="G322" s="9">
        <f t="shared" si="56"/>
        <v>0</v>
      </c>
      <c r="H322" s="9">
        <f t="shared" si="57"/>
        <v>14</v>
      </c>
      <c r="I322" s="10">
        <f t="shared" si="58"/>
        <v>0</v>
      </c>
    </row>
    <row r="323" spans="1:9" ht="12.75">
      <c r="A323" s="8" t="s">
        <v>22</v>
      </c>
      <c r="B323" s="9">
        <f t="shared" si="55"/>
        <v>15</v>
      </c>
      <c r="C323" s="8"/>
      <c r="D323" s="8"/>
      <c r="E323" s="8">
        <v>5</v>
      </c>
      <c r="F323" s="8">
        <v>5</v>
      </c>
      <c r="G323" s="9">
        <f t="shared" si="56"/>
        <v>0</v>
      </c>
      <c r="H323" s="9">
        <f t="shared" si="57"/>
        <v>15</v>
      </c>
      <c r="I323" s="10">
        <f t="shared" si="58"/>
        <v>0</v>
      </c>
    </row>
    <row r="324" spans="1:9" ht="12.75">
      <c r="A324" s="8" t="s">
        <v>23</v>
      </c>
      <c r="B324" s="9">
        <f t="shared" si="55"/>
        <v>15</v>
      </c>
      <c r="C324" s="11"/>
      <c r="D324" s="8">
        <v>31</v>
      </c>
      <c r="E324" s="8">
        <v>6</v>
      </c>
      <c r="F324" s="8">
        <v>6</v>
      </c>
      <c r="G324" s="9">
        <f t="shared" si="56"/>
        <v>0</v>
      </c>
      <c r="H324" s="9">
        <f t="shared" si="57"/>
        <v>46</v>
      </c>
      <c r="I324" s="10">
        <f t="shared" si="58"/>
        <v>0</v>
      </c>
    </row>
    <row r="325" spans="1:9" ht="12.75">
      <c r="A325" s="8" t="s">
        <v>24</v>
      </c>
      <c r="B325" s="9">
        <f t="shared" si="55"/>
        <v>6</v>
      </c>
      <c r="C325" s="8"/>
      <c r="D325" s="8"/>
      <c r="E325" s="8">
        <v>3</v>
      </c>
      <c r="F325" s="8">
        <v>2</v>
      </c>
      <c r="G325" s="9">
        <f t="shared" si="56"/>
        <v>1</v>
      </c>
      <c r="H325" s="9">
        <f t="shared" si="57"/>
        <v>5</v>
      </c>
      <c r="I325" s="10">
        <f t="shared" si="58"/>
        <v>6</v>
      </c>
    </row>
    <row r="326" spans="1:9" ht="12.75">
      <c r="A326" s="8" t="s">
        <v>25</v>
      </c>
      <c r="B326" s="9">
        <f t="shared" si="55"/>
        <v>14</v>
      </c>
      <c r="C326" s="8"/>
      <c r="D326" s="8">
        <v>11</v>
      </c>
      <c r="E326" s="8">
        <v>8</v>
      </c>
      <c r="F326" s="8">
        <v>2</v>
      </c>
      <c r="G326" s="9">
        <f t="shared" si="56"/>
        <v>6</v>
      </c>
      <c r="H326" s="9">
        <f t="shared" si="57"/>
        <v>19</v>
      </c>
      <c r="I326" s="10">
        <f t="shared" si="58"/>
        <v>36</v>
      </c>
    </row>
    <row r="327" spans="1:9" ht="12.75">
      <c r="A327" s="8" t="s">
        <v>26</v>
      </c>
      <c r="B327" s="9">
        <f t="shared" si="55"/>
        <v>32</v>
      </c>
      <c r="C327" s="8"/>
      <c r="D327" s="8"/>
      <c r="E327" s="8">
        <v>4</v>
      </c>
      <c r="F327" s="8">
        <v>3</v>
      </c>
      <c r="G327" s="9">
        <f t="shared" si="56"/>
        <v>1</v>
      </c>
      <c r="H327" s="9">
        <f t="shared" si="57"/>
        <v>31</v>
      </c>
      <c r="I327" s="10">
        <f t="shared" si="58"/>
        <v>6</v>
      </c>
    </row>
    <row r="328" spans="1:9" ht="12.75">
      <c r="A328" s="8" t="s">
        <v>27</v>
      </c>
      <c r="B328" s="9">
        <f t="shared" si="55"/>
        <v>24</v>
      </c>
      <c r="C328" s="8"/>
      <c r="D328" s="8"/>
      <c r="E328" s="8">
        <v>4</v>
      </c>
      <c r="F328" s="8">
        <v>4</v>
      </c>
      <c r="G328" s="9">
        <f t="shared" si="56"/>
        <v>0</v>
      </c>
      <c r="H328" s="9">
        <f t="shared" si="57"/>
        <v>24</v>
      </c>
      <c r="I328" s="10">
        <f t="shared" si="58"/>
        <v>0</v>
      </c>
    </row>
    <row r="329" spans="1:9" ht="12.75">
      <c r="A329" s="8" t="s">
        <v>28</v>
      </c>
      <c r="B329" s="9">
        <f t="shared" si="55"/>
        <v>44</v>
      </c>
      <c r="C329" s="8"/>
      <c r="D329" s="8"/>
      <c r="E329" s="8">
        <v>8</v>
      </c>
      <c r="F329" s="8">
        <v>3</v>
      </c>
      <c r="G329" s="9">
        <f t="shared" si="56"/>
        <v>5</v>
      </c>
      <c r="H329" s="9">
        <f t="shared" si="57"/>
        <v>39</v>
      </c>
      <c r="I329" s="10">
        <f t="shared" si="58"/>
        <v>30</v>
      </c>
    </row>
    <row r="330" spans="1:9" ht="12.75">
      <c r="A330" s="8" t="s">
        <v>29</v>
      </c>
      <c r="B330" s="9">
        <f t="shared" si="55"/>
        <v>103</v>
      </c>
      <c r="C330" s="8"/>
      <c r="D330" s="8"/>
      <c r="E330" s="8">
        <v>30</v>
      </c>
      <c r="F330" s="8">
        <v>17</v>
      </c>
      <c r="G330" s="9">
        <f t="shared" si="56"/>
        <v>13</v>
      </c>
      <c r="H330" s="9">
        <f t="shared" si="57"/>
        <v>90</v>
      </c>
      <c r="I330" s="10">
        <f t="shared" si="58"/>
        <v>78</v>
      </c>
    </row>
    <row r="331" spans="1:9" ht="12.75">
      <c r="A331" s="8" t="s">
        <v>30</v>
      </c>
      <c r="B331" s="9">
        <f t="shared" si="55"/>
        <v>10</v>
      </c>
      <c r="C331" s="8"/>
      <c r="D331" s="8"/>
      <c r="E331" s="8">
        <v>2</v>
      </c>
      <c r="F331" s="8">
        <v>2</v>
      </c>
      <c r="G331" s="9">
        <f t="shared" si="56"/>
        <v>0</v>
      </c>
      <c r="H331" s="9">
        <f t="shared" si="57"/>
        <v>10</v>
      </c>
      <c r="I331" s="10">
        <f t="shared" si="58"/>
        <v>0</v>
      </c>
    </row>
    <row r="332" spans="1:9" ht="12.75">
      <c r="A332" s="13" t="s">
        <v>31</v>
      </c>
      <c r="B332" s="9">
        <f t="shared" si="55"/>
        <v>16</v>
      </c>
      <c r="C332" s="8"/>
      <c r="D332" s="8"/>
      <c r="E332" s="8">
        <v>2</v>
      </c>
      <c r="F332" s="8">
        <v>2</v>
      </c>
      <c r="G332" s="9">
        <f t="shared" si="56"/>
        <v>0</v>
      </c>
      <c r="H332" s="9">
        <f t="shared" si="57"/>
        <v>16</v>
      </c>
      <c r="I332" s="10">
        <f t="shared" si="58"/>
        <v>0</v>
      </c>
    </row>
    <row r="333" spans="1:9" ht="12.75">
      <c r="A333" s="13" t="s">
        <v>32</v>
      </c>
      <c r="B333" s="9">
        <f t="shared" si="55"/>
        <v>16</v>
      </c>
      <c r="C333" s="8"/>
      <c r="D333" s="8"/>
      <c r="E333" s="8">
        <v>2</v>
      </c>
      <c r="F333" s="8">
        <v>2</v>
      </c>
      <c r="G333" s="9">
        <f t="shared" si="56"/>
        <v>0</v>
      </c>
      <c r="H333" s="9">
        <f t="shared" si="57"/>
        <v>16</v>
      </c>
      <c r="I333" s="10">
        <f t="shared" si="58"/>
        <v>0</v>
      </c>
    </row>
    <row r="334" spans="1:9" ht="12.75">
      <c r="A334" s="14" t="s">
        <v>33</v>
      </c>
      <c r="B334" s="15">
        <f t="shared" ref="B334:I334" si="59">SUM(B311:B333)</f>
        <v>625</v>
      </c>
      <c r="C334" s="15">
        <f t="shared" si="59"/>
        <v>0</v>
      </c>
      <c r="D334" s="15">
        <f t="shared" si="59"/>
        <v>42</v>
      </c>
      <c r="E334" s="15">
        <f t="shared" si="59"/>
        <v>128</v>
      </c>
      <c r="F334" s="15">
        <f t="shared" si="59"/>
        <v>87</v>
      </c>
      <c r="G334" s="15">
        <f t="shared" si="59"/>
        <v>41</v>
      </c>
      <c r="H334" s="15">
        <f t="shared" si="59"/>
        <v>626</v>
      </c>
      <c r="I334" s="16">
        <f t="shared" si="59"/>
        <v>246</v>
      </c>
    </row>
    <row r="335" spans="1:9" ht="12.75">
      <c r="A335" s="17"/>
      <c r="B335" s="17"/>
      <c r="C335" s="17"/>
      <c r="D335" s="17"/>
      <c r="E335" s="17"/>
      <c r="F335" s="134" t="s">
        <v>34</v>
      </c>
      <c r="G335" s="133"/>
      <c r="H335" s="18"/>
      <c r="I335" s="19"/>
    </row>
    <row r="337" spans="1:9">
      <c r="A337" s="1"/>
      <c r="B337" s="131" t="s">
        <v>56</v>
      </c>
      <c r="C337" s="132"/>
      <c r="D337" s="132"/>
      <c r="E337" s="132"/>
      <c r="F337" s="132"/>
      <c r="G337" s="132"/>
      <c r="H337" s="132"/>
      <c r="I337" s="133"/>
    </row>
    <row r="338" spans="1:9" ht="45">
      <c r="A338" s="2" t="s">
        <v>1</v>
      </c>
      <c r="B338" s="3" t="s">
        <v>2</v>
      </c>
      <c r="C338" s="4" t="s">
        <v>3</v>
      </c>
      <c r="D338" s="5" t="s">
        <v>4</v>
      </c>
      <c r="E338" s="2" t="s">
        <v>5</v>
      </c>
      <c r="F338" s="2" t="s">
        <v>6</v>
      </c>
      <c r="G338" s="2" t="s">
        <v>7</v>
      </c>
      <c r="H338" s="6" t="s">
        <v>8</v>
      </c>
      <c r="I338" s="7" t="s">
        <v>9</v>
      </c>
    </row>
    <row r="339" spans="1:9" ht="12.75">
      <c r="A339" s="8" t="s">
        <v>10</v>
      </c>
      <c r="B339" s="9">
        <f t="shared" ref="B339:B361" si="60">H311</f>
        <v>40</v>
      </c>
      <c r="C339" s="8"/>
      <c r="D339" s="8"/>
      <c r="E339" s="8">
        <v>6</v>
      </c>
      <c r="F339" s="8">
        <v>5</v>
      </c>
      <c r="G339" s="9">
        <f t="shared" ref="G339:G361" si="61">E339-F339</f>
        <v>1</v>
      </c>
      <c r="H339" s="9">
        <f t="shared" ref="H339:H361" si="62">B339-C339+D339-G339</f>
        <v>39</v>
      </c>
      <c r="I339" s="10">
        <f t="shared" ref="I339:I361" si="63">G339*6</f>
        <v>6</v>
      </c>
    </row>
    <row r="340" spans="1:9" ht="12.75">
      <c r="A340" s="8" t="s">
        <v>11</v>
      </c>
      <c r="B340" s="9">
        <f t="shared" si="60"/>
        <v>10</v>
      </c>
      <c r="C340" s="11">
        <v>1</v>
      </c>
      <c r="D340" s="8"/>
      <c r="E340" s="8">
        <v>3</v>
      </c>
      <c r="F340" s="8">
        <v>3</v>
      </c>
      <c r="G340" s="9">
        <f t="shared" si="61"/>
        <v>0</v>
      </c>
      <c r="H340" s="9">
        <f t="shared" si="62"/>
        <v>9</v>
      </c>
      <c r="I340" s="10">
        <f t="shared" si="63"/>
        <v>0</v>
      </c>
    </row>
    <row r="341" spans="1:9" ht="12.75">
      <c r="A341" s="8" t="s">
        <v>12</v>
      </c>
      <c r="B341" s="9">
        <f t="shared" si="60"/>
        <v>33</v>
      </c>
      <c r="C341" s="8"/>
      <c r="D341" s="8"/>
      <c r="E341" s="8">
        <v>5</v>
      </c>
      <c r="F341" s="8">
        <v>4</v>
      </c>
      <c r="G341" s="9">
        <f t="shared" si="61"/>
        <v>1</v>
      </c>
      <c r="H341" s="9">
        <f t="shared" si="62"/>
        <v>32</v>
      </c>
      <c r="I341" s="10">
        <f t="shared" si="63"/>
        <v>6</v>
      </c>
    </row>
    <row r="342" spans="1:9" ht="12.75">
      <c r="A342" s="8" t="s">
        <v>13</v>
      </c>
      <c r="B342" s="9">
        <f t="shared" si="60"/>
        <v>27</v>
      </c>
      <c r="C342" s="8"/>
      <c r="D342" s="8"/>
      <c r="E342" s="8">
        <v>6</v>
      </c>
      <c r="F342" s="8">
        <v>2</v>
      </c>
      <c r="G342" s="9">
        <f t="shared" si="61"/>
        <v>4</v>
      </c>
      <c r="H342" s="9">
        <f t="shared" si="62"/>
        <v>23</v>
      </c>
      <c r="I342" s="10">
        <f t="shared" si="63"/>
        <v>24</v>
      </c>
    </row>
    <row r="343" spans="1:9" ht="12.75">
      <c r="A343" s="8" t="s">
        <v>14</v>
      </c>
      <c r="B343" s="9">
        <f t="shared" si="60"/>
        <v>29</v>
      </c>
      <c r="C343" s="8"/>
      <c r="D343" s="8"/>
      <c r="E343" s="8">
        <v>4</v>
      </c>
      <c r="F343" s="8">
        <v>4</v>
      </c>
      <c r="G343" s="9">
        <f t="shared" si="61"/>
        <v>0</v>
      </c>
      <c r="H343" s="9">
        <f t="shared" si="62"/>
        <v>29</v>
      </c>
      <c r="I343" s="10">
        <f t="shared" si="63"/>
        <v>0</v>
      </c>
    </row>
    <row r="344" spans="1:9" ht="12.75">
      <c r="A344" s="8" t="s">
        <v>15</v>
      </c>
      <c r="B344" s="9">
        <f t="shared" si="60"/>
        <v>18</v>
      </c>
      <c r="C344" s="8"/>
      <c r="D344" s="8"/>
      <c r="E344" s="8">
        <v>5</v>
      </c>
      <c r="F344" s="8">
        <v>2</v>
      </c>
      <c r="G344" s="9">
        <f t="shared" si="61"/>
        <v>3</v>
      </c>
      <c r="H344" s="9">
        <f t="shared" si="62"/>
        <v>15</v>
      </c>
      <c r="I344" s="10">
        <f t="shared" si="63"/>
        <v>18</v>
      </c>
    </row>
    <row r="345" spans="1:9" ht="12.75">
      <c r="A345" s="8" t="s">
        <v>16</v>
      </c>
      <c r="B345" s="9">
        <f t="shared" si="60"/>
        <v>35</v>
      </c>
      <c r="C345" s="8"/>
      <c r="D345" s="8"/>
      <c r="E345" s="8">
        <v>5</v>
      </c>
      <c r="F345" s="8">
        <v>0</v>
      </c>
      <c r="G345" s="9">
        <f t="shared" si="61"/>
        <v>5</v>
      </c>
      <c r="H345" s="9">
        <f t="shared" si="62"/>
        <v>30</v>
      </c>
      <c r="I345" s="10">
        <f t="shared" si="63"/>
        <v>30</v>
      </c>
    </row>
    <row r="346" spans="1:9" ht="12.75">
      <c r="A346" s="8" t="s">
        <v>17</v>
      </c>
      <c r="B346" s="9">
        <f t="shared" si="60"/>
        <v>23</v>
      </c>
      <c r="C346" s="8"/>
      <c r="D346" s="8"/>
      <c r="E346" s="8">
        <v>4</v>
      </c>
      <c r="F346" s="8">
        <v>3</v>
      </c>
      <c r="G346" s="9">
        <f t="shared" si="61"/>
        <v>1</v>
      </c>
      <c r="H346" s="9">
        <f t="shared" si="62"/>
        <v>22</v>
      </c>
      <c r="I346" s="10">
        <f t="shared" si="63"/>
        <v>6</v>
      </c>
    </row>
    <row r="347" spans="1:9" ht="12.75">
      <c r="A347" s="8" t="s">
        <v>18</v>
      </c>
      <c r="B347" s="9">
        <f t="shared" si="60"/>
        <v>29</v>
      </c>
      <c r="C347" s="8"/>
      <c r="D347" s="8"/>
      <c r="E347" s="8">
        <v>5</v>
      </c>
      <c r="F347" s="8">
        <v>3</v>
      </c>
      <c r="G347" s="9">
        <f t="shared" si="61"/>
        <v>2</v>
      </c>
      <c r="H347" s="9">
        <f t="shared" si="62"/>
        <v>27</v>
      </c>
      <c r="I347" s="10">
        <f t="shared" si="63"/>
        <v>12</v>
      </c>
    </row>
    <row r="348" spans="1:9" ht="12.75">
      <c r="A348" s="8" t="s">
        <v>19</v>
      </c>
      <c r="B348" s="9">
        <f t="shared" si="60"/>
        <v>39</v>
      </c>
      <c r="C348" s="8"/>
      <c r="D348" s="8"/>
      <c r="E348" s="8">
        <v>5</v>
      </c>
      <c r="F348" s="8">
        <v>4</v>
      </c>
      <c r="G348" s="9">
        <f t="shared" si="61"/>
        <v>1</v>
      </c>
      <c r="H348" s="9">
        <f t="shared" si="62"/>
        <v>38</v>
      </c>
      <c r="I348" s="10">
        <f t="shared" si="63"/>
        <v>6</v>
      </c>
    </row>
    <row r="349" spans="1:9" ht="12.75">
      <c r="A349" s="8" t="s">
        <v>20</v>
      </c>
      <c r="B349" s="9">
        <f t="shared" si="60"/>
        <v>18</v>
      </c>
      <c r="C349" s="8"/>
      <c r="D349" s="8">
        <v>31</v>
      </c>
      <c r="E349" s="8">
        <v>5</v>
      </c>
      <c r="F349" s="8">
        <v>4</v>
      </c>
      <c r="G349" s="9">
        <f t="shared" si="61"/>
        <v>1</v>
      </c>
      <c r="H349" s="9">
        <f t="shared" si="62"/>
        <v>48</v>
      </c>
      <c r="I349" s="10">
        <f t="shared" si="63"/>
        <v>6</v>
      </c>
    </row>
    <row r="350" spans="1:9" ht="12.75">
      <c r="A350" s="8" t="s">
        <v>21</v>
      </c>
      <c r="B350" s="9">
        <f t="shared" si="60"/>
        <v>14</v>
      </c>
      <c r="C350" s="8"/>
      <c r="D350" s="8"/>
      <c r="E350" s="8">
        <v>2</v>
      </c>
      <c r="F350" s="8">
        <v>1</v>
      </c>
      <c r="G350" s="9">
        <f t="shared" si="61"/>
        <v>1</v>
      </c>
      <c r="H350" s="9">
        <f t="shared" si="62"/>
        <v>13</v>
      </c>
      <c r="I350" s="10">
        <f t="shared" si="63"/>
        <v>6</v>
      </c>
    </row>
    <row r="351" spans="1:9" ht="12.75">
      <c r="A351" s="8" t="s">
        <v>22</v>
      </c>
      <c r="B351" s="9">
        <f t="shared" si="60"/>
        <v>15</v>
      </c>
      <c r="C351" s="8"/>
      <c r="D351" s="8"/>
      <c r="E351" s="8">
        <v>5</v>
      </c>
      <c r="F351" s="8">
        <v>5</v>
      </c>
      <c r="G351" s="9">
        <f t="shared" si="61"/>
        <v>0</v>
      </c>
      <c r="H351" s="9">
        <f t="shared" si="62"/>
        <v>15</v>
      </c>
      <c r="I351" s="10">
        <f t="shared" si="63"/>
        <v>0</v>
      </c>
    </row>
    <row r="352" spans="1:9" ht="12.75">
      <c r="A352" s="8" t="s">
        <v>23</v>
      </c>
      <c r="B352" s="9">
        <f t="shared" si="60"/>
        <v>46</v>
      </c>
      <c r="C352" s="11"/>
      <c r="D352" s="8"/>
      <c r="E352" s="8">
        <v>6</v>
      </c>
      <c r="F352" s="8">
        <v>4</v>
      </c>
      <c r="G352" s="9">
        <f t="shared" si="61"/>
        <v>2</v>
      </c>
      <c r="H352" s="9">
        <f t="shared" si="62"/>
        <v>44</v>
      </c>
      <c r="I352" s="10">
        <f t="shared" si="63"/>
        <v>12</v>
      </c>
    </row>
    <row r="353" spans="1:9" ht="12.75">
      <c r="A353" s="8" t="s">
        <v>24</v>
      </c>
      <c r="B353" s="9">
        <f t="shared" si="60"/>
        <v>5</v>
      </c>
      <c r="C353" s="8"/>
      <c r="D353" s="8"/>
      <c r="E353" s="8">
        <v>3</v>
      </c>
      <c r="F353" s="8">
        <v>2</v>
      </c>
      <c r="G353" s="9">
        <f t="shared" si="61"/>
        <v>1</v>
      </c>
      <c r="H353" s="9">
        <f t="shared" si="62"/>
        <v>4</v>
      </c>
      <c r="I353" s="10">
        <f t="shared" si="63"/>
        <v>6</v>
      </c>
    </row>
    <row r="354" spans="1:9" ht="12.75">
      <c r="A354" s="8" t="s">
        <v>25</v>
      </c>
      <c r="B354" s="9">
        <f t="shared" si="60"/>
        <v>19</v>
      </c>
      <c r="C354" s="8"/>
      <c r="D354" s="8"/>
      <c r="E354" s="8">
        <v>8</v>
      </c>
      <c r="F354" s="8">
        <v>5</v>
      </c>
      <c r="G354" s="9">
        <f t="shared" si="61"/>
        <v>3</v>
      </c>
      <c r="H354" s="9">
        <f t="shared" si="62"/>
        <v>16</v>
      </c>
      <c r="I354" s="10">
        <f t="shared" si="63"/>
        <v>18</v>
      </c>
    </row>
    <row r="355" spans="1:9" ht="12.75">
      <c r="A355" s="8" t="s">
        <v>26</v>
      </c>
      <c r="B355" s="9">
        <f t="shared" si="60"/>
        <v>31</v>
      </c>
      <c r="C355" s="8"/>
      <c r="D355" s="8"/>
      <c r="E355" s="8">
        <v>4</v>
      </c>
      <c r="F355" s="8">
        <v>4</v>
      </c>
      <c r="G355" s="9">
        <f t="shared" si="61"/>
        <v>0</v>
      </c>
      <c r="H355" s="9">
        <f t="shared" si="62"/>
        <v>31</v>
      </c>
      <c r="I355" s="10">
        <f t="shared" si="63"/>
        <v>0</v>
      </c>
    </row>
    <row r="356" spans="1:9" ht="12.75">
      <c r="A356" s="8" t="s">
        <v>27</v>
      </c>
      <c r="B356" s="9">
        <f t="shared" si="60"/>
        <v>24</v>
      </c>
      <c r="C356" s="8"/>
      <c r="D356" s="8"/>
      <c r="E356" s="8">
        <v>4</v>
      </c>
      <c r="F356" s="8">
        <v>4</v>
      </c>
      <c r="G356" s="9">
        <f t="shared" si="61"/>
        <v>0</v>
      </c>
      <c r="H356" s="9">
        <f t="shared" si="62"/>
        <v>24</v>
      </c>
      <c r="I356" s="10">
        <f t="shared" si="63"/>
        <v>0</v>
      </c>
    </row>
    <row r="357" spans="1:9" ht="12.75">
      <c r="A357" s="8" t="s">
        <v>28</v>
      </c>
      <c r="B357" s="9">
        <f t="shared" si="60"/>
        <v>39</v>
      </c>
      <c r="C357" s="8"/>
      <c r="D357" s="8"/>
      <c r="E357" s="8">
        <v>8</v>
      </c>
      <c r="F357" s="8">
        <v>3</v>
      </c>
      <c r="G357" s="9">
        <f t="shared" si="61"/>
        <v>5</v>
      </c>
      <c r="H357" s="9">
        <f t="shared" si="62"/>
        <v>34</v>
      </c>
      <c r="I357" s="10">
        <f t="shared" si="63"/>
        <v>30</v>
      </c>
    </row>
    <row r="358" spans="1:9" ht="12.75">
      <c r="A358" s="8" t="s">
        <v>29</v>
      </c>
      <c r="B358" s="9">
        <f t="shared" si="60"/>
        <v>90</v>
      </c>
      <c r="C358" s="8"/>
      <c r="D358" s="8">
        <v>34</v>
      </c>
      <c r="E358" s="8">
        <v>25</v>
      </c>
      <c r="F358" s="8">
        <v>11</v>
      </c>
      <c r="G358" s="9">
        <f t="shared" si="61"/>
        <v>14</v>
      </c>
      <c r="H358" s="9">
        <f t="shared" si="62"/>
        <v>110</v>
      </c>
      <c r="I358" s="10">
        <f t="shared" si="63"/>
        <v>84</v>
      </c>
    </row>
    <row r="359" spans="1:9" ht="12.75">
      <c r="A359" s="8" t="s">
        <v>30</v>
      </c>
      <c r="B359" s="9">
        <f t="shared" si="60"/>
        <v>10</v>
      </c>
      <c r="C359" s="8"/>
      <c r="D359" s="8"/>
      <c r="E359" s="8">
        <v>2</v>
      </c>
      <c r="F359" s="8">
        <v>1</v>
      </c>
      <c r="G359" s="9">
        <f t="shared" si="61"/>
        <v>1</v>
      </c>
      <c r="H359" s="9">
        <f t="shared" si="62"/>
        <v>9</v>
      </c>
      <c r="I359" s="10">
        <f t="shared" si="63"/>
        <v>6</v>
      </c>
    </row>
    <row r="360" spans="1:9" ht="12.75">
      <c r="A360" s="13" t="s">
        <v>31</v>
      </c>
      <c r="B360" s="9">
        <f t="shared" si="60"/>
        <v>16</v>
      </c>
      <c r="C360" s="8"/>
      <c r="D360" s="8"/>
      <c r="E360" s="8">
        <v>2</v>
      </c>
      <c r="F360" s="8">
        <v>2</v>
      </c>
      <c r="G360" s="9">
        <f t="shared" si="61"/>
        <v>0</v>
      </c>
      <c r="H360" s="9">
        <f t="shared" si="62"/>
        <v>16</v>
      </c>
      <c r="I360" s="10">
        <f t="shared" si="63"/>
        <v>0</v>
      </c>
    </row>
    <row r="361" spans="1:9" ht="12.75">
      <c r="A361" s="13" t="s">
        <v>32</v>
      </c>
      <c r="B361" s="9">
        <f t="shared" si="60"/>
        <v>16</v>
      </c>
      <c r="C361" s="8"/>
      <c r="D361" s="8"/>
      <c r="E361" s="8">
        <v>2</v>
      </c>
      <c r="F361" s="8">
        <v>2</v>
      </c>
      <c r="G361" s="9">
        <f t="shared" si="61"/>
        <v>0</v>
      </c>
      <c r="H361" s="9">
        <f t="shared" si="62"/>
        <v>16</v>
      </c>
      <c r="I361" s="10">
        <f t="shared" si="63"/>
        <v>0</v>
      </c>
    </row>
    <row r="362" spans="1:9" ht="12.75">
      <c r="A362" s="14" t="s">
        <v>33</v>
      </c>
      <c r="B362" s="15">
        <f t="shared" ref="B362:I362" si="64">SUM(B339:B361)</f>
        <v>626</v>
      </c>
      <c r="C362" s="15">
        <f t="shared" si="64"/>
        <v>1</v>
      </c>
      <c r="D362" s="15">
        <f t="shared" si="64"/>
        <v>65</v>
      </c>
      <c r="E362" s="15">
        <f t="shared" si="64"/>
        <v>124</v>
      </c>
      <c r="F362" s="15">
        <f t="shared" si="64"/>
        <v>78</v>
      </c>
      <c r="G362" s="15">
        <f t="shared" si="64"/>
        <v>46</v>
      </c>
      <c r="H362" s="15">
        <f t="shared" si="64"/>
        <v>644</v>
      </c>
      <c r="I362" s="16">
        <f t="shared" si="64"/>
        <v>276</v>
      </c>
    </row>
    <row r="363" spans="1:9" ht="12.75">
      <c r="A363" s="17"/>
      <c r="B363" s="17"/>
      <c r="C363" s="17"/>
      <c r="D363" s="17"/>
      <c r="E363" s="17"/>
      <c r="F363" s="134" t="s">
        <v>34</v>
      </c>
      <c r="G363" s="133"/>
      <c r="H363" s="18"/>
      <c r="I363" s="19"/>
    </row>
    <row r="365" spans="1:9">
      <c r="A365" s="1"/>
      <c r="B365" s="131" t="s">
        <v>57</v>
      </c>
      <c r="C365" s="132"/>
      <c r="D365" s="132"/>
      <c r="E365" s="132"/>
      <c r="F365" s="132"/>
      <c r="G365" s="132"/>
      <c r="H365" s="132"/>
      <c r="I365" s="133"/>
    </row>
    <row r="366" spans="1:9" ht="45">
      <c r="A366" s="2" t="s">
        <v>1</v>
      </c>
      <c r="B366" s="3" t="s">
        <v>2</v>
      </c>
      <c r="C366" s="4" t="s">
        <v>3</v>
      </c>
      <c r="D366" s="5" t="s">
        <v>4</v>
      </c>
      <c r="E366" s="2" t="s">
        <v>5</v>
      </c>
      <c r="F366" s="2" t="s">
        <v>6</v>
      </c>
      <c r="G366" s="2" t="s">
        <v>7</v>
      </c>
      <c r="H366" s="6" t="s">
        <v>8</v>
      </c>
      <c r="I366" s="7" t="s">
        <v>9</v>
      </c>
    </row>
    <row r="367" spans="1:9" ht="12.75">
      <c r="A367" s="8" t="s">
        <v>10</v>
      </c>
      <c r="B367" s="9">
        <f t="shared" ref="B367:B389" si="65">H339</f>
        <v>39</v>
      </c>
      <c r="C367" s="8"/>
      <c r="D367" s="8"/>
      <c r="E367" s="8">
        <v>6</v>
      </c>
      <c r="F367" s="8">
        <v>6</v>
      </c>
      <c r="G367" s="9">
        <f t="shared" ref="G367:G389" si="66">E367-F367</f>
        <v>0</v>
      </c>
      <c r="H367" s="9">
        <f t="shared" ref="H367:H389" si="67">B367-C367+D367-G367</f>
        <v>39</v>
      </c>
      <c r="I367" s="10">
        <f t="shared" ref="I367:I389" si="68">G367*6</f>
        <v>0</v>
      </c>
    </row>
    <row r="368" spans="1:9" ht="12.75">
      <c r="A368" s="8" t="s">
        <v>11</v>
      </c>
      <c r="B368" s="9">
        <f t="shared" si="65"/>
        <v>9</v>
      </c>
      <c r="C368" s="11"/>
      <c r="D368" s="8"/>
      <c r="E368" s="8">
        <v>3</v>
      </c>
      <c r="F368" s="8">
        <v>1</v>
      </c>
      <c r="G368" s="9">
        <f t="shared" si="66"/>
        <v>2</v>
      </c>
      <c r="H368" s="9">
        <f t="shared" si="67"/>
        <v>7</v>
      </c>
      <c r="I368" s="10">
        <f t="shared" si="68"/>
        <v>12</v>
      </c>
    </row>
    <row r="369" spans="1:9" ht="12.75">
      <c r="A369" s="8" t="s">
        <v>12</v>
      </c>
      <c r="B369" s="9">
        <f t="shared" si="65"/>
        <v>32</v>
      </c>
      <c r="C369" s="8"/>
      <c r="D369" s="8"/>
      <c r="E369" s="8">
        <v>5</v>
      </c>
      <c r="F369" s="8">
        <v>3</v>
      </c>
      <c r="G369" s="9">
        <f t="shared" si="66"/>
        <v>2</v>
      </c>
      <c r="H369" s="9">
        <f t="shared" si="67"/>
        <v>30</v>
      </c>
      <c r="I369" s="10">
        <f t="shared" si="68"/>
        <v>12</v>
      </c>
    </row>
    <row r="370" spans="1:9" ht="12.75">
      <c r="A370" s="8" t="s">
        <v>13</v>
      </c>
      <c r="B370" s="9">
        <f t="shared" si="65"/>
        <v>23</v>
      </c>
      <c r="C370" s="8"/>
      <c r="D370" s="8"/>
      <c r="E370" s="8">
        <v>12</v>
      </c>
      <c r="F370" s="8">
        <v>2</v>
      </c>
      <c r="G370" s="9">
        <f t="shared" si="66"/>
        <v>10</v>
      </c>
      <c r="H370" s="9">
        <f t="shared" si="67"/>
        <v>13</v>
      </c>
      <c r="I370" s="10">
        <f t="shared" si="68"/>
        <v>60</v>
      </c>
    </row>
    <row r="371" spans="1:9" ht="12.75">
      <c r="A371" s="8" t="s">
        <v>14</v>
      </c>
      <c r="B371" s="9">
        <f t="shared" si="65"/>
        <v>29</v>
      </c>
      <c r="C371" s="8"/>
      <c r="D371" s="8"/>
      <c r="E371" s="8">
        <v>4</v>
      </c>
      <c r="F371" s="8">
        <v>3</v>
      </c>
      <c r="G371" s="9">
        <f t="shared" si="66"/>
        <v>1</v>
      </c>
      <c r="H371" s="9">
        <f t="shared" si="67"/>
        <v>28</v>
      </c>
      <c r="I371" s="10">
        <f t="shared" si="68"/>
        <v>6</v>
      </c>
    </row>
    <row r="372" spans="1:9" ht="12.75">
      <c r="A372" s="8" t="s">
        <v>15</v>
      </c>
      <c r="B372" s="9">
        <f t="shared" si="65"/>
        <v>15</v>
      </c>
      <c r="C372" s="8"/>
      <c r="D372" s="8"/>
      <c r="E372" s="8">
        <v>5</v>
      </c>
      <c r="F372" s="8">
        <v>2</v>
      </c>
      <c r="G372" s="9">
        <f t="shared" si="66"/>
        <v>3</v>
      </c>
      <c r="H372" s="9">
        <f t="shared" si="67"/>
        <v>12</v>
      </c>
      <c r="I372" s="10">
        <f t="shared" si="68"/>
        <v>18</v>
      </c>
    </row>
    <row r="373" spans="1:9" ht="12.75">
      <c r="A373" s="8" t="s">
        <v>16</v>
      </c>
      <c r="B373" s="9">
        <f t="shared" si="65"/>
        <v>30</v>
      </c>
      <c r="C373" s="8"/>
      <c r="D373" s="8"/>
      <c r="E373" s="8">
        <v>6</v>
      </c>
      <c r="F373" s="8">
        <v>4</v>
      </c>
      <c r="G373" s="9">
        <f t="shared" si="66"/>
        <v>2</v>
      </c>
      <c r="H373" s="9">
        <f t="shared" si="67"/>
        <v>28</v>
      </c>
      <c r="I373" s="10">
        <f t="shared" si="68"/>
        <v>12</v>
      </c>
    </row>
    <row r="374" spans="1:9" ht="12.75">
      <c r="A374" s="8" t="s">
        <v>17</v>
      </c>
      <c r="B374" s="9">
        <f t="shared" si="65"/>
        <v>22</v>
      </c>
      <c r="C374" s="8"/>
      <c r="D374" s="8"/>
      <c r="E374" s="8">
        <v>5</v>
      </c>
      <c r="F374" s="8">
        <v>4</v>
      </c>
      <c r="G374" s="9">
        <f t="shared" si="66"/>
        <v>1</v>
      </c>
      <c r="H374" s="9">
        <f t="shared" si="67"/>
        <v>21</v>
      </c>
      <c r="I374" s="10">
        <f t="shared" si="68"/>
        <v>6</v>
      </c>
    </row>
    <row r="375" spans="1:9" ht="12.75">
      <c r="A375" s="8" t="s">
        <v>18</v>
      </c>
      <c r="B375" s="9">
        <f t="shared" si="65"/>
        <v>27</v>
      </c>
      <c r="C375" s="8"/>
      <c r="D375" s="8"/>
      <c r="E375" s="8">
        <v>5</v>
      </c>
      <c r="F375" s="8">
        <v>5</v>
      </c>
      <c r="G375" s="9">
        <f t="shared" si="66"/>
        <v>0</v>
      </c>
      <c r="H375" s="9">
        <f t="shared" si="67"/>
        <v>27</v>
      </c>
      <c r="I375" s="10">
        <f t="shared" si="68"/>
        <v>0</v>
      </c>
    </row>
    <row r="376" spans="1:9" ht="12.75">
      <c r="A376" s="8" t="s">
        <v>19</v>
      </c>
      <c r="B376" s="9">
        <f t="shared" si="65"/>
        <v>38</v>
      </c>
      <c r="C376" s="8">
        <v>1</v>
      </c>
      <c r="D376" s="8"/>
      <c r="E376" s="8">
        <v>5</v>
      </c>
      <c r="F376" s="8">
        <v>4</v>
      </c>
      <c r="G376" s="9">
        <f t="shared" si="66"/>
        <v>1</v>
      </c>
      <c r="H376" s="9">
        <f t="shared" si="67"/>
        <v>36</v>
      </c>
      <c r="I376" s="10">
        <f t="shared" si="68"/>
        <v>6</v>
      </c>
    </row>
    <row r="377" spans="1:9" ht="12.75">
      <c r="A377" s="8" t="s">
        <v>20</v>
      </c>
      <c r="B377" s="9">
        <f t="shared" si="65"/>
        <v>48</v>
      </c>
      <c r="C377" s="8"/>
      <c r="D377" s="8"/>
      <c r="E377" s="8">
        <v>6</v>
      </c>
      <c r="F377" s="8">
        <v>3</v>
      </c>
      <c r="G377" s="9">
        <f t="shared" si="66"/>
        <v>3</v>
      </c>
      <c r="H377" s="9">
        <f t="shared" si="67"/>
        <v>45</v>
      </c>
      <c r="I377" s="10">
        <f t="shared" si="68"/>
        <v>18</v>
      </c>
    </row>
    <row r="378" spans="1:9" ht="12.75">
      <c r="A378" s="8" t="s">
        <v>21</v>
      </c>
      <c r="B378" s="9">
        <f t="shared" si="65"/>
        <v>13</v>
      </c>
      <c r="C378" s="8"/>
      <c r="D378" s="8"/>
      <c r="E378" s="20">
        <v>2</v>
      </c>
      <c r="F378" s="8">
        <v>2</v>
      </c>
      <c r="G378" s="9">
        <f t="shared" si="66"/>
        <v>0</v>
      </c>
      <c r="H378" s="9">
        <f t="shared" si="67"/>
        <v>13</v>
      </c>
      <c r="I378" s="10">
        <f t="shared" si="68"/>
        <v>0</v>
      </c>
    </row>
    <row r="379" spans="1:9" ht="12.75">
      <c r="A379" s="8" t="s">
        <v>22</v>
      </c>
      <c r="B379" s="9">
        <f t="shared" si="65"/>
        <v>15</v>
      </c>
      <c r="C379" s="8"/>
      <c r="D379" s="8">
        <v>30</v>
      </c>
      <c r="E379" s="8">
        <v>5</v>
      </c>
      <c r="F379" s="8">
        <v>2</v>
      </c>
      <c r="G379" s="9">
        <f t="shared" si="66"/>
        <v>3</v>
      </c>
      <c r="H379" s="9">
        <f t="shared" si="67"/>
        <v>42</v>
      </c>
      <c r="I379" s="10">
        <f t="shared" si="68"/>
        <v>18</v>
      </c>
    </row>
    <row r="380" spans="1:9" ht="12.75">
      <c r="A380" s="8" t="s">
        <v>23</v>
      </c>
      <c r="B380" s="9">
        <f t="shared" si="65"/>
        <v>44</v>
      </c>
      <c r="C380" s="11"/>
      <c r="D380" s="8"/>
      <c r="E380" s="8">
        <v>6</v>
      </c>
      <c r="F380" s="8">
        <v>5</v>
      </c>
      <c r="G380" s="9">
        <f t="shared" si="66"/>
        <v>1</v>
      </c>
      <c r="H380" s="9">
        <f t="shared" si="67"/>
        <v>43</v>
      </c>
      <c r="I380" s="10">
        <f t="shared" si="68"/>
        <v>6</v>
      </c>
    </row>
    <row r="381" spans="1:9" ht="12.75">
      <c r="A381" s="8" t="s">
        <v>24</v>
      </c>
      <c r="B381" s="9">
        <f t="shared" si="65"/>
        <v>4</v>
      </c>
      <c r="C381" s="8"/>
      <c r="D381" s="8"/>
      <c r="E381" s="8">
        <v>3</v>
      </c>
      <c r="F381" s="8">
        <v>3</v>
      </c>
      <c r="G381" s="9">
        <f t="shared" si="66"/>
        <v>0</v>
      </c>
      <c r="H381" s="9">
        <f t="shared" si="67"/>
        <v>4</v>
      </c>
      <c r="I381" s="10">
        <f t="shared" si="68"/>
        <v>0</v>
      </c>
    </row>
    <row r="382" spans="1:9" ht="12.75">
      <c r="A382" s="8" t="s">
        <v>25</v>
      </c>
      <c r="B382" s="9">
        <f t="shared" si="65"/>
        <v>16</v>
      </c>
      <c r="C382" s="8"/>
      <c r="D382" s="8"/>
      <c r="E382" s="8">
        <v>9</v>
      </c>
      <c r="F382" s="8">
        <v>8</v>
      </c>
      <c r="G382" s="9">
        <f t="shared" si="66"/>
        <v>1</v>
      </c>
      <c r="H382" s="9">
        <f t="shared" si="67"/>
        <v>15</v>
      </c>
      <c r="I382" s="10">
        <f t="shared" si="68"/>
        <v>6</v>
      </c>
    </row>
    <row r="383" spans="1:9" ht="12.75">
      <c r="A383" s="8" t="s">
        <v>26</v>
      </c>
      <c r="B383" s="9">
        <f t="shared" si="65"/>
        <v>31</v>
      </c>
      <c r="C383" s="8"/>
      <c r="D383" s="8"/>
      <c r="E383" s="8">
        <v>4</v>
      </c>
      <c r="F383" s="8">
        <v>1</v>
      </c>
      <c r="G383" s="9">
        <f t="shared" si="66"/>
        <v>3</v>
      </c>
      <c r="H383" s="9">
        <f t="shared" si="67"/>
        <v>28</v>
      </c>
      <c r="I383" s="10">
        <f t="shared" si="68"/>
        <v>18</v>
      </c>
    </row>
    <row r="384" spans="1:9" ht="12.75">
      <c r="A384" s="8" t="s">
        <v>27</v>
      </c>
      <c r="B384" s="9">
        <f t="shared" si="65"/>
        <v>24</v>
      </c>
      <c r="C384" s="8"/>
      <c r="D384" s="8"/>
      <c r="E384" s="8">
        <v>4</v>
      </c>
      <c r="F384" s="8">
        <v>4</v>
      </c>
      <c r="G384" s="9">
        <f t="shared" si="66"/>
        <v>0</v>
      </c>
      <c r="H384" s="9">
        <f t="shared" si="67"/>
        <v>24</v>
      </c>
      <c r="I384" s="10">
        <f t="shared" si="68"/>
        <v>0</v>
      </c>
    </row>
    <row r="385" spans="1:9" ht="12.75">
      <c r="A385" s="8" t="s">
        <v>28</v>
      </c>
      <c r="B385" s="9">
        <f t="shared" si="65"/>
        <v>34</v>
      </c>
      <c r="C385" s="8"/>
      <c r="D385" s="8"/>
      <c r="E385" s="8">
        <v>8</v>
      </c>
      <c r="F385" s="8">
        <v>4</v>
      </c>
      <c r="G385" s="9">
        <f t="shared" si="66"/>
        <v>4</v>
      </c>
      <c r="H385" s="9">
        <f t="shared" si="67"/>
        <v>30</v>
      </c>
      <c r="I385" s="10">
        <f t="shared" si="68"/>
        <v>24</v>
      </c>
    </row>
    <row r="386" spans="1:9" ht="12.75">
      <c r="A386" s="8" t="s">
        <v>29</v>
      </c>
      <c r="B386" s="9">
        <f t="shared" si="65"/>
        <v>110</v>
      </c>
      <c r="C386" s="8"/>
      <c r="D386" s="8"/>
      <c r="E386" s="8">
        <v>35</v>
      </c>
      <c r="F386" s="8">
        <v>18</v>
      </c>
      <c r="G386" s="9">
        <f t="shared" si="66"/>
        <v>17</v>
      </c>
      <c r="H386" s="9">
        <f t="shared" si="67"/>
        <v>93</v>
      </c>
      <c r="I386" s="10">
        <f t="shared" si="68"/>
        <v>102</v>
      </c>
    </row>
    <row r="387" spans="1:9" ht="12.75">
      <c r="A387" s="8" t="s">
        <v>30</v>
      </c>
      <c r="B387" s="9">
        <f t="shared" si="65"/>
        <v>9</v>
      </c>
      <c r="C387" s="8"/>
      <c r="D387" s="8"/>
      <c r="E387" s="8">
        <v>2</v>
      </c>
      <c r="F387" s="8">
        <v>2</v>
      </c>
      <c r="G387" s="9">
        <f t="shared" si="66"/>
        <v>0</v>
      </c>
      <c r="H387" s="9">
        <f t="shared" si="67"/>
        <v>9</v>
      </c>
      <c r="I387" s="10">
        <f t="shared" si="68"/>
        <v>0</v>
      </c>
    </row>
    <row r="388" spans="1:9" ht="12.75">
      <c r="A388" s="13" t="s">
        <v>31</v>
      </c>
      <c r="B388" s="9">
        <f t="shared" si="65"/>
        <v>16</v>
      </c>
      <c r="C388" s="8"/>
      <c r="D388" s="8"/>
      <c r="E388" s="8">
        <v>2</v>
      </c>
      <c r="F388" s="8">
        <v>2</v>
      </c>
      <c r="G388" s="9">
        <f t="shared" si="66"/>
        <v>0</v>
      </c>
      <c r="H388" s="9">
        <f t="shared" si="67"/>
        <v>16</v>
      </c>
      <c r="I388" s="10">
        <f t="shared" si="68"/>
        <v>0</v>
      </c>
    </row>
    <row r="389" spans="1:9" ht="12.75">
      <c r="A389" s="13" t="s">
        <v>32</v>
      </c>
      <c r="B389" s="9">
        <f t="shared" si="65"/>
        <v>16</v>
      </c>
      <c r="C389" s="8"/>
      <c r="D389" s="8"/>
      <c r="E389" s="8">
        <v>2</v>
      </c>
      <c r="F389" s="8">
        <v>2</v>
      </c>
      <c r="G389" s="9">
        <f t="shared" si="66"/>
        <v>0</v>
      </c>
      <c r="H389" s="9">
        <f t="shared" si="67"/>
        <v>16</v>
      </c>
      <c r="I389" s="10">
        <f t="shared" si="68"/>
        <v>0</v>
      </c>
    </row>
    <row r="390" spans="1:9" ht="12.75">
      <c r="A390" s="14" t="s">
        <v>33</v>
      </c>
      <c r="B390" s="15">
        <f t="shared" ref="B390:I390" si="69">SUM(B367:B389)</f>
        <v>644</v>
      </c>
      <c r="C390" s="15">
        <f t="shared" si="69"/>
        <v>1</v>
      </c>
      <c r="D390" s="15">
        <f t="shared" si="69"/>
        <v>30</v>
      </c>
      <c r="E390" s="15">
        <f t="shared" si="69"/>
        <v>144</v>
      </c>
      <c r="F390" s="15">
        <f t="shared" si="69"/>
        <v>90</v>
      </c>
      <c r="G390" s="15">
        <f t="shared" si="69"/>
        <v>54</v>
      </c>
      <c r="H390" s="15">
        <f t="shared" si="69"/>
        <v>619</v>
      </c>
      <c r="I390" s="16">
        <f t="shared" si="69"/>
        <v>324</v>
      </c>
    </row>
    <row r="391" spans="1:9" ht="12.75">
      <c r="A391" s="17"/>
      <c r="B391" s="17"/>
      <c r="C391" s="17"/>
      <c r="D391" s="17"/>
      <c r="E391" s="17"/>
      <c r="F391" s="134" t="s">
        <v>34</v>
      </c>
      <c r="G391" s="133"/>
      <c r="H391" s="18"/>
      <c r="I391" s="19"/>
    </row>
    <row r="393" spans="1:9">
      <c r="A393" s="1"/>
      <c r="B393" s="131" t="s">
        <v>58</v>
      </c>
      <c r="C393" s="132"/>
      <c r="D393" s="132"/>
      <c r="E393" s="132"/>
      <c r="F393" s="132"/>
      <c r="G393" s="132"/>
      <c r="H393" s="132"/>
      <c r="I393" s="133"/>
    </row>
    <row r="394" spans="1:9" ht="45">
      <c r="A394" s="2" t="s">
        <v>1</v>
      </c>
      <c r="B394" s="3" t="s">
        <v>2</v>
      </c>
      <c r="C394" s="4" t="s">
        <v>3</v>
      </c>
      <c r="D394" s="5" t="s">
        <v>4</v>
      </c>
      <c r="E394" s="2" t="s">
        <v>5</v>
      </c>
      <c r="F394" s="2" t="s">
        <v>6</v>
      </c>
      <c r="G394" s="2" t="s">
        <v>7</v>
      </c>
      <c r="H394" s="6" t="s">
        <v>8</v>
      </c>
      <c r="I394" s="7" t="s">
        <v>9</v>
      </c>
    </row>
    <row r="395" spans="1:9" ht="12.75">
      <c r="A395" s="8" t="s">
        <v>10</v>
      </c>
      <c r="B395" s="9">
        <f t="shared" ref="B395:B417" si="70">H367</f>
        <v>39</v>
      </c>
      <c r="C395" s="8"/>
      <c r="D395" s="8"/>
      <c r="E395" s="8">
        <v>6</v>
      </c>
      <c r="F395" s="8">
        <v>5</v>
      </c>
      <c r="G395" s="9">
        <f t="shared" ref="G395:G417" si="71">E395-F395</f>
        <v>1</v>
      </c>
      <c r="H395" s="9">
        <f t="shared" ref="H395:H417" si="72">B395-C395+D395-G395</f>
        <v>38</v>
      </c>
      <c r="I395" s="10">
        <f t="shared" ref="I395:I417" si="73">G395*6</f>
        <v>6</v>
      </c>
    </row>
    <row r="396" spans="1:9" ht="12.75">
      <c r="A396" s="8" t="s">
        <v>11</v>
      </c>
      <c r="B396" s="9">
        <f t="shared" si="70"/>
        <v>7</v>
      </c>
      <c r="C396" s="11"/>
      <c r="D396" s="8"/>
      <c r="E396" s="8">
        <v>3</v>
      </c>
      <c r="F396" s="8">
        <v>1</v>
      </c>
      <c r="G396" s="9">
        <f t="shared" si="71"/>
        <v>2</v>
      </c>
      <c r="H396" s="9">
        <f t="shared" si="72"/>
        <v>5</v>
      </c>
      <c r="I396" s="10">
        <f t="shared" si="73"/>
        <v>12</v>
      </c>
    </row>
    <row r="397" spans="1:9" ht="12.75">
      <c r="A397" s="8" t="s">
        <v>12</v>
      </c>
      <c r="B397" s="9">
        <f t="shared" si="70"/>
        <v>30</v>
      </c>
      <c r="C397" s="8"/>
      <c r="D397" s="8"/>
      <c r="E397" s="8">
        <v>5</v>
      </c>
      <c r="F397" s="8">
        <v>3</v>
      </c>
      <c r="G397" s="9">
        <f t="shared" si="71"/>
        <v>2</v>
      </c>
      <c r="H397" s="9">
        <f t="shared" si="72"/>
        <v>28</v>
      </c>
      <c r="I397" s="10">
        <f t="shared" si="73"/>
        <v>12</v>
      </c>
    </row>
    <row r="398" spans="1:9" ht="12.75">
      <c r="A398" s="8" t="s">
        <v>13</v>
      </c>
      <c r="B398" s="9">
        <f t="shared" si="70"/>
        <v>13</v>
      </c>
      <c r="C398" s="8"/>
      <c r="D398" s="8"/>
      <c r="E398" s="8">
        <v>6</v>
      </c>
      <c r="F398" s="8">
        <v>6</v>
      </c>
      <c r="G398" s="9">
        <f t="shared" si="71"/>
        <v>0</v>
      </c>
      <c r="H398" s="9">
        <f t="shared" si="72"/>
        <v>13</v>
      </c>
      <c r="I398" s="10">
        <f t="shared" si="73"/>
        <v>0</v>
      </c>
    </row>
    <row r="399" spans="1:9" ht="12.75">
      <c r="A399" s="8" t="s">
        <v>14</v>
      </c>
      <c r="B399" s="9">
        <f t="shared" si="70"/>
        <v>28</v>
      </c>
      <c r="C399" s="8"/>
      <c r="D399" s="8"/>
      <c r="E399" s="8">
        <v>4</v>
      </c>
      <c r="F399" s="8">
        <v>2</v>
      </c>
      <c r="G399" s="9">
        <f t="shared" si="71"/>
        <v>2</v>
      </c>
      <c r="H399" s="9">
        <f t="shared" si="72"/>
        <v>26</v>
      </c>
      <c r="I399" s="10">
        <f t="shared" si="73"/>
        <v>12</v>
      </c>
    </row>
    <row r="400" spans="1:9" ht="12.75">
      <c r="A400" s="8" t="s">
        <v>15</v>
      </c>
      <c r="B400" s="9">
        <f t="shared" si="70"/>
        <v>12</v>
      </c>
      <c r="C400" s="8"/>
      <c r="D400" s="8"/>
      <c r="E400" s="8">
        <v>5</v>
      </c>
      <c r="F400" s="8">
        <v>2</v>
      </c>
      <c r="G400" s="9">
        <f t="shared" si="71"/>
        <v>3</v>
      </c>
      <c r="H400" s="9">
        <f t="shared" si="72"/>
        <v>9</v>
      </c>
      <c r="I400" s="10">
        <f t="shared" si="73"/>
        <v>18</v>
      </c>
    </row>
    <row r="401" spans="1:9" ht="12.75">
      <c r="A401" s="8" t="s">
        <v>16</v>
      </c>
      <c r="B401" s="9">
        <f t="shared" si="70"/>
        <v>28</v>
      </c>
      <c r="C401" s="8"/>
      <c r="D401" s="8"/>
      <c r="E401" s="8">
        <v>6</v>
      </c>
      <c r="F401" s="8">
        <v>2</v>
      </c>
      <c r="G401" s="9">
        <f t="shared" si="71"/>
        <v>4</v>
      </c>
      <c r="H401" s="9">
        <f t="shared" si="72"/>
        <v>24</v>
      </c>
      <c r="I401" s="10">
        <f t="shared" si="73"/>
        <v>24</v>
      </c>
    </row>
    <row r="402" spans="1:9" ht="12.75">
      <c r="A402" s="8" t="s">
        <v>17</v>
      </c>
      <c r="B402" s="9">
        <f t="shared" si="70"/>
        <v>21</v>
      </c>
      <c r="C402" s="8"/>
      <c r="D402" s="8"/>
      <c r="E402" s="8">
        <v>4</v>
      </c>
      <c r="F402" s="8">
        <v>2</v>
      </c>
      <c r="G402" s="9">
        <f t="shared" si="71"/>
        <v>2</v>
      </c>
      <c r="H402" s="9">
        <f t="shared" si="72"/>
        <v>19</v>
      </c>
      <c r="I402" s="10">
        <f t="shared" si="73"/>
        <v>12</v>
      </c>
    </row>
    <row r="403" spans="1:9" ht="12.75">
      <c r="A403" s="8" t="s">
        <v>18</v>
      </c>
      <c r="B403" s="9">
        <f t="shared" si="70"/>
        <v>27</v>
      </c>
      <c r="C403" s="8"/>
      <c r="D403" s="8"/>
      <c r="E403" s="8">
        <v>5</v>
      </c>
      <c r="F403" s="8">
        <v>4</v>
      </c>
      <c r="G403" s="9">
        <f t="shared" si="71"/>
        <v>1</v>
      </c>
      <c r="H403" s="9">
        <f t="shared" si="72"/>
        <v>26</v>
      </c>
      <c r="I403" s="10">
        <f t="shared" si="73"/>
        <v>6</v>
      </c>
    </row>
    <row r="404" spans="1:9" ht="12.75">
      <c r="A404" s="8" t="s">
        <v>19</v>
      </c>
      <c r="B404" s="9">
        <f t="shared" si="70"/>
        <v>36</v>
      </c>
      <c r="C404" s="8"/>
      <c r="D404" s="8"/>
      <c r="E404" s="8">
        <v>5</v>
      </c>
      <c r="F404" s="8">
        <v>3</v>
      </c>
      <c r="G404" s="9">
        <f t="shared" si="71"/>
        <v>2</v>
      </c>
      <c r="H404" s="9">
        <f t="shared" si="72"/>
        <v>34</v>
      </c>
      <c r="I404" s="10">
        <f t="shared" si="73"/>
        <v>12</v>
      </c>
    </row>
    <row r="405" spans="1:9" ht="12.75">
      <c r="A405" s="8" t="s">
        <v>20</v>
      </c>
      <c r="B405" s="9">
        <f t="shared" si="70"/>
        <v>45</v>
      </c>
      <c r="C405" s="8"/>
      <c r="D405" s="8"/>
      <c r="E405" s="8">
        <v>5</v>
      </c>
      <c r="F405" s="8">
        <v>3</v>
      </c>
      <c r="G405" s="9">
        <f t="shared" si="71"/>
        <v>2</v>
      </c>
      <c r="H405" s="9">
        <f t="shared" si="72"/>
        <v>43</v>
      </c>
      <c r="I405" s="10">
        <f t="shared" si="73"/>
        <v>12</v>
      </c>
    </row>
    <row r="406" spans="1:9" ht="12.75">
      <c r="A406" s="8" t="s">
        <v>21</v>
      </c>
      <c r="B406" s="9">
        <f t="shared" si="70"/>
        <v>13</v>
      </c>
      <c r="C406" s="8"/>
      <c r="D406" s="8"/>
      <c r="E406" s="8">
        <v>2</v>
      </c>
      <c r="F406" s="8">
        <v>1</v>
      </c>
      <c r="G406" s="9">
        <f t="shared" si="71"/>
        <v>1</v>
      </c>
      <c r="H406" s="9">
        <f t="shared" si="72"/>
        <v>12</v>
      </c>
      <c r="I406" s="10">
        <f t="shared" si="73"/>
        <v>6</v>
      </c>
    </row>
    <row r="407" spans="1:9" ht="12.75">
      <c r="A407" s="8" t="s">
        <v>22</v>
      </c>
      <c r="B407" s="9">
        <f t="shared" si="70"/>
        <v>42</v>
      </c>
      <c r="C407" s="8"/>
      <c r="D407" s="8"/>
      <c r="E407" s="8">
        <v>5</v>
      </c>
      <c r="F407" s="8">
        <v>5</v>
      </c>
      <c r="G407" s="9">
        <f t="shared" si="71"/>
        <v>0</v>
      </c>
      <c r="H407" s="9">
        <f t="shared" si="72"/>
        <v>42</v>
      </c>
      <c r="I407" s="10">
        <f t="shared" si="73"/>
        <v>0</v>
      </c>
    </row>
    <row r="408" spans="1:9" ht="12.75">
      <c r="A408" s="8" t="s">
        <v>23</v>
      </c>
      <c r="B408" s="9">
        <f t="shared" si="70"/>
        <v>43</v>
      </c>
      <c r="C408" s="11"/>
      <c r="D408" s="8"/>
      <c r="E408" s="8">
        <v>6</v>
      </c>
      <c r="F408" s="8">
        <v>4</v>
      </c>
      <c r="G408" s="9">
        <f t="shared" si="71"/>
        <v>2</v>
      </c>
      <c r="H408" s="9">
        <f t="shared" si="72"/>
        <v>41</v>
      </c>
      <c r="I408" s="10">
        <f t="shared" si="73"/>
        <v>12</v>
      </c>
    </row>
    <row r="409" spans="1:9" ht="12.75">
      <c r="A409" s="8" t="s">
        <v>24</v>
      </c>
      <c r="B409" s="9">
        <f t="shared" si="70"/>
        <v>4</v>
      </c>
      <c r="C409" s="8"/>
      <c r="D409" s="8"/>
      <c r="E409" s="8">
        <v>3</v>
      </c>
      <c r="F409" s="8">
        <v>3</v>
      </c>
      <c r="G409" s="9">
        <f t="shared" si="71"/>
        <v>0</v>
      </c>
      <c r="H409" s="9">
        <f t="shared" si="72"/>
        <v>4</v>
      </c>
      <c r="I409" s="10">
        <f t="shared" si="73"/>
        <v>0</v>
      </c>
    </row>
    <row r="410" spans="1:9" ht="12.75">
      <c r="A410" s="8" t="s">
        <v>25</v>
      </c>
      <c r="B410" s="9">
        <f t="shared" si="70"/>
        <v>15</v>
      </c>
      <c r="C410" s="8"/>
      <c r="D410" s="8"/>
      <c r="E410" s="8">
        <v>8</v>
      </c>
      <c r="F410" s="8">
        <v>7</v>
      </c>
      <c r="G410" s="9">
        <f t="shared" si="71"/>
        <v>1</v>
      </c>
      <c r="H410" s="9">
        <f t="shared" si="72"/>
        <v>14</v>
      </c>
      <c r="I410" s="10">
        <f t="shared" si="73"/>
        <v>6</v>
      </c>
    </row>
    <row r="411" spans="1:9" ht="12.75">
      <c r="A411" s="8" t="s">
        <v>26</v>
      </c>
      <c r="B411" s="9">
        <f t="shared" si="70"/>
        <v>28</v>
      </c>
      <c r="C411" s="8"/>
      <c r="D411" s="8"/>
      <c r="E411" s="8">
        <v>4</v>
      </c>
      <c r="F411" s="8">
        <v>4</v>
      </c>
      <c r="G411" s="9">
        <f t="shared" si="71"/>
        <v>0</v>
      </c>
      <c r="H411" s="9">
        <f t="shared" si="72"/>
        <v>28</v>
      </c>
      <c r="I411" s="10">
        <f t="shared" si="73"/>
        <v>0</v>
      </c>
    </row>
    <row r="412" spans="1:9" ht="12.75">
      <c r="A412" s="8" t="s">
        <v>27</v>
      </c>
      <c r="B412" s="9">
        <f t="shared" si="70"/>
        <v>24</v>
      </c>
      <c r="C412" s="8"/>
      <c r="D412" s="8"/>
      <c r="E412" s="8">
        <v>3</v>
      </c>
      <c r="F412" s="8">
        <v>2</v>
      </c>
      <c r="G412" s="9">
        <f t="shared" si="71"/>
        <v>1</v>
      </c>
      <c r="H412" s="9">
        <f t="shared" si="72"/>
        <v>23</v>
      </c>
      <c r="I412" s="10">
        <f t="shared" si="73"/>
        <v>6</v>
      </c>
    </row>
    <row r="413" spans="1:9" ht="12.75">
      <c r="A413" s="8" t="s">
        <v>28</v>
      </c>
      <c r="B413" s="9">
        <f t="shared" si="70"/>
        <v>30</v>
      </c>
      <c r="C413" s="8"/>
      <c r="D413" s="8"/>
      <c r="E413" s="8">
        <v>8</v>
      </c>
      <c r="F413" s="8">
        <v>5</v>
      </c>
      <c r="G413" s="9">
        <f t="shared" si="71"/>
        <v>3</v>
      </c>
      <c r="H413" s="9">
        <f t="shared" si="72"/>
        <v>27</v>
      </c>
      <c r="I413" s="10">
        <f t="shared" si="73"/>
        <v>18</v>
      </c>
    </row>
    <row r="414" spans="1:9" ht="12.75">
      <c r="A414" s="8" t="s">
        <v>29</v>
      </c>
      <c r="B414" s="9">
        <f t="shared" si="70"/>
        <v>93</v>
      </c>
      <c r="C414" s="8">
        <v>1</v>
      </c>
      <c r="D414" s="8"/>
      <c r="E414" s="8">
        <v>28</v>
      </c>
      <c r="F414" s="8">
        <v>22</v>
      </c>
      <c r="G414" s="9">
        <f t="shared" si="71"/>
        <v>6</v>
      </c>
      <c r="H414" s="9">
        <f t="shared" si="72"/>
        <v>86</v>
      </c>
      <c r="I414" s="10">
        <f t="shared" si="73"/>
        <v>36</v>
      </c>
    </row>
    <row r="415" spans="1:9" ht="12.75">
      <c r="A415" s="8" t="s">
        <v>30</v>
      </c>
      <c r="B415" s="9">
        <f t="shared" si="70"/>
        <v>9</v>
      </c>
      <c r="C415" s="8"/>
      <c r="D415" s="8"/>
      <c r="E415" s="8">
        <v>2</v>
      </c>
      <c r="F415" s="8">
        <v>2</v>
      </c>
      <c r="G415" s="9">
        <f t="shared" si="71"/>
        <v>0</v>
      </c>
      <c r="H415" s="9">
        <f t="shared" si="72"/>
        <v>9</v>
      </c>
      <c r="I415" s="10">
        <f t="shared" si="73"/>
        <v>0</v>
      </c>
    </row>
    <row r="416" spans="1:9" ht="12.75">
      <c r="A416" s="13" t="s">
        <v>31</v>
      </c>
      <c r="B416" s="9">
        <f t="shared" si="70"/>
        <v>16</v>
      </c>
      <c r="C416" s="8"/>
      <c r="D416" s="8"/>
      <c r="E416" s="8">
        <v>2</v>
      </c>
      <c r="F416" s="8">
        <v>2</v>
      </c>
      <c r="G416" s="9">
        <f t="shared" si="71"/>
        <v>0</v>
      </c>
      <c r="H416" s="9">
        <f t="shared" si="72"/>
        <v>16</v>
      </c>
      <c r="I416" s="10">
        <f t="shared" si="73"/>
        <v>0</v>
      </c>
    </row>
    <row r="417" spans="1:9" ht="12.75">
      <c r="A417" s="13" t="s">
        <v>32</v>
      </c>
      <c r="B417" s="9">
        <f t="shared" si="70"/>
        <v>16</v>
      </c>
      <c r="C417" s="8"/>
      <c r="D417" s="8"/>
      <c r="E417" s="8">
        <v>2</v>
      </c>
      <c r="F417" s="8">
        <v>2</v>
      </c>
      <c r="G417" s="9">
        <f t="shared" si="71"/>
        <v>0</v>
      </c>
      <c r="H417" s="9">
        <f t="shared" si="72"/>
        <v>16</v>
      </c>
      <c r="I417" s="10">
        <f t="shared" si="73"/>
        <v>0</v>
      </c>
    </row>
    <row r="418" spans="1:9" ht="12.75">
      <c r="A418" s="14" t="s">
        <v>33</v>
      </c>
      <c r="B418" s="15">
        <f t="shared" ref="B418:I418" si="74">SUM(B395:B417)</f>
        <v>619</v>
      </c>
      <c r="C418" s="15">
        <f t="shared" si="74"/>
        <v>1</v>
      </c>
      <c r="D418" s="15">
        <f t="shared" si="74"/>
        <v>0</v>
      </c>
      <c r="E418" s="15">
        <f t="shared" si="74"/>
        <v>127</v>
      </c>
      <c r="F418" s="15">
        <f t="shared" si="74"/>
        <v>92</v>
      </c>
      <c r="G418" s="15">
        <f t="shared" si="74"/>
        <v>35</v>
      </c>
      <c r="H418" s="15">
        <f t="shared" si="74"/>
        <v>583</v>
      </c>
      <c r="I418" s="16">
        <f t="shared" si="74"/>
        <v>210</v>
      </c>
    </row>
    <row r="419" spans="1:9" ht="12.75">
      <c r="A419" s="17"/>
      <c r="B419" s="17"/>
      <c r="C419" s="17"/>
      <c r="D419" s="17"/>
      <c r="E419" s="17"/>
      <c r="F419" s="134" t="s">
        <v>34</v>
      </c>
      <c r="G419" s="133"/>
      <c r="H419" s="18"/>
      <c r="I419" s="19"/>
    </row>
    <row r="421" spans="1:9">
      <c r="A421" s="1"/>
      <c r="B421" s="131" t="s">
        <v>59</v>
      </c>
      <c r="C421" s="132"/>
      <c r="D421" s="132"/>
      <c r="E421" s="132"/>
      <c r="F421" s="132"/>
      <c r="G421" s="132"/>
      <c r="H421" s="132"/>
      <c r="I421" s="133"/>
    </row>
    <row r="422" spans="1:9" ht="45">
      <c r="A422" s="2" t="s">
        <v>1</v>
      </c>
      <c r="B422" s="3" t="s">
        <v>2</v>
      </c>
      <c r="C422" s="4" t="s">
        <v>3</v>
      </c>
      <c r="D422" s="5" t="s">
        <v>4</v>
      </c>
      <c r="E422" s="2" t="s">
        <v>5</v>
      </c>
      <c r="F422" s="2" t="s">
        <v>6</v>
      </c>
      <c r="G422" s="2" t="s">
        <v>7</v>
      </c>
      <c r="H422" s="6" t="s">
        <v>8</v>
      </c>
      <c r="I422" s="7" t="s">
        <v>9</v>
      </c>
    </row>
    <row r="423" spans="1:9" ht="12.75">
      <c r="A423" s="8" t="s">
        <v>10</v>
      </c>
      <c r="B423" s="9">
        <f t="shared" ref="B423:B445" si="75">H395</f>
        <v>38</v>
      </c>
      <c r="C423" s="8"/>
      <c r="D423" s="8"/>
      <c r="E423" s="8">
        <v>6</v>
      </c>
      <c r="F423" s="8">
        <v>4</v>
      </c>
      <c r="G423" s="9">
        <f t="shared" ref="G423:G445" si="76">E423-F423</f>
        <v>2</v>
      </c>
      <c r="H423" s="9">
        <f t="shared" ref="H423:H445" si="77">B423-C423+D423-G423</f>
        <v>36</v>
      </c>
      <c r="I423" s="10">
        <f t="shared" ref="I423:I445" si="78">G423*6</f>
        <v>12</v>
      </c>
    </row>
    <row r="424" spans="1:9" ht="12.75">
      <c r="A424" s="8" t="s">
        <v>11</v>
      </c>
      <c r="B424" s="9">
        <f t="shared" si="75"/>
        <v>5</v>
      </c>
      <c r="C424" s="11"/>
      <c r="D424" s="8"/>
      <c r="E424" s="8">
        <v>3</v>
      </c>
      <c r="F424" s="8">
        <v>3</v>
      </c>
      <c r="G424" s="9">
        <f t="shared" si="76"/>
        <v>0</v>
      </c>
      <c r="H424" s="9">
        <f t="shared" si="77"/>
        <v>5</v>
      </c>
      <c r="I424" s="10">
        <f t="shared" si="78"/>
        <v>0</v>
      </c>
    </row>
    <row r="425" spans="1:9" ht="12.75">
      <c r="A425" s="8" t="s">
        <v>12</v>
      </c>
      <c r="B425" s="9">
        <f t="shared" si="75"/>
        <v>28</v>
      </c>
      <c r="C425" s="8"/>
      <c r="D425" s="8"/>
      <c r="E425" s="8">
        <v>5</v>
      </c>
      <c r="F425" s="8">
        <v>0</v>
      </c>
      <c r="G425" s="9">
        <f t="shared" si="76"/>
        <v>5</v>
      </c>
      <c r="H425" s="9">
        <f t="shared" si="77"/>
        <v>23</v>
      </c>
      <c r="I425" s="10">
        <f t="shared" si="78"/>
        <v>30</v>
      </c>
    </row>
    <row r="426" spans="1:9" ht="12.75">
      <c r="A426" s="8" t="s">
        <v>13</v>
      </c>
      <c r="B426" s="9">
        <f t="shared" si="75"/>
        <v>13</v>
      </c>
      <c r="C426" s="8"/>
      <c r="D426" s="8"/>
      <c r="E426" s="8">
        <v>6</v>
      </c>
      <c r="F426" s="8">
        <v>2</v>
      </c>
      <c r="G426" s="9">
        <f t="shared" si="76"/>
        <v>4</v>
      </c>
      <c r="H426" s="9">
        <f t="shared" si="77"/>
        <v>9</v>
      </c>
      <c r="I426" s="10">
        <f t="shared" si="78"/>
        <v>24</v>
      </c>
    </row>
    <row r="427" spans="1:9" ht="12.75">
      <c r="A427" s="8" t="s">
        <v>14</v>
      </c>
      <c r="B427" s="9">
        <f t="shared" si="75"/>
        <v>26</v>
      </c>
      <c r="C427" s="8"/>
      <c r="D427" s="8"/>
      <c r="E427" s="8">
        <v>4</v>
      </c>
      <c r="F427" s="8">
        <v>3</v>
      </c>
      <c r="G427" s="9">
        <f t="shared" si="76"/>
        <v>1</v>
      </c>
      <c r="H427" s="9">
        <f t="shared" si="77"/>
        <v>25</v>
      </c>
      <c r="I427" s="10">
        <f t="shared" si="78"/>
        <v>6</v>
      </c>
    </row>
    <row r="428" spans="1:9" ht="12.75">
      <c r="A428" s="8" t="s">
        <v>15</v>
      </c>
      <c r="B428" s="9">
        <f t="shared" si="75"/>
        <v>9</v>
      </c>
      <c r="C428" s="8"/>
      <c r="D428" s="8"/>
      <c r="E428" s="8">
        <v>5</v>
      </c>
      <c r="F428" s="8">
        <v>3</v>
      </c>
      <c r="G428" s="9">
        <f t="shared" si="76"/>
        <v>2</v>
      </c>
      <c r="H428" s="9">
        <f t="shared" si="77"/>
        <v>7</v>
      </c>
      <c r="I428" s="10">
        <f t="shared" si="78"/>
        <v>12</v>
      </c>
    </row>
    <row r="429" spans="1:9" ht="12.75">
      <c r="A429" s="8" t="s">
        <v>16</v>
      </c>
      <c r="B429" s="9">
        <f t="shared" si="75"/>
        <v>24</v>
      </c>
      <c r="C429" s="8"/>
      <c r="D429" s="8"/>
      <c r="E429" s="8">
        <v>5</v>
      </c>
      <c r="F429" s="8">
        <v>3</v>
      </c>
      <c r="G429" s="9">
        <f t="shared" si="76"/>
        <v>2</v>
      </c>
      <c r="H429" s="9">
        <f t="shared" si="77"/>
        <v>22</v>
      </c>
      <c r="I429" s="10">
        <f t="shared" si="78"/>
        <v>12</v>
      </c>
    </row>
    <row r="430" spans="1:9" ht="12.75">
      <c r="A430" s="8" t="s">
        <v>17</v>
      </c>
      <c r="B430" s="9">
        <f t="shared" si="75"/>
        <v>19</v>
      </c>
      <c r="C430" s="8"/>
      <c r="D430" s="8"/>
      <c r="E430" s="8">
        <v>5</v>
      </c>
      <c r="F430" s="8">
        <v>4</v>
      </c>
      <c r="G430" s="9">
        <f t="shared" si="76"/>
        <v>1</v>
      </c>
      <c r="H430" s="9">
        <f t="shared" si="77"/>
        <v>18</v>
      </c>
      <c r="I430" s="10">
        <f t="shared" si="78"/>
        <v>6</v>
      </c>
    </row>
    <row r="431" spans="1:9" ht="12.75">
      <c r="A431" s="8" t="s">
        <v>18</v>
      </c>
      <c r="B431" s="9">
        <f t="shared" si="75"/>
        <v>26</v>
      </c>
      <c r="C431" s="8"/>
      <c r="D431" s="8"/>
      <c r="E431" s="8">
        <v>5</v>
      </c>
      <c r="F431" s="8">
        <v>3</v>
      </c>
      <c r="G431" s="9">
        <f t="shared" si="76"/>
        <v>2</v>
      </c>
      <c r="H431" s="9">
        <f t="shared" si="77"/>
        <v>24</v>
      </c>
      <c r="I431" s="10">
        <f t="shared" si="78"/>
        <v>12</v>
      </c>
    </row>
    <row r="432" spans="1:9" ht="12.75">
      <c r="A432" s="8" t="s">
        <v>19</v>
      </c>
      <c r="B432" s="9">
        <f t="shared" si="75"/>
        <v>34</v>
      </c>
      <c r="C432" s="8"/>
      <c r="D432" s="8"/>
      <c r="E432" s="8">
        <v>5</v>
      </c>
      <c r="F432" s="8">
        <v>3</v>
      </c>
      <c r="G432" s="9">
        <f t="shared" si="76"/>
        <v>2</v>
      </c>
      <c r="H432" s="9">
        <f t="shared" si="77"/>
        <v>32</v>
      </c>
      <c r="I432" s="10">
        <f t="shared" si="78"/>
        <v>12</v>
      </c>
    </row>
    <row r="433" spans="1:9" ht="12.75">
      <c r="A433" s="8" t="s">
        <v>20</v>
      </c>
      <c r="B433" s="9">
        <f t="shared" si="75"/>
        <v>43</v>
      </c>
      <c r="C433" s="8"/>
      <c r="D433" s="8"/>
      <c r="E433" s="8">
        <v>5</v>
      </c>
      <c r="F433" s="8">
        <v>2</v>
      </c>
      <c r="G433" s="9">
        <f t="shared" si="76"/>
        <v>3</v>
      </c>
      <c r="H433" s="9">
        <f t="shared" si="77"/>
        <v>40</v>
      </c>
      <c r="I433" s="10">
        <f t="shared" si="78"/>
        <v>18</v>
      </c>
    </row>
    <row r="434" spans="1:9" ht="12.75">
      <c r="A434" s="8" t="s">
        <v>21</v>
      </c>
      <c r="B434" s="9">
        <f t="shared" si="75"/>
        <v>12</v>
      </c>
      <c r="C434" s="8"/>
      <c r="D434" s="8"/>
      <c r="E434" s="8">
        <v>2</v>
      </c>
      <c r="F434" s="8">
        <v>1</v>
      </c>
      <c r="G434" s="9">
        <f t="shared" si="76"/>
        <v>1</v>
      </c>
      <c r="H434" s="9">
        <f t="shared" si="77"/>
        <v>11</v>
      </c>
      <c r="I434" s="10">
        <f t="shared" si="78"/>
        <v>6</v>
      </c>
    </row>
    <row r="435" spans="1:9" ht="12.75">
      <c r="A435" s="8" t="s">
        <v>22</v>
      </c>
      <c r="B435" s="9">
        <f t="shared" si="75"/>
        <v>42</v>
      </c>
      <c r="C435" s="8"/>
      <c r="D435" s="8"/>
      <c r="E435" s="8">
        <v>5</v>
      </c>
      <c r="F435" s="8">
        <v>5</v>
      </c>
      <c r="G435" s="9">
        <f t="shared" si="76"/>
        <v>0</v>
      </c>
      <c r="H435" s="9">
        <f t="shared" si="77"/>
        <v>42</v>
      </c>
      <c r="I435" s="10">
        <f t="shared" si="78"/>
        <v>0</v>
      </c>
    </row>
    <row r="436" spans="1:9" ht="12.75">
      <c r="A436" s="8" t="s">
        <v>23</v>
      </c>
      <c r="B436" s="9">
        <f t="shared" si="75"/>
        <v>41</v>
      </c>
      <c r="C436" s="11"/>
      <c r="D436" s="8"/>
      <c r="E436" s="8">
        <v>6</v>
      </c>
      <c r="F436" s="8">
        <v>5</v>
      </c>
      <c r="G436" s="9">
        <f t="shared" si="76"/>
        <v>1</v>
      </c>
      <c r="H436" s="9">
        <f t="shared" si="77"/>
        <v>40</v>
      </c>
      <c r="I436" s="10">
        <f t="shared" si="78"/>
        <v>6</v>
      </c>
    </row>
    <row r="437" spans="1:9" ht="12.75">
      <c r="A437" s="8" t="s">
        <v>24</v>
      </c>
      <c r="B437" s="9">
        <f t="shared" si="75"/>
        <v>4</v>
      </c>
      <c r="C437" s="8"/>
      <c r="D437" s="8"/>
      <c r="E437" s="8">
        <v>2</v>
      </c>
      <c r="F437" s="8">
        <v>1</v>
      </c>
      <c r="G437" s="9">
        <f t="shared" si="76"/>
        <v>1</v>
      </c>
      <c r="H437" s="9">
        <f t="shared" si="77"/>
        <v>3</v>
      </c>
      <c r="I437" s="10">
        <f t="shared" si="78"/>
        <v>6</v>
      </c>
    </row>
    <row r="438" spans="1:9" ht="12.75">
      <c r="A438" s="8" t="s">
        <v>25</v>
      </c>
      <c r="B438" s="9">
        <f t="shared" si="75"/>
        <v>14</v>
      </c>
      <c r="C438" s="8"/>
      <c r="D438" s="8"/>
      <c r="E438" s="8">
        <v>8</v>
      </c>
      <c r="F438" s="8">
        <v>1</v>
      </c>
      <c r="G438" s="9">
        <f t="shared" si="76"/>
        <v>7</v>
      </c>
      <c r="H438" s="9">
        <f t="shared" si="77"/>
        <v>7</v>
      </c>
      <c r="I438" s="10">
        <f t="shared" si="78"/>
        <v>42</v>
      </c>
    </row>
    <row r="439" spans="1:9" ht="12.75">
      <c r="A439" s="8" t="s">
        <v>26</v>
      </c>
      <c r="B439" s="9">
        <f t="shared" si="75"/>
        <v>28</v>
      </c>
      <c r="C439" s="8"/>
      <c r="D439" s="8"/>
      <c r="E439" s="8">
        <v>4</v>
      </c>
      <c r="F439" s="8">
        <v>0</v>
      </c>
      <c r="G439" s="9">
        <f t="shared" si="76"/>
        <v>4</v>
      </c>
      <c r="H439" s="9">
        <f t="shared" si="77"/>
        <v>24</v>
      </c>
      <c r="I439" s="10">
        <f t="shared" si="78"/>
        <v>24</v>
      </c>
    </row>
    <row r="440" spans="1:9" ht="12.75">
      <c r="A440" s="8" t="s">
        <v>27</v>
      </c>
      <c r="B440" s="9">
        <f t="shared" si="75"/>
        <v>23</v>
      </c>
      <c r="C440" s="8">
        <v>1</v>
      </c>
      <c r="D440" s="8"/>
      <c r="E440" s="8">
        <v>3</v>
      </c>
      <c r="F440" s="8">
        <v>2</v>
      </c>
      <c r="G440" s="9">
        <f t="shared" si="76"/>
        <v>1</v>
      </c>
      <c r="H440" s="9">
        <f t="shared" si="77"/>
        <v>21</v>
      </c>
      <c r="I440" s="10">
        <f t="shared" si="78"/>
        <v>6</v>
      </c>
    </row>
    <row r="441" spans="1:9" ht="12.75">
      <c r="A441" s="8" t="s">
        <v>28</v>
      </c>
      <c r="B441" s="9">
        <f t="shared" si="75"/>
        <v>27</v>
      </c>
      <c r="C441" s="8"/>
      <c r="D441" s="8"/>
      <c r="E441" s="8">
        <v>8</v>
      </c>
      <c r="F441" s="8">
        <v>6</v>
      </c>
      <c r="G441" s="9">
        <f t="shared" si="76"/>
        <v>2</v>
      </c>
      <c r="H441" s="9">
        <f t="shared" si="77"/>
        <v>25</v>
      </c>
      <c r="I441" s="10">
        <f t="shared" si="78"/>
        <v>12</v>
      </c>
    </row>
    <row r="442" spans="1:9" ht="12.75">
      <c r="A442" s="8" t="s">
        <v>29</v>
      </c>
      <c r="B442" s="9">
        <f t="shared" si="75"/>
        <v>86</v>
      </c>
      <c r="C442" s="8"/>
      <c r="D442" s="8"/>
      <c r="E442" s="8">
        <v>25</v>
      </c>
      <c r="F442" s="8">
        <v>18</v>
      </c>
      <c r="G442" s="9">
        <f t="shared" si="76"/>
        <v>7</v>
      </c>
      <c r="H442" s="9">
        <f t="shared" si="77"/>
        <v>79</v>
      </c>
      <c r="I442" s="10">
        <f t="shared" si="78"/>
        <v>42</v>
      </c>
    </row>
    <row r="443" spans="1:9" ht="12.75">
      <c r="A443" s="8" t="s">
        <v>30</v>
      </c>
      <c r="B443" s="9">
        <f t="shared" si="75"/>
        <v>9</v>
      </c>
      <c r="C443" s="8"/>
      <c r="D443" s="8"/>
      <c r="E443" s="8">
        <v>2</v>
      </c>
      <c r="F443" s="8">
        <v>1</v>
      </c>
      <c r="G443" s="9">
        <f t="shared" si="76"/>
        <v>1</v>
      </c>
      <c r="H443" s="9">
        <f t="shared" si="77"/>
        <v>8</v>
      </c>
      <c r="I443" s="10">
        <f t="shared" si="78"/>
        <v>6</v>
      </c>
    </row>
    <row r="444" spans="1:9" ht="12.75">
      <c r="A444" s="13" t="s">
        <v>31</v>
      </c>
      <c r="B444" s="9">
        <f t="shared" si="75"/>
        <v>16</v>
      </c>
      <c r="C444" s="8"/>
      <c r="D444" s="8"/>
      <c r="E444" s="8">
        <v>2</v>
      </c>
      <c r="F444" s="8">
        <v>0</v>
      </c>
      <c r="G444" s="9">
        <f t="shared" si="76"/>
        <v>2</v>
      </c>
      <c r="H444" s="9">
        <f t="shared" si="77"/>
        <v>14</v>
      </c>
      <c r="I444" s="10">
        <f t="shared" si="78"/>
        <v>12</v>
      </c>
    </row>
    <row r="445" spans="1:9" ht="12.75">
      <c r="A445" s="13" t="s">
        <v>32</v>
      </c>
      <c r="B445" s="9">
        <f t="shared" si="75"/>
        <v>16</v>
      </c>
      <c r="C445" s="8"/>
      <c r="D445" s="8"/>
      <c r="E445" s="8">
        <v>2</v>
      </c>
      <c r="F445" s="8">
        <v>2</v>
      </c>
      <c r="G445" s="9">
        <f t="shared" si="76"/>
        <v>0</v>
      </c>
      <c r="H445" s="9">
        <f t="shared" si="77"/>
        <v>16</v>
      </c>
      <c r="I445" s="10">
        <f t="shared" si="78"/>
        <v>0</v>
      </c>
    </row>
    <row r="446" spans="1:9" ht="12.75">
      <c r="A446" s="14" t="s">
        <v>33</v>
      </c>
      <c r="B446" s="15">
        <f t="shared" ref="B446:I446" si="79">SUM(B423:B445)</f>
        <v>583</v>
      </c>
      <c r="C446" s="15">
        <f t="shared" si="79"/>
        <v>1</v>
      </c>
      <c r="D446" s="15">
        <f t="shared" si="79"/>
        <v>0</v>
      </c>
      <c r="E446" s="15">
        <f t="shared" si="79"/>
        <v>123</v>
      </c>
      <c r="F446" s="15">
        <f t="shared" si="79"/>
        <v>72</v>
      </c>
      <c r="G446" s="15">
        <f t="shared" si="79"/>
        <v>51</v>
      </c>
      <c r="H446" s="15">
        <f t="shared" si="79"/>
        <v>531</v>
      </c>
      <c r="I446" s="16">
        <f t="shared" si="79"/>
        <v>306</v>
      </c>
    </row>
    <row r="447" spans="1:9" ht="12.75">
      <c r="A447" s="17"/>
      <c r="B447" s="17"/>
      <c r="C447" s="17"/>
      <c r="D447" s="17"/>
      <c r="E447" s="17"/>
      <c r="F447" s="134" t="s">
        <v>34</v>
      </c>
      <c r="G447" s="133"/>
      <c r="H447" s="18"/>
      <c r="I447" s="19"/>
    </row>
    <row r="449" spans="1:9">
      <c r="A449" s="1"/>
      <c r="B449" s="131" t="s">
        <v>60</v>
      </c>
      <c r="C449" s="132"/>
      <c r="D449" s="132"/>
      <c r="E449" s="132"/>
      <c r="F449" s="132"/>
      <c r="G449" s="132"/>
      <c r="H449" s="132"/>
      <c r="I449" s="133"/>
    </row>
    <row r="450" spans="1:9" ht="45">
      <c r="A450" s="2" t="s">
        <v>1</v>
      </c>
      <c r="B450" s="3" t="s">
        <v>2</v>
      </c>
      <c r="C450" s="4" t="s">
        <v>3</v>
      </c>
      <c r="D450" s="5" t="s">
        <v>4</v>
      </c>
      <c r="E450" s="2" t="s">
        <v>5</v>
      </c>
      <c r="F450" s="2" t="s">
        <v>6</v>
      </c>
      <c r="G450" s="2" t="s">
        <v>7</v>
      </c>
      <c r="H450" s="6" t="s">
        <v>8</v>
      </c>
      <c r="I450" s="7" t="s">
        <v>9</v>
      </c>
    </row>
    <row r="451" spans="1:9" ht="12.75">
      <c r="A451" s="8" t="s">
        <v>10</v>
      </c>
      <c r="B451" s="9">
        <f t="shared" ref="B451:B473" si="80">H423</f>
        <v>36</v>
      </c>
      <c r="C451" s="8"/>
      <c r="D451" s="8"/>
      <c r="E451" s="8">
        <v>6</v>
      </c>
      <c r="F451" s="8">
        <v>5</v>
      </c>
      <c r="G451" s="9">
        <f t="shared" ref="G451:G473" si="81">E451-F451</f>
        <v>1</v>
      </c>
      <c r="H451" s="9">
        <f t="shared" ref="H451:H473" si="82">B451-C451+D451-G451</f>
        <v>35</v>
      </c>
      <c r="I451" s="10">
        <f t="shared" ref="I451:I473" si="83">G451*6</f>
        <v>6</v>
      </c>
    </row>
    <row r="452" spans="1:9" ht="12.75">
      <c r="A452" s="8" t="s">
        <v>11</v>
      </c>
      <c r="B452" s="9">
        <f t="shared" si="80"/>
        <v>5</v>
      </c>
      <c r="C452" s="11"/>
      <c r="D452" s="8"/>
      <c r="E452" s="8">
        <v>3</v>
      </c>
      <c r="F452" s="8">
        <v>0</v>
      </c>
      <c r="G452" s="9">
        <f t="shared" si="81"/>
        <v>3</v>
      </c>
      <c r="H452" s="9">
        <f t="shared" si="82"/>
        <v>2</v>
      </c>
      <c r="I452" s="10">
        <f t="shared" si="83"/>
        <v>18</v>
      </c>
    </row>
    <row r="453" spans="1:9" ht="12.75">
      <c r="A453" s="8" t="s">
        <v>12</v>
      </c>
      <c r="B453" s="9">
        <f t="shared" si="80"/>
        <v>23</v>
      </c>
      <c r="C453" s="8"/>
      <c r="D453" s="8"/>
      <c r="E453" s="8">
        <v>5</v>
      </c>
      <c r="F453" s="8">
        <v>5</v>
      </c>
      <c r="G453" s="9">
        <f t="shared" si="81"/>
        <v>0</v>
      </c>
      <c r="H453" s="9">
        <f t="shared" si="82"/>
        <v>23</v>
      </c>
      <c r="I453" s="10">
        <f t="shared" si="83"/>
        <v>0</v>
      </c>
    </row>
    <row r="454" spans="1:9" ht="12.75">
      <c r="A454" s="8" t="s">
        <v>13</v>
      </c>
      <c r="B454" s="9">
        <f t="shared" si="80"/>
        <v>9</v>
      </c>
      <c r="C454" s="8">
        <v>1</v>
      </c>
      <c r="D454" s="8">
        <v>32</v>
      </c>
      <c r="E454" s="8">
        <v>6</v>
      </c>
      <c r="F454" s="8">
        <v>12</v>
      </c>
      <c r="G454" s="9">
        <f t="shared" si="81"/>
        <v>-6</v>
      </c>
      <c r="H454" s="9">
        <f t="shared" si="82"/>
        <v>46</v>
      </c>
      <c r="I454" s="10">
        <f t="shared" si="83"/>
        <v>-36</v>
      </c>
    </row>
    <row r="455" spans="1:9" ht="12.75">
      <c r="A455" s="8" t="s">
        <v>14</v>
      </c>
      <c r="B455" s="9">
        <f t="shared" si="80"/>
        <v>25</v>
      </c>
      <c r="C455" s="8"/>
      <c r="D455" s="8"/>
      <c r="E455" s="8">
        <v>4</v>
      </c>
      <c r="F455" s="8">
        <v>3</v>
      </c>
      <c r="G455" s="9">
        <f t="shared" si="81"/>
        <v>1</v>
      </c>
      <c r="H455" s="9">
        <f t="shared" si="82"/>
        <v>24</v>
      </c>
      <c r="I455" s="10">
        <f t="shared" si="83"/>
        <v>6</v>
      </c>
    </row>
    <row r="456" spans="1:9" ht="12.75">
      <c r="A456" s="8" t="s">
        <v>15</v>
      </c>
      <c r="B456" s="9">
        <f t="shared" si="80"/>
        <v>7</v>
      </c>
      <c r="C456" s="8"/>
      <c r="D456" s="8">
        <v>32</v>
      </c>
      <c r="E456" s="8">
        <v>5</v>
      </c>
      <c r="F456" s="8">
        <v>2</v>
      </c>
      <c r="G456" s="9">
        <f t="shared" si="81"/>
        <v>3</v>
      </c>
      <c r="H456" s="9">
        <f t="shared" si="82"/>
        <v>36</v>
      </c>
      <c r="I456" s="10">
        <f t="shared" si="83"/>
        <v>18</v>
      </c>
    </row>
    <row r="457" spans="1:9" ht="12.75">
      <c r="A457" s="8" t="s">
        <v>16</v>
      </c>
      <c r="B457" s="9">
        <f t="shared" si="80"/>
        <v>22</v>
      </c>
      <c r="C457" s="8"/>
      <c r="D457" s="8"/>
      <c r="E457" s="8">
        <v>5</v>
      </c>
      <c r="F457" s="8">
        <v>2</v>
      </c>
      <c r="G457" s="9">
        <f t="shared" si="81"/>
        <v>3</v>
      </c>
      <c r="H457" s="9">
        <f t="shared" si="82"/>
        <v>19</v>
      </c>
      <c r="I457" s="10">
        <f t="shared" si="83"/>
        <v>18</v>
      </c>
    </row>
    <row r="458" spans="1:9" ht="12.75">
      <c r="A458" s="8" t="s">
        <v>17</v>
      </c>
      <c r="B458" s="9">
        <f t="shared" si="80"/>
        <v>18</v>
      </c>
      <c r="C458" s="8"/>
      <c r="D458" s="8"/>
      <c r="E458" s="8">
        <v>4</v>
      </c>
      <c r="F458" s="8">
        <v>3</v>
      </c>
      <c r="G458" s="9">
        <f t="shared" si="81"/>
        <v>1</v>
      </c>
      <c r="H458" s="9">
        <f t="shared" si="82"/>
        <v>17</v>
      </c>
      <c r="I458" s="10">
        <f t="shared" si="83"/>
        <v>6</v>
      </c>
    </row>
    <row r="459" spans="1:9" ht="12.75">
      <c r="A459" s="8" t="s">
        <v>18</v>
      </c>
      <c r="B459" s="9">
        <f t="shared" si="80"/>
        <v>24</v>
      </c>
      <c r="C459" s="8"/>
      <c r="D459" s="8"/>
      <c r="E459" s="8">
        <v>5</v>
      </c>
      <c r="F459" s="8">
        <v>3</v>
      </c>
      <c r="G459" s="9">
        <f t="shared" si="81"/>
        <v>2</v>
      </c>
      <c r="H459" s="9">
        <f t="shared" si="82"/>
        <v>22</v>
      </c>
      <c r="I459" s="10">
        <f t="shared" si="83"/>
        <v>12</v>
      </c>
    </row>
    <row r="460" spans="1:9" ht="12.75">
      <c r="A460" s="8" t="s">
        <v>19</v>
      </c>
      <c r="B460" s="9">
        <f t="shared" si="80"/>
        <v>32</v>
      </c>
      <c r="C460" s="8"/>
      <c r="D460" s="8"/>
      <c r="E460" s="8">
        <v>5</v>
      </c>
      <c r="F460" s="8">
        <v>2</v>
      </c>
      <c r="G460" s="9">
        <f t="shared" si="81"/>
        <v>3</v>
      </c>
      <c r="H460" s="9">
        <f t="shared" si="82"/>
        <v>29</v>
      </c>
      <c r="I460" s="10">
        <f t="shared" si="83"/>
        <v>18</v>
      </c>
    </row>
    <row r="461" spans="1:9" ht="12.75">
      <c r="A461" s="8" t="s">
        <v>20</v>
      </c>
      <c r="B461" s="9">
        <f t="shared" si="80"/>
        <v>40</v>
      </c>
      <c r="C461" s="8"/>
      <c r="D461" s="8"/>
      <c r="E461" s="8">
        <v>5</v>
      </c>
      <c r="F461" s="8">
        <v>3</v>
      </c>
      <c r="G461" s="9">
        <f t="shared" si="81"/>
        <v>2</v>
      </c>
      <c r="H461" s="9">
        <f t="shared" si="82"/>
        <v>38</v>
      </c>
      <c r="I461" s="10">
        <f t="shared" si="83"/>
        <v>12</v>
      </c>
    </row>
    <row r="462" spans="1:9" ht="12.75">
      <c r="A462" s="8" t="s">
        <v>21</v>
      </c>
      <c r="B462" s="9">
        <f t="shared" si="80"/>
        <v>11</v>
      </c>
      <c r="C462" s="8"/>
      <c r="D462" s="8"/>
      <c r="E462" s="8">
        <v>2</v>
      </c>
      <c r="F462" s="8">
        <v>1</v>
      </c>
      <c r="G462" s="9">
        <f t="shared" si="81"/>
        <v>1</v>
      </c>
      <c r="H462" s="9">
        <f t="shared" si="82"/>
        <v>10</v>
      </c>
      <c r="I462" s="10">
        <f t="shared" si="83"/>
        <v>6</v>
      </c>
    </row>
    <row r="463" spans="1:9" ht="12.75">
      <c r="A463" s="8" t="s">
        <v>22</v>
      </c>
      <c r="B463" s="9">
        <f t="shared" si="80"/>
        <v>42</v>
      </c>
      <c r="C463" s="8"/>
      <c r="D463" s="8"/>
      <c r="E463" s="8">
        <v>5</v>
      </c>
      <c r="F463" s="8">
        <v>2</v>
      </c>
      <c r="G463" s="9">
        <f t="shared" si="81"/>
        <v>3</v>
      </c>
      <c r="H463" s="9">
        <f t="shared" si="82"/>
        <v>39</v>
      </c>
      <c r="I463" s="10">
        <f t="shared" si="83"/>
        <v>18</v>
      </c>
    </row>
    <row r="464" spans="1:9" ht="12.75">
      <c r="A464" s="8" t="s">
        <v>23</v>
      </c>
      <c r="B464" s="9">
        <f t="shared" si="80"/>
        <v>40</v>
      </c>
      <c r="C464" s="11"/>
      <c r="D464" s="8"/>
      <c r="E464" s="8">
        <v>6</v>
      </c>
      <c r="F464" s="8">
        <v>5</v>
      </c>
      <c r="G464" s="9">
        <f t="shared" si="81"/>
        <v>1</v>
      </c>
      <c r="H464" s="9">
        <f t="shared" si="82"/>
        <v>39</v>
      </c>
      <c r="I464" s="10">
        <f t="shared" si="83"/>
        <v>6</v>
      </c>
    </row>
    <row r="465" spans="1:9" ht="12.75">
      <c r="A465" s="8" t="s">
        <v>24</v>
      </c>
      <c r="B465" s="9">
        <f t="shared" si="80"/>
        <v>3</v>
      </c>
      <c r="C465" s="8"/>
      <c r="D465" s="8"/>
      <c r="E465" s="8">
        <v>3</v>
      </c>
      <c r="F465" s="8">
        <v>3</v>
      </c>
      <c r="G465" s="9">
        <f t="shared" si="81"/>
        <v>0</v>
      </c>
      <c r="H465" s="9">
        <f t="shared" si="82"/>
        <v>3</v>
      </c>
      <c r="I465" s="10">
        <f t="shared" si="83"/>
        <v>0</v>
      </c>
    </row>
    <row r="466" spans="1:9" ht="12.75">
      <c r="A466" s="8" t="s">
        <v>25</v>
      </c>
      <c r="B466" s="9">
        <f t="shared" si="80"/>
        <v>7</v>
      </c>
      <c r="C466" s="8"/>
      <c r="D466" s="8"/>
      <c r="E466" s="8">
        <v>8</v>
      </c>
      <c r="F466" s="8">
        <v>2</v>
      </c>
      <c r="G466" s="9">
        <f t="shared" si="81"/>
        <v>6</v>
      </c>
      <c r="H466" s="9">
        <f t="shared" si="82"/>
        <v>1</v>
      </c>
      <c r="I466" s="10">
        <f t="shared" si="83"/>
        <v>36</v>
      </c>
    </row>
    <row r="467" spans="1:9" ht="12.75">
      <c r="A467" s="8" t="s">
        <v>26</v>
      </c>
      <c r="B467" s="9">
        <f t="shared" si="80"/>
        <v>24</v>
      </c>
      <c r="C467" s="8">
        <v>2</v>
      </c>
      <c r="D467" s="8"/>
      <c r="E467" s="8">
        <v>5</v>
      </c>
      <c r="F467" s="8">
        <v>3</v>
      </c>
      <c r="G467" s="9">
        <f t="shared" si="81"/>
        <v>2</v>
      </c>
      <c r="H467" s="9">
        <f t="shared" si="82"/>
        <v>20</v>
      </c>
      <c r="I467" s="10">
        <f t="shared" si="83"/>
        <v>12</v>
      </c>
    </row>
    <row r="468" spans="1:9" ht="12.75">
      <c r="A468" s="8" t="s">
        <v>27</v>
      </c>
      <c r="B468" s="9">
        <f t="shared" si="80"/>
        <v>21</v>
      </c>
      <c r="C468" s="8"/>
      <c r="D468" s="8"/>
      <c r="E468" s="8">
        <v>3</v>
      </c>
      <c r="F468" s="8">
        <v>1</v>
      </c>
      <c r="G468" s="9">
        <f t="shared" si="81"/>
        <v>2</v>
      </c>
      <c r="H468" s="9">
        <f t="shared" si="82"/>
        <v>19</v>
      </c>
      <c r="I468" s="10">
        <f t="shared" si="83"/>
        <v>12</v>
      </c>
    </row>
    <row r="469" spans="1:9" ht="12.75">
      <c r="A469" s="8" t="s">
        <v>28</v>
      </c>
      <c r="B469" s="9">
        <f t="shared" si="80"/>
        <v>25</v>
      </c>
      <c r="C469" s="8">
        <v>1</v>
      </c>
      <c r="D469" s="8"/>
      <c r="E469" s="8">
        <v>8</v>
      </c>
      <c r="F469" s="8">
        <v>4</v>
      </c>
      <c r="G469" s="9">
        <f t="shared" si="81"/>
        <v>4</v>
      </c>
      <c r="H469" s="9">
        <f t="shared" si="82"/>
        <v>20</v>
      </c>
      <c r="I469" s="10">
        <f t="shared" si="83"/>
        <v>24</v>
      </c>
    </row>
    <row r="470" spans="1:9" ht="12.75">
      <c r="A470" s="8" t="s">
        <v>29</v>
      </c>
      <c r="B470" s="9">
        <f t="shared" si="80"/>
        <v>79</v>
      </c>
      <c r="C470" s="8">
        <v>2</v>
      </c>
      <c r="D470" s="8"/>
      <c r="E470" s="8">
        <v>25</v>
      </c>
      <c r="F470" s="8">
        <v>13</v>
      </c>
      <c r="G470" s="9">
        <f t="shared" si="81"/>
        <v>12</v>
      </c>
      <c r="H470" s="9">
        <f t="shared" si="82"/>
        <v>65</v>
      </c>
      <c r="I470" s="10">
        <f t="shared" si="83"/>
        <v>72</v>
      </c>
    </row>
    <row r="471" spans="1:9" ht="12.75">
      <c r="A471" s="8" t="s">
        <v>30</v>
      </c>
      <c r="B471" s="9">
        <f t="shared" si="80"/>
        <v>8</v>
      </c>
      <c r="C471" s="8"/>
      <c r="D471" s="8"/>
      <c r="E471" s="8">
        <v>2</v>
      </c>
      <c r="F471" s="8">
        <v>2</v>
      </c>
      <c r="G471" s="9">
        <f t="shared" si="81"/>
        <v>0</v>
      </c>
      <c r="H471" s="9">
        <f t="shared" si="82"/>
        <v>8</v>
      </c>
      <c r="I471" s="10">
        <f t="shared" si="83"/>
        <v>0</v>
      </c>
    </row>
    <row r="472" spans="1:9" ht="12.75">
      <c r="A472" s="13" t="s">
        <v>31</v>
      </c>
      <c r="B472" s="9">
        <f t="shared" si="80"/>
        <v>14</v>
      </c>
      <c r="C472" s="8"/>
      <c r="D472" s="8"/>
      <c r="E472" s="8">
        <v>2</v>
      </c>
      <c r="F472" s="8">
        <v>1</v>
      </c>
      <c r="G472" s="9">
        <f t="shared" si="81"/>
        <v>1</v>
      </c>
      <c r="H472" s="9">
        <f t="shared" si="82"/>
        <v>13</v>
      </c>
      <c r="I472" s="10">
        <f t="shared" si="83"/>
        <v>6</v>
      </c>
    </row>
    <row r="473" spans="1:9" ht="12.75">
      <c r="A473" s="13" t="s">
        <v>32</v>
      </c>
      <c r="B473" s="9">
        <f t="shared" si="80"/>
        <v>16</v>
      </c>
      <c r="C473" s="8"/>
      <c r="D473" s="8"/>
      <c r="E473" s="8">
        <v>2</v>
      </c>
      <c r="F473" s="8">
        <v>2</v>
      </c>
      <c r="G473" s="9">
        <f t="shared" si="81"/>
        <v>0</v>
      </c>
      <c r="H473" s="9">
        <f t="shared" si="82"/>
        <v>16</v>
      </c>
      <c r="I473" s="10">
        <f t="shared" si="83"/>
        <v>0</v>
      </c>
    </row>
    <row r="474" spans="1:9" ht="12.75">
      <c r="A474" s="14" t="s">
        <v>33</v>
      </c>
      <c r="B474" s="15">
        <f t="shared" ref="B474:I474" si="84">SUM(B451:B473)</f>
        <v>531</v>
      </c>
      <c r="C474" s="15">
        <f t="shared" si="84"/>
        <v>6</v>
      </c>
      <c r="D474" s="15">
        <f t="shared" si="84"/>
        <v>64</v>
      </c>
      <c r="E474" s="15">
        <f t="shared" si="84"/>
        <v>124</v>
      </c>
      <c r="F474" s="15">
        <f t="shared" si="84"/>
        <v>79</v>
      </c>
      <c r="G474" s="15">
        <f t="shared" si="84"/>
        <v>45</v>
      </c>
      <c r="H474" s="15">
        <f t="shared" si="84"/>
        <v>544</v>
      </c>
      <c r="I474" s="16">
        <f t="shared" si="84"/>
        <v>270</v>
      </c>
    </row>
    <row r="475" spans="1:9" ht="12.75">
      <c r="A475" s="17"/>
      <c r="B475" s="17"/>
      <c r="C475" s="17"/>
      <c r="D475" s="17"/>
      <c r="E475" s="17"/>
      <c r="F475" s="134" t="s">
        <v>34</v>
      </c>
      <c r="G475" s="133"/>
      <c r="H475" s="18"/>
      <c r="I475" s="19"/>
    </row>
    <row r="488" spans="1:9">
      <c r="A488" s="1"/>
      <c r="B488" s="131" t="s">
        <v>61</v>
      </c>
      <c r="C488" s="132"/>
      <c r="D488" s="132"/>
      <c r="E488" s="132"/>
      <c r="F488" s="132"/>
      <c r="G488" s="132"/>
      <c r="H488" s="132"/>
      <c r="I488" s="133"/>
    </row>
    <row r="489" spans="1:9" ht="45">
      <c r="A489" s="2" t="s">
        <v>1</v>
      </c>
      <c r="B489" s="3" t="s">
        <v>2</v>
      </c>
      <c r="C489" s="4" t="s">
        <v>3</v>
      </c>
      <c r="D489" s="5" t="s">
        <v>4</v>
      </c>
      <c r="E489" s="2" t="s">
        <v>5</v>
      </c>
      <c r="F489" s="2" t="s">
        <v>6</v>
      </c>
      <c r="G489" s="2" t="s">
        <v>7</v>
      </c>
      <c r="H489" s="6" t="s">
        <v>8</v>
      </c>
      <c r="I489" s="7" t="s">
        <v>9</v>
      </c>
    </row>
    <row r="490" spans="1:9" ht="12.75">
      <c r="A490" s="8" t="s">
        <v>10</v>
      </c>
      <c r="B490" s="9">
        <f t="shared" ref="B490:B512" si="85">H451</f>
        <v>35</v>
      </c>
      <c r="C490" s="8"/>
      <c r="D490" s="8"/>
      <c r="E490" s="8">
        <v>6</v>
      </c>
      <c r="F490" s="8">
        <v>6</v>
      </c>
      <c r="G490" s="9">
        <f t="shared" ref="G490:G512" si="86">E490-F490</f>
        <v>0</v>
      </c>
      <c r="H490" s="9">
        <f t="shared" ref="H490:H512" si="87">B490-C490+D490-G490</f>
        <v>35</v>
      </c>
      <c r="I490" s="10">
        <f t="shared" ref="I490:I512" si="88">G490*6</f>
        <v>0</v>
      </c>
    </row>
    <row r="491" spans="1:9" ht="12.75">
      <c r="A491" s="8" t="s">
        <v>11</v>
      </c>
      <c r="B491" s="9">
        <f t="shared" si="85"/>
        <v>2</v>
      </c>
      <c r="C491" s="11"/>
      <c r="D491" s="8">
        <v>26</v>
      </c>
      <c r="E491" s="8">
        <v>4</v>
      </c>
      <c r="F491" s="8">
        <v>4</v>
      </c>
      <c r="G491" s="9">
        <f t="shared" si="86"/>
        <v>0</v>
      </c>
      <c r="H491" s="9">
        <f t="shared" si="87"/>
        <v>28</v>
      </c>
      <c r="I491" s="10">
        <f t="shared" si="88"/>
        <v>0</v>
      </c>
    </row>
    <row r="492" spans="1:9" ht="12.75">
      <c r="A492" s="8" t="s">
        <v>12</v>
      </c>
      <c r="B492" s="9">
        <f t="shared" si="85"/>
        <v>23</v>
      </c>
      <c r="C492" s="8"/>
      <c r="D492" s="8"/>
      <c r="E492" s="8">
        <v>6</v>
      </c>
      <c r="F492" s="8">
        <v>0</v>
      </c>
      <c r="G492" s="9">
        <f t="shared" si="86"/>
        <v>6</v>
      </c>
      <c r="H492" s="9">
        <f t="shared" si="87"/>
        <v>17</v>
      </c>
      <c r="I492" s="10">
        <f t="shared" si="88"/>
        <v>36</v>
      </c>
    </row>
    <row r="493" spans="1:9" ht="12.75">
      <c r="A493" s="8" t="s">
        <v>13</v>
      </c>
      <c r="B493" s="9">
        <f t="shared" si="85"/>
        <v>46</v>
      </c>
      <c r="C493" s="12">
        <v>11</v>
      </c>
      <c r="D493" s="8"/>
      <c r="E493" s="8">
        <v>6</v>
      </c>
      <c r="F493" s="8">
        <v>3</v>
      </c>
      <c r="G493" s="9">
        <f t="shared" si="86"/>
        <v>3</v>
      </c>
      <c r="H493" s="9">
        <f t="shared" si="87"/>
        <v>32</v>
      </c>
      <c r="I493" s="10">
        <f t="shared" si="88"/>
        <v>18</v>
      </c>
    </row>
    <row r="494" spans="1:9" ht="12.75">
      <c r="A494" s="8" t="s">
        <v>14</v>
      </c>
      <c r="B494" s="9">
        <f t="shared" si="85"/>
        <v>24</v>
      </c>
      <c r="C494" s="8"/>
      <c r="D494" s="8"/>
      <c r="E494" s="8">
        <v>4</v>
      </c>
      <c r="F494" s="8">
        <v>4</v>
      </c>
      <c r="G494" s="9">
        <f t="shared" si="86"/>
        <v>0</v>
      </c>
      <c r="H494" s="9">
        <f t="shared" si="87"/>
        <v>24</v>
      </c>
      <c r="I494" s="10">
        <f t="shared" si="88"/>
        <v>0</v>
      </c>
    </row>
    <row r="495" spans="1:9" ht="12.75">
      <c r="A495" s="8" t="s">
        <v>15</v>
      </c>
      <c r="B495" s="9">
        <f t="shared" si="85"/>
        <v>36</v>
      </c>
      <c r="C495" s="8"/>
      <c r="D495" s="8"/>
      <c r="E495" s="8">
        <v>5</v>
      </c>
      <c r="F495" s="8">
        <v>1</v>
      </c>
      <c r="G495" s="9">
        <f t="shared" si="86"/>
        <v>4</v>
      </c>
      <c r="H495" s="9">
        <f t="shared" si="87"/>
        <v>32</v>
      </c>
      <c r="I495" s="10">
        <f t="shared" si="88"/>
        <v>24</v>
      </c>
    </row>
    <row r="496" spans="1:9" ht="12.75">
      <c r="A496" s="8" t="s">
        <v>16</v>
      </c>
      <c r="B496" s="9">
        <f t="shared" si="85"/>
        <v>19</v>
      </c>
      <c r="C496" s="8">
        <v>1</v>
      </c>
      <c r="D496" s="8"/>
      <c r="E496" s="8">
        <v>5</v>
      </c>
      <c r="F496" s="8">
        <v>2</v>
      </c>
      <c r="G496" s="9">
        <f t="shared" si="86"/>
        <v>3</v>
      </c>
      <c r="H496" s="9">
        <f t="shared" si="87"/>
        <v>15</v>
      </c>
      <c r="I496" s="10">
        <f t="shared" si="88"/>
        <v>18</v>
      </c>
    </row>
    <row r="497" spans="1:9" ht="12.75">
      <c r="A497" s="8" t="s">
        <v>17</v>
      </c>
      <c r="B497" s="9">
        <f t="shared" si="85"/>
        <v>17</v>
      </c>
      <c r="C497" s="8"/>
      <c r="D497" s="8"/>
      <c r="E497" s="8">
        <v>4</v>
      </c>
      <c r="F497" s="8">
        <v>2</v>
      </c>
      <c r="G497" s="9">
        <f t="shared" si="86"/>
        <v>2</v>
      </c>
      <c r="H497" s="9">
        <f t="shared" si="87"/>
        <v>15</v>
      </c>
      <c r="I497" s="10">
        <f t="shared" si="88"/>
        <v>12</v>
      </c>
    </row>
    <row r="498" spans="1:9" ht="12.75">
      <c r="A498" s="8" t="s">
        <v>18</v>
      </c>
      <c r="B498" s="9">
        <f t="shared" si="85"/>
        <v>22</v>
      </c>
      <c r="C498" s="8"/>
      <c r="D498" s="8"/>
      <c r="E498" s="8">
        <v>5</v>
      </c>
      <c r="F498" s="8">
        <v>2</v>
      </c>
      <c r="G498" s="9">
        <f t="shared" si="86"/>
        <v>3</v>
      </c>
      <c r="H498" s="9">
        <f t="shared" si="87"/>
        <v>19</v>
      </c>
      <c r="I498" s="10">
        <f t="shared" si="88"/>
        <v>18</v>
      </c>
    </row>
    <row r="499" spans="1:9" ht="12.75">
      <c r="A499" s="8" t="s">
        <v>19</v>
      </c>
      <c r="B499" s="9">
        <f t="shared" si="85"/>
        <v>29</v>
      </c>
      <c r="C499" s="8"/>
      <c r="D499" s="8"/>
      <c r="E499" s="8">
        <v>9</v>
      </c>
      <c r="F499" s="8">
        <v>2</v>
      </c>
      <c r="G499" s="9">
        <f t="shared" si="86"/>
        <v>7</v>
      </c>
      <c r="H499" s="9">
        <f t="shared" si="87"/>
        <v>22</v>
      </c>
      <c r="I499" s="10">
        <f t="shared" si="88"/>
        <v>42</v>
      </c>
    </row>
    <row r="500" spans="1:9" ht="12.75">
      <c r="A500" s="8" t="s">
        <v>20</v>
      </c>
      <c r="B500" s="9">
        <f t="shared" si="85"/>
        <v>38</v>
      </c>
      <c r="C500" s="8"/>
      <c r="D500" s="8"/>
      <c r="E500" s="8">
        <v>6</v>
      </c>
      <c r="F500" s="8">
        <v>3</v>
      </c>
      <c r="G500" s="9">
        <f t="shared" si="86"/>
        <v>3</v>
      </c>
      <c r="H500" s="9">
        <f t="shared" si="87"/>
        <v>35</v>
      </c>
      <c r="I500" s="10">
        <f t="shared" si="88"/>
        <v>18</v>
      </c>
    </row>
    <row r="501" spans="1:9" ht="12.75">
      <c r="A501" s="8" t="s">
        <v>21</v>
      </c>
      <c r="B501" s="9">
        <f t="shared" si="85"/>
        <v>10</v>
      </c>
      <c r="C501" s="8"/>
      <c r="D501" s="8"/>
      <c r="E501" s="8">
        <v>2</v>
      </c>
      <c r="F501" s="8">
        <v>0</v>
      </c>
      <c r="G501" s="9">
        <f t="shared" si="86"/>
        <v>2</v>
      </c>
      <c r="H501" s="9">
        <f t="shared" si="87"/>
        <v>8</v>
      </c>
      <c r="I501" s="10">
        <f t="shared" si="88"/>
        <v>12</v>
      </c>
    </row>
    <row r="502" spans="1:9" ht="12.75">
      <c r="A502" s="8" t="s">
        <v>22</v>
      </c>
      <c r="B502" s="9">
        <f t="shared" si="85"/>
        <v>39</v>
      </c>
      <c r="C502" s="8"/>
      <c r="D502" s="8"/>
      <c r="E502" s="8">
        <v>5</v>
      </c>
      <c r="F502" s="8">
        <v>0</v>
      </c>
      <c r="G502" s="9">
        <f t="shared" si="86"/>
        <v>5</v>
      </c>
      <c r="H502" s="9">
        <f t="shared" si="87"/>
        <v>34</v>
      </c>
      <c r="I502" s="10">
        <f t="shared" si="88"/>
        <v>30</v>
      </c>
    </row>
    <row r="503" spans="1:9" ht="12.75">
      <c r="A503" s="8" t="s">
        <v>23</v>
      </c>
      <c r="B503" s="9">
        <f t="shared" si="85"/>
        <v>39</v>
      </c>
      <c r="C503" s="11"/>
      <c r="D503" s="8"/>
      <c r="E503" s="8">
        <v>7</v>
      </c>
      <c r="F503" s="8">
        <v>0</v>
      </c>
      <c r="G503" s="9">
        <f t="shared" si="86"/>
        <v>7</v>
      </c>
      <c r="H503" s="9">
        <f t="shared" si="87"/>
        <v>32</v>
      </c>
      <c r="I503" s="10">
        <f t="shared" si="88"/>
        <v>42</v>
      </c>
    </row>
    <row r="504" spans="1:9" ht="12.75">
      <c r="A504" s="8" t="s">
        <v>24</v>
      </c>
      <c r="B504" s="9">
        <f t="shared" si="85"/>
        <v>3</v>
      </c>
      <c r="C504" s="8"/>
      <c r="D504" s="8">
        <v>22</v>
      </c>
      <c r="E504" s="8">
        <v>3</v>
      </c>
      <c r="F504" s="8">
        <v>2</v>
      </c>
      <c r="G504" s="9">
        <f t="shared" si="86"/>
        <v>1</v>
      </c>
      <c r="H504" s="9">
        <f t="shared" si="87"/>
        <v>24</v>
      </c>
      <c r="I504" s="10">
        <f t="shared" si="88"/>
        <v>6</v>
      </c>
    </row>
    <row r="505" spans="1:9" ht="12.75">
      <c r="A505" s="8" t="s">
        <v>25</v>
      </c>
      <c r="B505" s="9">
        <f t="shared" si="85"/>
        <v>1</v>
      </c>
      <c r="C505" s="8">
        <v>2</v>
      </c>
      <c r="D505" s="8">
        <v>41</v>
      </c>
      <c r="E505" s="8">
        <v>18</v>
      </c>
      <c r="F505" s="8">
        <v>3</v>
      </c>
      <c r="G505" s="9">
        <f t="shared" si="86"/>
        <v>15</v>
      </c>
      <c r="H505" s="9">
        <f t="shared" si="87"/>
        <v>25</v>
      </c>
      <c r="I505" s="10">
        <f t="shared" si="88"/>
        <v>90</v>
      </c>
    </row>
    <row r="506" spans="1:9" ht="12.75">
      <c r="A506" s="8" t="s">
        <v>26</v>
      </c>
      <c r="B506" s="9">
        <f t="shared" si="85"/>
        <v>20</v>
      </c>
      <c r="C506" s="8"/>
      <c r="D506" s="8"/>
      <c r="E506" s="8">
        <v>4</v>
      </c>
      <c r="F506" s="8">
        <v>1</v>
      </c>
      <c r="G506" s="9">
        <f t="shared" si="86"/>
        <v>3</v>
      </c>
      <c r="H506" s="9">
        <f t="shared" si="87"/>
        <v>17</v>
      </c>
      <c r="I506" s="10">
        <f t="shared" si="88"/>
        <v>18</v>
      </c>
    </row>
    <row r="507" spans="1:9" ht="12.75">
      <c r="A507" s="8" t="s">
        <v>27</v>
      </c>
      <c r="B507" s="9">
        <f t="shared" si="85"/>
        <v>19</v>
      </c>
      <c r="C507" s="8"/>
      <c r="D507" s="8"/>
      <c r="E507" s="8">
        <v>3</v>
      </c>
      <c r="F507" s="8">
        <v>1</v>
      </c>
      <c r="G507" s="9">
        <f t="shared" si="86"/>
        <v>2</v>
      </c>
      <c r="H507" s="9">
        <f t="shared" si="87"/>
        <v>17</v>
      </c>
      <c r="I507" s="10">
        <f t="shared" si="88"/>
        <v>12</v>
      </c>
    </row>
    <row r="508" spans="1:9" ht="12.75">
      <c r="A508" s="8" t="s">
        <v>28</v>
      </c>
      <c r="B508" s="9">
        <f t="shared" si="85"/>
        <v>20</v>
      </c>
      <c r="C508" s="8"/>
      <c r="D508" s="8"/>
      <c r="E508" s="8">
        <v>8</v>
      </c>
      <c r="F508" s="8">
        <v>8</v>
      </c>
      <c r="G508" s="9">
        <f t="shared" si="86"/>
        <v>0</v>
      </c>
      <c r="H508" s="9">
        <f t="shared" si="87"/>
        <v>20</v>
      </c>
      <c r="I508" s="10">
        <f t="shared" si="88"/>
        <v>0</v>
      </c>
    </row>
    <row r="509" spans="1:9" ht="12.75">
      <c r="A509" s="8" t="s">
        <v>29</v>
      </c>
      <c r="B509" s="9">
        <f t="shared" si="85"/>
        <v>65</v>
      </c>
      <c r="C509" s="12">
        <v>7</v>
      </c>
      <c r="D509" s="8">
        <v>134</v>
      </c>
      <c r="E509" s="8">
        <v>44</v>
      </c>
      <c r="F509" s="8">
        <v>10</v>
      </c>
      <c r="G509" s="9">
        <f t="shared" si="86"/>
        <v>34</v>
      </c>
      <c r="H509" s="9">
        <f t="shared" si="87"/>
        <v>158</v>
      </c>
      <c r="I509" s="10">
        <f t="shared" si="88"/>
        <v>204</v>
      </c>
    </row>
    <row r="510" spans="1:9" ht="12.75">
      <c r="A510" s="8" t="s">
        <v>30</v>
      </c>
      <c r="B510" s="9">
        <f t="shared" si="85"/>
        <v>8</v>
      </c>
      <c r="C510" s="8"/>
      <c r="D510" s="8"/>
      <c r="E510" s="8">
        <v>4</v>
      </c>
      <c r="F510" s="8">
        <v>2</v>
      </c>
      <c r="G510" s="9">
        <f t="shared" si="86"/>
        <v>2</v>
      </c>
      <c r="H510" s="9">
        <f t="shared" si="87"/>
        <v>6</v>
      </c>
      <c r="I510" s="10">
        <f t="shared" si="88"/>
        <v>12</v>
      </c>
    </row>
    <row r="511" spans="1:9" ht="12.75">
      <c r="A511" s="13" t="s">
        <v>31</v>
      </c>
      <c r="B511" s="9">
        <f t="shared" si="85"/>
        <v>13</v>
      </c>
      <c r="C511" s="8"/>
      <c r="D511" s="8"/>
      <c r="E511" s="8">
        <v>2</v>
      </c>
      <c r="F511" s="8">
        <v>1</v>
      </c>
      <c r="G511" s="9">
        <f t="shared" si="86"/>
        <v>1</v>
      </c>
      <c r="H511" s="9">
        <f t="shared" si="87"/>
        <v>12</v>
      </c>
      <c r="I511" s="10">
        <f t="shared" si="88"/>
        <v>6</v>
      </c>
    </row>
    <row r="512" spans="1:9" ht="12.75">
      <c r="A512" s="13" t="s">
        <v>32</v>
      </c>
      <c r="B512" s="9">
        <f t="shared" si="85"/>
        <v>16</v>
      </c>
      <c r="C512" s="8"/>
      <c r="D512" s="8"/>
      <c r="E512" s="8">
        <v>2</v>
      </c>
      <c r="F512" s="8">
        <v>2</v>
      </c>
      <c r="G512" s="9">
        <f t="shared" si="86"/>
        <v>0</v>
      </c>
      <c r="H512" s="9">
        <f t="shared" si="87"/>
        <v>16</v>
      </c>
      <c r="I512" s="10">
        <f t="shared" si="88"/>
        <v>0</v>
      </c>
    </row>
    <row r="513" spans="1:9" ht="12.75">
      <c r="A513" s="14" t="s">
        <v>33</v>
      </c>
      <c r="B513" s="15">
        <f t="shared" ref="B513:I513" si="89">SUM(B490:B512)</f>
        <v>544</v>
      </c>
      <c r="C513" s="15">
        <f t="shared" si="89"/>
        <v>21</v>
      </c>
      <c r="D513" s="15">
        <f t="shared" si="89"/>
        <v>223</v>
      </c>
      <c r="E513" s="15">
        <f t="shared" si="89"/>
        <v>162</v>
      </c>
      <c r="F513" s="15">
        <f t="shared" si="89"/>
        <v>59</v>
      </c>
      <c r="G513" s="15">
        <f t="shared" si="89"/>
        <v>103</v>
      </c>
      <c r="H513" s="15">
        <f t="shared" si="89"/>
        <v>643</v>
      </c>
      <c r="I513" s="16">
        <f t="shared" si="89"/>
        <v>618</v>
      </c>
    </row>
    <row r="514" spans="1:9" ht="12.75">
      <c r="A514" s="17"/>
      <c r="B514" s="17"/>
      <c r="C514" s="17"/>
      <c r="D514" s="17"/>
      <c r="E514" s="17"/>
      <c r="F514" s="134" t="s">
        <v>34</v>
      </c>
      <c r="G514" s="133"/>
      <c r="H514" s="18"/>
      <c r="I514" s="19"/>
    </row>
  </sheetData>
  <mergeCells count="36">
    <mergeCell ref="B449:I449"/>
    <mergeCell ref="F475:G475"/>
    <mergeCell ref="B488:I488"/>
    <mergeCell ref="F514:G514"/>
    <mergeCell ref="F307:G307"/>
    <mergeCell ref="B309:I309"/>
    <mergeCell ref="F335:G335"/>
    <mergeCell ref="B337:I337"/>
    <mergeCell ref="F363:G363"/>
    <mergeCell ref="B365:I365"/>
    <mergeCell ref="B393:I393"/>
    <mergeCell ref="B281:I281"/>
    <mergeCell ref="F391:G391"/>
    <mergeCell ref="F419:G419"/>
    <mergeCell ref="B421:I421"/>
    <mergeCell ref="F447:G447"/>
    <mergeCell ref="F223:G223"/>
    <mergeCell ref="B225:I225"/>
    <mergeCell ref="F251:G251"/>
    <mergeCell ref="B253:I253"/>
    <mergeCell ref="F279:G279"/>
    <mergeCell ref="B141:I141"/>
    <mergeCell ref="F167:G167"/>
    <mergeCell ref="B169:I169"/>
    <mergeCell ref="B197:I197"/>
    <mergeCell ref="F195:G195"/>
    <mergeCell ref="F83:G83"/>
    <mergeCell ref="B85:I85"/>
    <mergeCell ref="F111:G111"/>
    <mergeCell ref="B113:I113"/>
    <mergeCell ref="F139:G139"/>
    <mergeCell ref="B1:I1"/>
    <mergeCell ref="F27:G27"/>
    <mergeCell ref="B29:I29"/>
    <mergeCell ref="F55:G55"/>
    <mergeCell ref="B57:I5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6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17.28515625" customWidth="1"/>
  </cols>
  <sheetData>
    <row r="1" spans="1:9" ht="15.75" customHeight="1">
      <c r="A1" s="1"/>
      <c r="B1" s="131" t="s">
        <v>62</v>
      </c>
      <c r="C1" s="132"/>
      <c r="D1" s="132"/>
      <c r="E1" s="132"/>
      <c r="F1" s="132"/>
      <c r="G1" s="132"/>
      <c r="H1" s="132"/>
      <c r="I1" s="133"/>
    </row>
    <row r="2" spans="1:9" ht="15.75" customHeight="1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6" t="s">
        <v>8</v>
      </c>
      <c r="I2" s="7" t="s">
        <v>9</v>
      </c>
    </row>
    <row r="3" spans="1:9">
      <c r="A3" s="8" t="s">
        <v>10</v>
      </c>
      <c r="B3" s="9">
        <f>FEVEREIRO26!H448</f>
        <v>19</v>
      </c>
      <c r="C3" s="8"/>
      <c r="D3" s="8"/>
      <c r="E3" s="8">
        <v>6</v>
      </c>
      <c r="F3" s="8">
        <v>6</v>
      </c>
      <c r="G3" s="9">
        <f t="shared" ref="G3:G24" si="0">E3-F3</f>
        <v>0</v>
      </c>
      <c r="H3" s="9">
        <f t="shared" ref="H3:H24" si="1">B3-C3+D3-G3</f>
        <v>19</v>
      </c>
      <c r="I3" s="10">
        <f t="shared" ref="I3:I24" si="2">G3*6</f>
        <v>0</v>
      </c>
    </row>
    <row r="4" spans="1:9">
      <c r="A4" s="8" t="s">
        <v>11</v>
      </c>
      <c r="B4" s="9">
        <f>FEVEREIRO26!H449</f>
        <v>41</v>
      </c>
      <c r="C4" s="11"/>
      <c r="D4" s="8"/>
      <c r="E4" s="8">
        <v>6</v>
      </c>
      <c r="F4" s="8">
        <v>6</v>
      </c>
      <c r="G4" s="9">
        <f t="shared" si="0"/>
        <v>0</v>
      </c>
      <c r="H4" s="9">
        <f t="shared" si="1"/>
        <v>41</v>
      </c>
      <c r="I4" s="10">
        <f t="shared" si="2"/>
        <v>0</v>
      </c>
    </row>
    <row r="5" spans="1:9">
      <c r="A5" s="8" t="s">
        <v>12</v>
      </c>
      <c r="B5" s="9">
        <f>FEVEREIRO26!H450</f>
        <v>40</v>
      </c>
      <c r="C5" s="8"/>
      <c r="D5" s="8"/>
      <c r="E5" s="8">
        <v>6</v>
      </c>
      <c r="F5" s="8">
        <v>6</v>
      </c>
      <c r="G5" s="9">
        <f t="shared" si="0"/>
        <v>0</v>
      </c>
      <c r="H5" s="9">
        <f t="shared" si="1"/>
        <v>40</v>
      </c>
      <c r="I5" s="10">
        <f t="shared" si="2"/>
        <v>0</v>
      </c>
    </row>
    <row r="6" spans="1:9">
      <c r="A6" s="8" t="s">
        <v>13</v>
      </c>
      <c r="B6" s="9">
        <f>FEVEREIRO26!H451</f>
        <v>31</v>
      </c>
      <c r="C6" s="8">
        <v>1</v>
      </c>
      <c r="D6" s="8"/>
      <c r="E6" s="8">
        <v>6</v>
      </c>
      <c r="F6" s="8">
        <v>5</v>
      </c>
      <c r="G6" s="9">
        <f t="shared" si="0"/>
        <v>1</v>
      </c>
      <c r="H6" s="9">
        <f t="shared" si="1"/>
        <v>29</v>
      </c>
      <c r="I6" s="10">
        <f t="shared" si="2"/>
        <v>6</v>
      </c>
    </row>
    <row r="7" spans="1:9">
      <c r="A7" s="8" t="s">
        <v>14</v>
      </c>
      <c r="B7" s="9">
        <f>FEVEREIRO26!H452</f>
        <v>27</v>
      </c>
      <c r="C7" s="8"/>
      <c r="D7" s="8"/>
      <c r="E7" s="8">
        <v>4</v>
      </c>
      <c r="F7" s="8">
        <v>3</v>
      </c>
      <c r="G7" s="9">
        <f t="shared" si="0"/>
        <v>1</v>
      </c>
      <c r="H7" s="9">
        <f t="shared" si="1"/>
        <v>26</v>
      </c>
      <c r="I7" s="10">
        <f t="shared" si="2"/>
        <v>6</v>
      </c>
    </row>
    <row r="8" spans="1:9">
      <c r="A8" s="8" t="s">
        <v>15</v>
      </c>
      <c r="B8" s="9">
        <f>FEVEREIRO26!H453</f>
        <v>14</v>
      </c>
      <c r="C8" s="8"/>
      <c r="D8" s="8"/>
      <c r="E8" s="8">
        <v>6</v>
      </c>
      <c r="F8" s="8">
        <v>5</v>
      </c>
      <c r="G8" s="9">
        <f t="shared" si="0"/>
        <v>1</v>
      </c>
      <c r="H8" s="9">
        <f t="shared" si="1"/>
        <v>13</v>
      </c>
      <c r="I8" s="10">
        <f t="shared" si="2"/>
        <v>6</v>
      </c>
    </row>
    <row r="9" spans="1:9">
      <c r="A9" s="8" t="s">
        <v>16</v>
      </c>
      <c r="B9" s="9">
        <f>FEVEREIRO26!H454</f>
        <v>25</v>
      </c>
      <c r="C9" s="8"/>
      <c r="D9" s="8"/>
      <c r="E9" s="8">
        <v>4</v>
      </c>
      <c r="F9" s="8">
        <v>4</v>
      </c>
      <c r="G9" s="9">
        <f t="shared" si="0"/>
        <v>0</v>
      </c>
      <c r="H9" s="9">
        <f t="shared" si="1"/>
        <v>25</v>
      </c>
      <c r="I9" s="10">
        <f t="shared" si="2"/>
        <v>0</v>
      </c>
    </row>
    <row r="10" spans="1:9">
      <c r="A10" s="8" t="s">
        <v>17</v>
      </c>
      <c r="B10" s="9">
        <f>FEVEREIRO26!H455</f>
        <v>29</v>
      </c>
      <c r="C10" s="8"/>
      <c r="D10" s="8"/>
      <c r="E10" s="8">
        <v>4</v>
      </c>
      <c r="F10" s="8">
        <v>4</v>
      </c>
      <c r="G10" s="9">
        <f t="shared" si="0"/>
        <v>0</v>
      </c>
      <c r="H10" s="9">
        <f t="shared" si="1"/>
        <v>29</v>
      </c>
      <c r="I10" s="10">
        <f t="shared" si="2"/>
        <v>0</v>
      </c>
    </row>
    <row r="11" spans="1:9">
      <c r="A11" s="8" t="s">
        <v>18</v>
      </c>
      <c r="B11" s="9">
        <f>FEVEREIRO26!H456</f>
        <v>27</v>
      </c>
      <c r="C11" s="8"/>
      <c r="D11" s="8"/>
      <c r="E11" s="8">
        <v>4</v>
      </c>
      <c r="F11" s="8">
        <v>4</v>
      </c>
      <c r="G11" s="9">
        <f t="shared" si="0"/>
        <v>0</v>
      </c>
      <c r="H11" s="9">
        <f t="shared" si="1"/>
        <v>27</v>
      </c>
      <c r="I11" s="10">
        <f t="shared" si="2"/>
        <v>0</v>
      </c>
    </row>
    <row r="12" spans="1:9">
      <c r="A12" s="8" t="s">
        <v>19</v>
      </c>
      <c r="B12" s="9">
        <f>FEVEREIRO26!H457</f>
        <v>9</v>
      </c>
      <c r="C12" s="8"/>
      <c r="D12" s="8"/>
      <c r="E12" s="8">
        <v>4</v>
      </c>
      <c r="F12" s="8">
        <v>3</v>
      </c>
      <c r="G12" s="9">
        <f t="shared" si="0"/>
        <v>1</v>
      </c>
      <c r="H12" s="9">
        <f t="shared" si="1"/>
        <v>8</v>
      </c>
      <c r="I12" s="10">
        <f t="shared" si="2"/>
        <v>6</v>
      </c>
    </row>
    <row r="13" spans="1:9">
      <c r="A13" s="8" t="s">
        <v>20</v>
      </c>
      <c r="B13" s="9">
        <f>FEVEREIRO26!H458</f>
        <v>15</v>
      </c>
      <c r="C13" s="8"/>
      <c r="D13" s="8"/>
      <c r="E13" s="8">
        <v>4</v>
      </c>
      <c r="F13" s="8">
        <v>4</v>
      </c>
      <c r="G13" s="9">
        <f t="shared" si="0"/>
        <v>0</v>
      </c>
      <c r="H13" s="9">
        <f t="shared" si="1"/>
        <v>15</v>
      </c>
      <c r="I13" s="10">
        <f t="shared" si="2"/>
        <v>0</v>
      </c>
    </row>
    <row r="14" spans="1:9">
      <c r="A14" s="8" t="s">
        <v>21</v>
      </c>
      <c r="B14" s="9">
        <f>FEVEREIRO26!H459</f>
        <v>10</v>
      </c>
      <c r="C14" s="8"/>
      <c r="D14" s="8"/>
      <c r="E14" s="8">
        <v>2</v>
      </c>
      <c r="F14" s="8">
        <v>1</v>
      </c>
      <c r="G14" s="9">
        <f t="shared" si="0"/>
        <v>1</v>
      </c>
      <c r="H14" s="9">
        <f t="shared" si="1"/>
        <v>9</v>
      </c>
      <c r="I14" s="10">
        <f t="shared" si="2"/>
        <v>6</v>
      </c>
    </row>
    <row r="15" spans="1:9">
      <c r="A15" s="8" t="s">
        <v>22</v>
      </c>
      <c r="B15" s="9">
        <f>FEVEREIRO26!H460</f>
        <v>8</v>
      </c>
      <c r="C15" s="8"/>
      <c r="D15" s="8"/>
      <c r="E15" s="8">
        <v>4</v>
      </c>
      <c r="F15" s="8">
        <v>3</v>
      </c>
      <c r="G15" s="9">
        <f t="shared" si="0"/>
        <v>1</v>
      </c>
      <c r="H15" s="9">
        <f t="shared" si="1"/>
        <v>7</v>
      </c>
      <c r="I15" s="10">
        <f t="shared" si="2"/>
        <v>6</v>
      </c>
    </row>
    <row r="16" spans="1:9">
      <c r="A16" s="8" t="s">
        <v>23</v>
      </c>
      <c r="B16" s="9">
        <f>FEVEREIRO26!H461</f>
        <v>35</v>
      </c>
      <c r="C16" s="11"/>
      <c r="D16" s="8"/>
      <c r="E16" s="8">
        <v>6</v>
      </c>
      <c r="F16" s="8">
        <v>4</v>
      </c>
      <c r="G16" s="9">
        <f t="shared" si="0"/>
        <v>2</v>
      </c>
      <c r="H16" s="9">
        <f t="shared" si="1"/>
        <v>33</v>
      </c>
      <c r="I16" s="10">
        <f t="shared" si="2"/>
        <v>12</v>
      </c>
    </row>
    <row r="17" spans="1:9">
      <c r="A17" s="8" t="s">
        <v>24</v>
      </c>
      <c r="B17" s="9">
        <f>FEVEREIRO26!H462</f>
        <v>24</v>
      </c>
      <c r="C17" s="8"/>
      <c r="D17" s="8"/>
      <c r="E17" s="8">
        <v>4</v>
      </c>
      <c r="F17" s="8">
        <v>4</v>
      </c>
      <c r="G17" s="9">
        <f t="shared" si="0"/>
        <v>0</v>
      </c>
      <c r="H17" s="9">
        <f t="shared" si="1"/>
        <v>24</v>
      </c>
      <c r="I17" s="10">
        <f t="shared" si="2"/>
        <v>0</v>
      </c>
    </row>
    <row r="18" spans="1:9">
      <c r="A18" s="8" t="s">
        <v>25</v>
      </c>
      <c r="B18" s="9">
        <f>FEVEREIRO26!H463</f>
        <v>27</v>
      </c>
      <c r="C18" s="8"/>
      <c r="D18" s="8"/>
      <c r="E18" s="8">
        <v>8</v>
      </c>
      <c r="F18" s="8">
        <v>3</v>
      </c>
      <c r="G18" s="9">
        <f t="shared" si="0"/>
        <v>5</v>
      </c>
      <c r="H18" s="9">
        <f t="shared" si="1"/>
        <v>22</v>
      </c>
      <c r="I18" s="10">
        <f t="shared" si="2"/>
        <v>30</v>
      </c>
    </row>
    <row r="19" spans="1:9">
      <c r="A19" s="8" t="s">
        <v>26</v>
      </c>
      <c r="B19" s="9">
        <f>FEVEREIRO26!H464</f>
        <v>17</v>
      </c>
      <c r="C19" s="8"/>
      <c r="D19" s="8"/>
      <c r="E19" s="8">
        <v>4</v>
      </c>
      <c r="F19" s="8">
        <v>4</v>
      </c>
      <c r="G19" s="9">
        <f t="shared" si="0"/>
        <v>0</v>
      </c>
      <c r="H19" s="9">
        <f t="shared" si="1"/>
        <v>17</v>
      </c>
      <c r="I19" s="10">
        <f t="shared" si="2"/>
        <v>0</v>
      </c>
    </row>
    <row r="20" spans="1:9">
      <c r="A20" s="8" t="s">
        <v>27</v>
      </c>
      <c r="B20" s="9">
        <f>FEVEREIRO26!H465</f>
        <v>30</v>
      </c>
      <c r="C20" s="8"/>
      <c r="D20" s="8"/>
      <c r="E20" s="8">
        <v>4</v>
      </c>
      <c r="F20" s="8">
        <v>4</v>
      </c>
      <c r="G20" s="9">
        <f t="shared" si="0"/>
        <v>0</v>
      </c>
      <c r="H20" s="9">
        <f t="shared" si="1"/>
        <v>30</v>
      </c>
      <c r="I20" s="10">
        <f t="shared" si="2"/>
        <v>0</v>
      </c>
    </row>
    <row r="21" spans="1:9">
      <c r="A21" s="8" t="s">
        <v>28</v>
      </c>
      <c r="B21" s="9">
        <f>FEVEREIRO26!H466</f>
        <v>24</v>
      </c>
      <c r="C21" s="8"/>
      <c r="D21" s="8"/>
      <c r="E21" s="8">
        <v>8</v>
      </c>
      <c r="F21" s="8">
        <v>5</v>
      </c>
      <c r="G21" s="9">
        <f t="shared" si="0"/>
        <v>3</v>
      </c>
      <c r="H21" s="9">
        <f t="shared" si="1"/>
        <v>21</v>
      </c>
      <c r="I21" s="10">
        <f t="shared" si="2"/>
        <v>18</v>
      </c>
    </row>
    <row r="22" spans="1:9">
      <c r="A22" s="8" t="s">
        <v>30</v>
      </c>
      <c r="B22" s="9">
        <f>FEVEREIRO26!H467</f>
        <v>25</v>
      </c>
      <c r="C22" s="8"/>
      <c r="D22" s="8"/>
      <c r="E22" s="8">
        <v>2</v>
      </c>
      <c r="F22" s="8">
        <v>2</v>
      </c>
      <c r="G22" s="9">
        <f t="shared" si="0"/>
        <v>0</v>
      </c>
      <c r="H22" s="9">
        <f t="shared" si="1"/>
        <v>25</v>
      </c>
      <c r="I22" s="10">
        <f t="shared" si="2"/>
        <v>0</v>
      </c>
    </row>
    <row r="23" spans="1:9" ht="12.75">
      <c r="A23" s="13" t="s">
        <v>31</v>
      </c>
      <c r="B23" s="9">
        <f>FEVEREIRO26!H468</f>
        <v>21</v>
      </c>
      <c r="C23" s="8"/>
      <c r="D23" s="8"/>
      <c r="E23" s="8">
        <v>2</v>
      </c>
      <c r="F23" s="8">
        <v>2</v>
      </c>
      <c r="G23" s="9">
        <f t="shared" si="0"/>
        <v>0</v>
      </c>
      <c r="H23" s="9">
        <f t="shared" si="1"/>
        <v>21</v>
      </c>
      <c r="I23" s="10">
        <f t="shared" si="2"/>
        <v>0</v>
      </c>
    </row>
    <row r="24" spans="1:9" ht="12.75">
      <c r="A24" s="13" t="s">
        <v>32</v>
      </c>
      <c r="B24" s="9">
        <f>FEVEREIRO26!H469</f>
        <v>7</v>
      </c>
      <c r="C24" s="8"/>
      <c r="D24" s="8"/>
      <c r="E24" s="8">
        <v>2</v>
      </c>
      <c r="F24" s="8">
        <v>2</v>
      </c>
      <c r="G24" s="9">
        <f t="shared" si="0"/>
        <v>0</v>
      </c>
      <c r="H24" s="9">
        <f t="shared" si="1"/>
        <v>7</v>
      </c>
      <c r="I24" s="10">
        <f t="shared" si="2"/>
        <v>0</v>
      </c>
    </row>
    <row r="25" spans="1:9" ht="12.75">
      <c r="A25" s="14" t="s">
        <v>33</v>
      </c>
      <c r="B25" s="15">
        <f>SUM(B3:B24)</f>
        <v>505</v>
      </c>
      <c r="C25" s="14"/>
      <c r="D25" s="14"/>
      <c r="E25" s="15">
        <f t="shared" ref="E25:G25" si="3">SUM(E2:E24)</f>
        <v>100</v>
      </c>
      <c r="F25" s="15">
        <f t="shared" si="3"/>
        <v>84</v>
      </c>
      <c r="G25" s="15">
        <f t="shared" si="3"/>
        <v>16</v>
      </c>
      <c r="H25" s="15">
        <f>SUM(H3:H24)</f>
        <v>488</v>
      </c>
      <c r="I25" s="16">
        <f>SUM(I2:I24)</f>
        <v>96</v>
      </c>
    </row>
    <row r="26" spans="1:9" ht="12.75">
      <c r="A26" s="17"/>
      <c r="B26" s="17"/>
      <c r="C26" s="17"/>
      <c r="D26" s="17"/>
      <c r="E26" s="17"/>
      <c r="F26" s="134" t="s">
        <v>34</v>
      </c>
      <c r="G26" s="133"/>
      <c r="H26" s="18"/>
      <c r="I26" s="19"/>
    </row>
    <row r="28" spans="1:9">
      <c r="A28" s="1"/>
      <c r="B28" s="131" t="s">
        <v>63</v>
      </c>
      <c r="C28" s="132"/>
      <c r="D28" s="132"/>
      <c r="E28" s="132"/>
      <c r="F28" s="132"/>
      <c r="G28" s="132"/>
      <c r="H28" s="132"/>
      <c r="I28" s="133"/>
    </row>
    <row r="29" spans="1:9" ht="45">
      <c r="A29" s="2" t="s">
        <v>1</v>
      </c>
      <c r="B29" s="3" t="s">
        <v>2</v>
      </c>
      <c r="C29" s="4" t="s">
        <v>3</v>
      </c>
      <c r="D29" s="5" t="s">
        <v>4</v>
      </c>
      <c r="E29" s="2" t="s">
        <v>5</v>
      </c>
      <c r="F29" s="2" t="s">
        <v>6</v>
      </c>
      <c r="G29" s="2" t="s">
        <v>7</v>
      </c>
      <c r="H29" s="6" t="s">
        <v>8</v>
      </c>
      <c r="I29" s="7" t="s">
        <v>9</v>
      </c>
    </row>
    <row r="30" spans="1:9" ht="12.75">
      <c r="A30" s="8" t="s">
        <v>10</v>
      </c>
      <c r="B30" s="9">
        <f t="shared" ref="B30:B51" si="4">H3</f>
        <v>19</v>
      </c>
      <c r="C30" s="8"/>
      <c r="D30" s="8"/>
      <c r="E30" s="8">
        <v>6</v>
      </c>
      <c r="F30" s="8">
        <v>4</v>
      </c>
      <c r="G30" s="9">
        <f t="shared" ref="G30:G51" si="5">E30-F30</f>
        <v>2</v>
      </c>
      <c r="H30" s="9">
        <f t="shared" ref="H30:H51" si="6">B30-C30+D30-G30</f>
        <v>17</v>
      </c>
      <c r="I30" s="10">
        <f t="shared" ref="I30:I51" si="7">G30*6</f>
        <v>12</v>
      </c>
    </row>
    <row r="31" spans="1:9" ht="12.75">
      <c r="A31" s="8" t="s">
        <v>11</v>
      </c>
      <c r="B31" s="9">
        <f t="shared" si="4"/>
        <v>41</v>
      </c>
      <c r="C31" s="11"/>
      <c r="D31" s="8"/>
      <c r="E31" s="8">
        <v>4</v>
      </c>
      <c r="F31" s="8">
        <v>4</v>
      </c>
      <c r="G31" s="9">
        <f t="shared" si="5"/>
        <v>0</v>
      </c>
      <c r="H31" s="9">
        <f t="shared" si="6"/>
        <v>41</v>
      </c>
      <c r="I31" s="10">
        <f t="shared" si="7"/>
        <v>0</v>
      </c>
    </row>
    <row r="32" spans="1:9" ht="12.75">
      <c r="A32" s="8" t="s">
        <v>12</v>
      </c>
      <c r="B32" s="9">
        <f t="shared" si="4"/>
        <v>40</v>
      </c>
      <c r="C32" s="8"/>
      <c r="D32" s="8"/>
      <c r="E32" s="8">
        <v>4</v>
      </c>
      <c r="F32" s="8">
        <v>2</v>
      </c>
      <c r="G32" s="9">
        <f t="shared" si="5"/>
        <v>2</v>
      </c>
      <c r="H32" s="9">
        <f t="shared" si="6"/>
        <v>38</v>
      </c>
      <c r="I32" s="10">
        <f t="shared" si="7"/>
        <v>12</v>
      </c>
    </row>
    <row r="33" spans="1:9" ht="12.75">
      <c r="A33" s="8" t="s">
        <v>13</v>
      </c>
      <c r="B33" s="9">
        <f t="shared" si="4"/>
        <v>29</v>
      </c>
      <c r="C33" s="8"/>
      <c r="D33" s="8"/>
      <c r="E33" s="8">
        <v>6</v>
      </c>
      <c r="F33" s="8">
        <v>6</v>
      </c>
      <c r="G33" s="9">
        <f t="shared" si="5"/>
        <v>0</v>
      </c>
      <c r="H33" s="9">
        <f t="shared" si="6"/>
        <v>29</v>
      </c>
      <c r="I33" s="10">
        <f t="shared" si="7"/>
        <v>0</v>
      </c>
    </row>
    <row r="34" spans="1:9" ht="12.75">
      <c r="A34" s="8" t="s">
        <v>14</v>
      </c>
      <c r="B34" s="9">
        <f t="shared" si="4"/>
        <v>26</v>
      </c>
      <c r="C34" s="8"/>
      <c r="D34" s="8"/>
      <c r="E34" s="8">
        <v>4</v>
      </c>
      <c r="F34" s="8">
        <v>2</v>
      </c>
      <c r="G34" s="9">
        <f t="shared" si="5"/>
        <v>2</v>
      </c>
      <c r="H34" s="9">
        <f t="shared" si="6"/>
        <v>24</v>
      </c>
      <c r="I34" s="10">
        <f t="shared" si="7"/>
        <v>12</v>
      </c>
    </row>
    <row r="35" spans="1:9" ht="12.75">
      <c r="A35" s="8" t="s">
        <v>15</v>
      </c>
      <c r="B35" s="9">
        <f t="shared" si="4"/>
        <v>13</v>
      </c>
      <c r="C35" s="8"/>
      <c r="D35" s="8"/>
      <c r="E35" s="8">
        <v>4</v>
      </c>
      <c r="F35" s="8">
        <v>3</v>
      </c>
      <c r="G35" s="9">
        <f t="shared" si="5"/>
        <v>1</v>
      </c>
      <c r="H35" s="9">
        <f t="shared" si="6"/>
        <v>12</v>
      </c>
      <c r="I35" s="10">
        <f t="shared" si="7"/>
        <v>6</v>
      </c>
    </row>
    <row r="36" spans="1:9" ht="12.75">
      <c r="A36" s="8" t="s">
        <v>16</v>
      </c>
      <c r="B36" s="9">
        <f t="shared" si="4"/>
        <v>25</v>
      </c>
      <c r="C36" s="8"/>
      <c r="D36" s="8"/>
      <c r="E36" s="8">
        <v>4</v>
      </c>
      <c r="F36" s="8">
        <v>3</v>
      </c>
      <c r="G36" s="9">
        <f t="shared" si="5"/>
        <v>1</v>
      </c>
      <c r="H36" s="9">
        <f t="shared" si="6"/>
        <v>24</v>
      </c>
      <c r="I36" s="10">
        <f t="shared" si="7"/>
        <v>6</v>
      </c>
    </row>
    <row r="37" spans="1:9" ht="12.75">
      <c r="A37" s="8" t="s">
        <v>17</v>
      </c>
      <c r="B37" s="9">
        <f t="shared" si="4"/>
        <v>29</v>
      </c>
      <c r="C37" s="8"/>
      <c r="D37" s="8"/>
      <c r="E37" s="8">
        <v>4</v>
      </c>
      <c r="F37" s="8">
        <v>3</v>
      </c>
      <c r="G37" s="9">
        <f t="shared" si="5"/>
        <v>1</v>
      </c>
      <c r="H37" s="9">
        <f t="shared" si="6"/>
        <v>28</v>
      </c>
      <c r="I37" s="10">
        <f t="shared" si="7"/>
        <v>6</v>
      </c>
    </row>
    <row r="38" spans="1:9" ht="12.75">
      <c r="A38" s="8" t="s">
        <v>18</v>
      </c>
      <c r="B38" s="9">
        <f t="shared" si="4"/>
        <v>27</v>
      </c>
      <c r="C38" s="8"/>
      <c r="D38" s="8"/>
      <c r="E38" s="8">
        <v>4</v>
      </c>
      <c r="F38" s="8">
        <v>2</v>
      </c>
      <c r="G38" s="9">
        <f t="shared" si="5"/>
        <v>2</v>
      </c>
      <c r="H38" s="9">
        <f t="shared" si="6"/>
        <v>25</v>
      </c>
      <c r="I38" s="10">
        <f t="shared" si="7"/>
        <v>12</v>
      </c>
    </row>
    <row r="39" spans="1:9" ht="12.75">
      <c r="A39" s="8" t="s">
        <v>19</v>
      </c>
      <c r="B39" s="9">
        <f t="shared" si="4"/>
        <v>8</v>
      </c>
      <c r="C39" s="8"/>
      <c r="D39" s="8"/>
      <c r="E39" s="8">
        <v>4</v>
      </c>
      <c r="F39" s="8">
        <v>4</v>
      </c>
      <c r="G39" s="9">
        <f t="shared" si="5"/>
        <v>0</v>
      </c>
      <c r="H39" s="9">
        <f t="shared" si="6"/>
        <v>8</v>
      </c>
      <c r="I39" s="10">
        <f t="shared" si="7"/>
        <v>0</v>
      </c>
    </row>
    <row r="40" spans="1:9" ht="12.75">
      <c r="A40" s="8" t="s">
        <v>20</v>
      </c>
      <c r="B40" s="9">
        <f t="shared" si="4"/>
        <v>15</v>
      </c>
      <c r="C40" s="8"/>
      <c r="D40" s="8"/>
      <c r="E40" s="8">
        <v>4</v>
      </c>
      <c r="F40" s="8">
        <v>0</v>
      </c>
      <c r="G40" s="9">
        <f t="shared" si="5"/>
        <v>4</v>
      </c>
      <c r="H40" s="9">
        <f t="shared" si="6"/>
        <v>11</v>
      </c>
      <c r="I40" s="10">
        <f t="shared" si="7"/>
        <v>24</v>
      </c>
    </row>
    <row r="41" spans="1:9" ht="12.75">
      <c r="A41" s="8" t="s">
        <v>21</v>
      </c>
      <c r="B41" s="9">
        <f t="shared" si="4"/>
        <v>9</v>
      </c>
      <c r="C41" s="8"/>
      <c r="D41" s="8"/>
      <c r="E41" s="8">
        <v>2</v>
      </c>
      <c r="F41" s="8">
        <v>2</v>
      </c>
      <c r="G41" s="9">
        <f t="shared" si="5"/>
        <v>0</v>
      </c>
      <c r="H41" s="9">
        <f t="shared" si="6"/>
        <v>9</v>
      </c>
      <c r="I41" s="10">
        <f t="shared" si="7"/>
        <v>0</v>
      </c>
    </row>
    <row r="42" spans="1:9" ht="12.75">
      <c r="A42" s="8" t="s">
        <v>22</v>
      </c>
      <c r="B42" s="9">
        <f t="shared" si="4"/>
        <v>7</v>
      </c>
      <c r="C42" s="8"/>
      <c r="D42" s="8">
        <v>30</v>
      </c>
      <c r="E42" s="8">
        <v>4</v>
      </c>
      <c r="F42" s="8">
        <v>3</v>
      </c>
      <c r="G42" s="9">
        <f t="shared" si="5"/>
        <v>1</v>
      </c>
      <c r="H42" s="9">
        <f t="shared" si="6"/>
        <v>36</v>
      </c>
      <c r="I42" s="10">
        <f t="shared" si="7"/>
        <v>6</v>
      </c>
    </row>
    <row r="43" spans="1:9" ht="12.75">
      <c r="A43" s="8" t="s">
        <v>23</v>
      </c>
      <c r="B43" s="9">
        <f t="shared" si="4"/>
        <v>33</v>
      </c>
      <c r="C43" s="11"/>
      <c r="D43" s="8"/>
      <c r="E43" s="8">
        <v>6</v>
      </c>
      <c r="F43" s="8">
        <v>3</v>
      </c>
      <c r="G43" s="9">
        <f t="shared" si="5"/>
        <v>3</v>
      </c>
      <c r="H43" s="9">
        <f t="shared" si="6"/>
        <v>30</v>
      </c>
      <c r="I43" s="10">
        <f t="shared" si="7"/>
        <v>18</v>
      </c>
    </row>
    <row r="44" spans="1:9" ht="12.75">
      <c r="A44" s="8" t="s">
        <v>24</v>
      </c>
      <c r="B44" s="9">
        <f t="shared" si="4"/>
        <v>24</v>
      </c>
      <c r="C44" s="8"/>
      <c r="D44" s="8"/>
      <c r="E44" s="8">
        <v>4</v>
      </c>
      <c r="F44" s="8">
        <v>4</v>
      </c>
      <c r="G44" s="9">
        <f t="shared" si="5"/>
        <v>0</v>
      </c>
      <c r="H44" s="9">
        <f t="shared" si="6"/>
        <v>24</v>
      </c>
      <c r="I44" s="10">
        <f t="shared" si="7"/>
        <v>0</v>
      </c>
    </row>
    <row r="45" spans="1:9" ht="12.75">
      <c r="A45" s="8" t="s">
        <v>25</v>
      </c>
      <c r="B45" s="9">
        <f t="shared" si="4"/>
        <v>22</v>
      </c>
      <c r="C45" s="8"/>
      <c r="D45" s="8"/>
      <c r="E45" s="8">
        <v>8</v>
      </c>
      <c r="F45" s="8">
        <v>3</v>
      </c>
      <c r="G45" s="9">
        <f t="shared" si="5"/>
        <v>5</v>
      </c>
      <c r="H45" s="9">
        <f t="shared" si="6"/>
        <v>17</v>
      </c>
      <c r="I45" s="10">
        <f t="shared" si="7"/>
        <v>30</v>
      </c>
    </row>
    <row r="46" spans="1:9" ht="12.75">
      <c r="A46" s="8" t="s">
        <v>26</v>
      </c>
      <c r="B46" s="9">
        <f t="shared" si="4"/>
        <v>17</v>
      </c>
      <c r="C46" s="8"/>
      <c r="D46" s="8"/>
      <c r="E46" s="8">
        <v>4</v>
      </c>
      <c r="F46" s="8">
        <v>1</v>
      </c>
      <c r="G46" s="9">
        <f t="shared" si="5"/>
        <v>3</v>
      </c>
      <c r="H46" s="9">
        <f t="shared" si="6"/>
        <v>14</v>
      </c>
      <c r="I46" s="10">
        <f t="shared" si="7"/>
        <v>18</v>
      </c>
    </row>
    <row r="47" spans="1:9" ht="12.75">
      <c r="A47" s="8" t="s">
        <v>27</v>
      </c>
      <c r="B47" s="9">
        <f t="shared" si="4"/>
        <v>30</v>
      </c>
      <c r="C47" s="8"/>
      <c r="D47" s="8"/>
      <c r="E47" s="8">
        <v>3</v>
      </c>
      <c r="F47" s="8">
        <v>3</v>
      </c>
      <c r="G47" s="9">
        <f t="shared" si="5"/>
        <v>0</v>
      </c>
      <c r="H47" s="9">
        <f t="shared" si="6"/>
        <v>30</v>
      </c>
      <c r="I47" s="10">
        <f t="shared" si="7"/>
        <v>0</v>
      </c>
    </row>
    <row r="48" spans="1:9" ht="12.75">
      <c r="A48" s="8" t="s">
        <v>28</v>
      </c>
      <c r="B48" s="9">
        <f t="shared" si="4"/>
        <v>21</v>
      </c>
      <c r="C48" s="8"/>
      <c r="D48" s="8"/>
      <c r="E48" s="8">
        <v>8</v>
      </c>
      <c r="F48" s="8">
        <v>5</v>
      </c>
      <c r="G48" s="9">
        <f t="shared" si="5"/>
        <v>3</v>
      </c>
      <c r="H48" s="9">
        <f t="shared" si="6"/>
        <v>18</v>
      </c>
      <c r="I48" s="10">
        <f t="shared" si="7"/>
        <v>18</v>
      </c>
    </row>
    <row r="49" spans="1:9" ht="12.75">
      <c r="A49" s="8" t="s">
        <v>30</v>
      </c>
      <c r="B49" s="9">
        <f t="shared" si="4"/>
        <v>25</v>
      </c>
      <c r="C49" s="8"/>
      <c r="D49" s="8"/>
      <c r="E49" s="8">
        <v>2</v>
      </c>
      <c r="F49" s="8">
        <v>2</v>
      </c>
      <c r="G49" s="9">
        <f t="shared" si="5"/>
        <v>0</v>
      </c>
      <c r="H49" s="9">
        <f t="shared" si="6"/>
        <v>25</v>
      </c>
      <c r="I49" s="10">
        <f t="shared" si="7"/>
        <v>0</v>
      </c>
    </row>
    <row r="50" spans="1:9" ht="12.75">
      <c r="A50" s="13" t="s">
        <v>31</v>
      </c>
      <c r="B50" s="9">
        <f t="shared" si="4"/>
        <v>21</v>
      </c>
      <c r="C50" s="8"/>
      <c r="D50" s="8"/>
      <c r="E50" s="8">
        <v>2</v>
      </c>
      <c r="F50" s="8">
        <v>1</v>
      </c>
      <c r="G50" s="9">
        <f t="shared" si="5"/>
        <v>1</v>
      </c>
      <c r="H50" s="9">
        <f t="shared" si="6"/>
        <v>20</v>
      </c>
      <c r="I50" s="10">
        <f t="shared" si="7"/>
        <v>6</v>
      </c>
    </row>
    <row r="51" spans="1:9" ht="12.75">
      <c r="A51" s="13" t="s">
        <v>32</v>
      </c>
      <c r="B51" s="9">
        <f t="shared" si="4"/>
        <v>7</v>
      </c>
      <c r="C51" s="8"/>
      <c r="D51" s="8"/>
      <c r="E51" s="8">
        <v>2</v>
      </c>
      <c r="F51" s="8">
        <v>1</v>
      </c>
      <c r="G51" s="9">
        <f t="shared" si="5"/>
        <v>1</v>
      </c>
      <c r="H51" s="9">
        <f t="shared" si="6"/>
        <v>6</v>
      </c>
      <c r="I51" s="10">
        <f t="shared" si="7"/>
        <v>6</v>
      </c>
    </row>
    <row r="52" spans="1:9" ht="12.75">
      <c r="A52" s="14" t="s">
        <v>33</v>
      </c>
      <c r="B52" s="15">
        <f>SUM(B30:B51)</f>
        <v>488</v>
      </c>
      <c r="C52" s="14"/>
      <c r="D52" s="14"/>
      <c r="E52" s="15">
        <f t="shared" ref="E52:G52" si="8">SUM(E29:E51)</f>
        <v>93</v>
      </c>
      <c r="F52" s="15">
        <f t="shared" si="8"/>
        <v>61</v>
      </c>
      <c r="G52" s="15">
        <f t="shared" si="8"/>
        <v>32</v>
      </c>
      <c r="H52" s="15">
        <f>SUM(H30:H51)</f>
        <v>486</v>
      </c>
      <c r="I52" s="16">
        <f>SUM(I29:I51)</f>
        <v>192</v>
      </c>
    </row>
    <row r="53" spans="1:9" ht="12.75">
      <c r="A53" s="17"/>
      <c r="B53" s="17"/>
      <c r="C53" s="17"/>
      <c r="D53" s="17"/>
      <c r="E53" s="17"/>
      <c r="F53" s="134" t="s">
        <v>34</v>
      </c>
      <c r="G53" s="133"/>
      <c r="H53" s="18"/>
      <c r="I53" s="19"/>
    </row>
    <row r="55" spans="1:9">
      <c r="A55" s="1"/>
      <c r="B55" s="131" t="s">
        <v>64</v>
      </c>
      <c r="C55" s="132"/>
      <c r="D55" s="132"/>
      <c r="E55" s="132"/>
      <c r="F55" s="132"/>
      <c r="G55" s="132"/>
      <c r="H55" s="132"/>
      <c r="I55" s="133"/>
    </row>
    <row r="56" spans="1:9" ht="45">
      <c r="A56" s="2" t="s">
        <v>1</v>
      </c>
      <c r="B56" s="3" t="s">
        <v>2</v>
      </c>
      <c r="C56" s="4" t="s">
        <v>3</v>
      </c>
      <c r="D56" s="5" t="s">
        <v>4</v>
      </c>
      <c r="E56" s="2" t="s">
        <v>5</v>
      </c>
      <c r="F56" s="2" t="s">
        <v>6</v>
      </c>
      <c r="G56" s="2" t="s">
        <v>7</v>
      </c>
      <c r="H56" s="6" t="s">
        <v>8</v>
      </c>
      <c r="I56" s="7" t="s">
        <v>9</v>
      </c>
    </row>
    <row r="57" spans="1:9" ht="12.75">
      <c r="A57" s="8" t="s">
        <v>10</v>
      </c>
      <c r="B57" s="9">
        <f t="shared" ref="B57:B78" si="9">H30</f>
        <v>17</v>
      </c>
      <c r="C57" s="8"/>
      <c r="D57" s="8"/>
      <c r="E57" s="8">
        <v>6</v>
      </c>
      <c r="F57" s="8">
        <v>3</v>
      </c>
      <c r="G57" s="9">
        <f t="shared" ref="G57:G78" si="10">E57-F57</f>
        <v>3</v>
      </c>
      <c r="H57" s="9">
        <f t="shared" ref="H57:H78" si="11">B57-C57+D57-G57</f>
        <v>14</v>
      </c>
      <c r="I57" s="10">
        <f t="shared" ref="I57:I78" si="12">G57*6</f>
        <v>18</v>
      </c>
    </row>
    <row r="58" spans="1:9" ht="12.75">
      <c r="A58" s="8" t="s">
        <v>11</v>
      </c>
      <c r="B58" s="9">
        <f t="shared" si="9"/>
        <v>41</v>
      </c>
      <c r="C58" s="11">
        <v>1</v>
      </c>
      <c r="D58" s="8"/>
      <c r="E58" s="8">
        <v>4</v>
      </c>
      <c r="F58" s="8">
        <v>3</v>
      </c>
      <c r="G58" s="9">
        <f t="shared" si="10"/>
        <v>1</v>
      </c>
      <c r="H58" s="9">
        <f t="shared" si="11"/>
        <v>39</v>
      </c>
      <c r="I58" s="10">
        <f t="shared" si="12"/>
        <v>6</v>
      </c>
    </row>
    <row r="59" spans="1:9" ht="12.75">
      <c r="A59" s="8" t="s">
        <v>12</v>
      </c>
      <c r="B59" s="9">
        <f t="shared" si="9"/>
        <v>38</v>
      </c>
      <c r="C59" s="8">
        <v>1</v>
      </c>
      <c r="D59" s="8"/>
      <c r="E59" s="8">
        <v>4</v>
      </c>
      <c r="F59" s="8">
        <v>3</v>
      </c>
      <c r="G59" s="9">
        <f t="shared" si="10"/>
        <v>1</v>
      </c>
      <c r="H59" s="9">
        <f t="shared" si="11"/>
        <v>36</v>
      </c>
      <c r="I59" s="10">
        <f t="shared" si="12"/>
        <v>6</v>
      </c>
    </row>
    <row r="60" spans="1:9" ht="12.75">
      <c r="A60" s="8" t="s">
        <v>13</v>
      </c>
      <c r="B60" s="9">
        <f t="shared" si="9"/>
        <v>29</v>
      </c>
      <c r="C60" s="8"/>
      <c r="D60" s="8"/>
      <c r="E60" s="8">
        <v>6</v>
      </c>
      <c r="F60" s="8">
        <v>4</v>
      </c>
      <c r="G60" s="9">
        <f t="shared" si="10"/>
        <v>2</v>
      </c>
      <c r="H60" s="9">
        <f t="shared" si="11"/>
        <v>27</v>
      </c>
      <c r="I60" s="10">
        <f t="shared" si="12"/>
        <v>12</v>
      </c>
    </row>
    <row r="61" spans="1:9" ht="12.75">
      <c r="A61" s="8" t="s">
        <v>14</v>
      </c>
      <c r="B61" s="9">
        <f t="shared" si="9"/>
        <v>24</v>
      </c>
      <c r="C61" s="8"/>
      <c r="D61" s="8"/>
      <c r="E61" s="8">
        <v>4</v>
      </c>
      <c r="F61" s="8">
        <v>2</v>
      </c>
      <c r="G61" s="9">
        <f t="shared" si="10"/>
        <v>2</v>
      </c>
      <c r="H61" s="9">
        <f t="shared" si="11"/>
        <v>22</v>
      </c>
      <c r="I61" s="10">
        <f t="shared" si="12"/>
        <v>12</v>
      </c>
    </row>
    <row r="62" spans="1:9" ht="12.75">
      <c r="A62" s="8" t="s">
        <v>15</v>
      </c>
      <c r="B62" s="9">
        <f t="shared" si="9"/>
        <v>12</v>
      </c>
      <c r="C62" s="8"/>
      <c r="D62" s="8"/>
      <c r="E62" s="8">
        <v>4</v>
      </c>
      <c r="F62" s="8">
        <v>2</v>
      </c>
      <c r="G62" s="9">
        <f t="shared" si="10"/>
        <v>2</v>
      </c>
      <c r="H62" s="9">
        <f t="shared" si="11"/>
        <v>10</v>
      </c>
      <c r="I62" s="10">
        <f t="shared" si="12"/>
        <v>12</v>
      </c>
    </row>
    <row r="63" spans="1:9" ht="12.75">
      <c r="A63" s="8" t="s">
        <v>16</v>
      </c>
      <c r="B63" s="9">
        <f t="shared" si="9"/>
        <v>24</v>
      </c>
      <c r="C63" s="8"/>
      <c r="D63" s="8"/>
      <c r="E63" s="8">
        <v>4</v>
      </c>
      <c r="F63" s="8">
        <v>2</v>
      </c>
      <c r="G63" s="9">
        <f t="shared" si="10"/>
        <v>2</v>
      </c>
      <c r="H63" s="9">
        <f t="shared" si="11"/>
        <v>22</v>
      </c>
      <c r="I63" s="10">
        <f t="shared" si="12"/>
        <v>12</v>
      </c>
    </row>
    <row r="64" spans="1:9" ht="12.75">
      <c r="A64" s="8" t="s">
        <v>17</v>
      </c>
      <c r="B64" s="9">
        <f t="shared" si="9"/>
        <v>28</v>
      </c>
      <c r="C64" s="8"/>
      <c r="D64" s="8"/>
      <c r="E64" s="8">
        <v>4</v>
      </c>
      <c r="F64" s="8">
        <v>2</v>
      </c>
      <c r="G64" s="9">
        <f t="shared" si="10"/>
        <v>2</v>
      </c>
      <c r="H64" s="9">
        <f t="shared" si="11"/>
        <v>26</v>
      </c>
      <c r="I64" s="10">
        <f t="shared" si="12"/>
        <v>12</v>
      </c>
    </row>
    <row r="65" spans="1:9" ht="12.75">
      <c r="A65" s="8" t="s">
        <v>18</v>
      </c>
      <c r="B65" s="9">
        <f t="shared" si="9"/>
        <v>25</v>
      </c>
      <c r="C65" s="8"/>
      <c r="D65" s="8"/>
      <c r="E65" s="8">
        <v>4</v>
      </c>
      <c r="F65" s="8">
        <v>2</v>
      </c>
      <c r="G65" s="9">
        <f t="shared" si="10"/>
        <v>2</v>
      </c>
      <c r="H65" s="9">
        <f t="shared" si="11"/>
        <v>23</v>
      </c>
      <c r="I65" s="10">
        <f t="shared" si="12"/>
        <v>12</v>
      </c>
    </row>
    <row r="66" spans="1:9" ht="12.75">
      <c r="A66" s="8" t="s">
        <v>19</v>
      </c>
      <c r="B66" s="9">
        <f t="shared" si="9"/>
        <v>8</v>
      </c>
      <c r="C66" s="8"/>
      <c r="D66" s="8">
        <v>33</v>
      </c>
      <c r="E66" s="8">
        <v>4</v>
      </c>
      <c r="F66" s="8">
        <v>0</v>
      </c>
      <c r="G66" s="9">
        <f t="shared" si="10"/>
        <v>4</v>
      </c>
      <c r="H66" s="9">
        <f t="shared" si="11"/>
        <v>37</v>
      </c>
      <c r="I66" s="10">
        <f t="shared" si="12"/>
        <v>24</v>
      </c>
    </row>
    <row r="67" spans="1:9" ht="12.75">
      <c r="A67" s="8" t="s">
        <v>20</v>
      </c>
      <c r="B67" s="9">
        <f t="shared" si="9"/>
        <v>11</v>
      </c>
      <c r="C67" s="8">
        <v>2</v>
      </c>
      <c r="D67" s="8">
        <v>29</v>
      </c>
      <c r="E67" s="8">
        <v>5</v>
      </c>
      <c r="F67" s="8">
        <v>3</v>
      </c>
      <c r="G67" s="9">
        <f t="shared" si="10"/>
        <v>2</v>
      </c>
      <c r="H67" s="9">
        <f t="shared" si="11"/>
        <v>36</v>
      </c>
      <c r="I67" s="10">
        <f t="shared" si="12"/>
        <v>12</v>
      </c>
    </row>
    <row r="68" spans="1:9" ht="12.75">
      <c r="A68" s="8" t="s">
        <v>21</v>
      </c>
      <c r="B68" s="9">
        <f t="shared" si="9"/>
        <v>9</v>
      </c>
      <c r="C68" s="8"/>
      <c r="D68" s="8"/>
      <c r="E68" s="8">
        <v>2</v>
      </c>
      <c r="F68" s="8">
        <v>2</v>
      </c>
      <c r="G68" s="9">
        <f t="shared" si="10"/>
        <v>0</v>
      </c>
      <c r="H68" s="9">
        <f t="shared" si="11"/>
        <v>9</v>
      </c>
      <c r="I68" s="10">
        <f t="shared" si="12"/>
        <v>0</v>
      </c>
    </row>
    <row r="69" spans="1:9" ht="12.75">
      <c r="A69" s="8" t="s">
        <v>22</v>
      </c>
      <c r="B69" s="9">
        <f t="shared" si="9"/>
        <v>36</v>
      </c>
      <c r="C69" s="8"/>
      <c r="D69" s="8"/>
      <c r="E69" s="8">
        <v>4</v>
      </c>
      <c r="F69" s="8">
        <v>4</v>
      </c>
      <c r="G69" s="9">
        <f t="shared" si="10"/>
        <v>0</v>
      </c>
      <c r="H69" s="9">
        <f t="shared" si="11"/>
        <v>36</v>
      </c>
      <c r="I69" s="10">
        <f t="shared" si="12"/>
        <v>0</v>
      </c>
    </row>
    <row r="70" spans="1:9" ht="12.75">
      <c r="A70" s="8" t="s">
        <v>23</v>
      </c>
      <c r="B70" s="9">
        <f t="shared" si="9"/>
        <v>30</v>
      </c>
      <c r="C70" s="11"/>
      <c r="D70" s="8"/>
      <c r="E70" s="8">
        <v>6</v>
      </c>
      <c r="F70" s="8">
        <v>3</v>
      </c>
      <c r="G70" s="9">
        <f t="shared" si="10"/>
        <v>3</v>
      </c>
      <c r="H70" s="9">
        <f t="shared" si="11"/>
        <v>27</v>
      </c>
      <c r="I70" s="10">
        <f t="shared" si="12"/>
        <v>18</v>
      </c>
    </row>
    <row r="71" spans="1:9" ht="12.75">
      <c r="A71" s="8" t="s">
        <v>24</v>
      </c>
      <c r="B71" s="9">
        <f t="shared" si="9"/>
        <v>24</v>
      </c>
      <c r="C71" s="8">
        <v>1</v>
      </c>
      <c r="D71" s="8"/>
      <c r="E71" s="8">
        <v>3</v>
      </c>
      <c r="F71" s="8">
        <v>3</v>
      </c>
      <c r="G71" s="9">
        <f t="shared" si="10"/>
        <v>0</v>
      </c>
      <c r="H71" s="9">
        <f t="shared" si="11"/>
        <v>23</v>
      </c>
      <c r="I71" s="10">
        <f t="shared" si="12"/>
        <v>0</v>
      </c>
    </row>
    <row r="72" spans="1:9" ht="12.75">
      <c r="A72" s="8" t="s">
        <v>25</v>
      </c>
      <c r="B72" s="9">
        <f t="shared" si="9"/>
        <v>17</v>
      </c>
      <c r="C72" s="8"/>
      <c r="D72" s="8"/>
      <c r="E72" s="8">
        <v>8</v>
      </c>
      <c r="F72" s="8">
        <v>3</v>
      </c>
      <c r="G72" s="9">
        <f t="shared" si="10"/>
        <v>5</v>
      </c>
      <c r="H72" s="9">
        <f t="shared" si="11"/>
        <v>12</v>
      </c>
      <c r="I72" s="10">
        <f t="shared" si="12"/>
        <v>30</v>
      </c>
    </row>
    <row r="73" spans="1:9" ht="12.75">
      <c r="A73" s="8" t="s">
        <v>26</v>
      </c>
      <c r="B73" s="9">
        <f t="shared" si="9"/>
        <v>14</v>
      </c>
      <c r="C73" s="8"/>
      <c r="D73" s="8"/>
      <c r="E73" s="8">
        <v>4</v>
      </c>
      <c r="F73" s="8">
        <v>3</v>
      </c>
      <c r="G73" s="9">
        <f t="shared" si="10"/>
        <v>1</v>
      </c>
      <c r="H73" s="9">
        <f t="shared" si="11"/>
        <v>13</v>
      </c>
      <c r="I73" s="10">
        <f t="shared" si="12"/>
        <v>6</v>
      </c>
    </row>
    <row r="74" spans="1:9" ht="12.75">
      <c r="A74" s="8" t="s">
        <v>27</v>
      </c>
      <c r="B74" s="9">
        <f t="shared" si="9"/>
        <v>30</v>
      </c>
      <c r="C74" s="8"/>
      <c r="D74" s="8"/>
      <c r="E74" s="8">
        <v>3</v>
      </c>
      <c r="F74" s="8">
        <v>3</v>
      </c>
      <c r="G74" s="9">
        <f t="shared" si="10"/>
        <v>0</v>
      </c>
      <c r="H74" s="9">
        <f t="shared" si="11"/>
        <v>30</v>
      </c>
      <c r="I74" s="10">
        <f t="shared" si="12"/>
        <v>0</v>
      </c>
    </row>
    <row r="75" spans="1:9" ht="12.75">
      <c r="A75" s="8" t="s">
        <v>28</v>
      </c>
      <c r="B75" s="9">
        <f t="shared" si="9"/>
        <v>18</v>
      </c>
      <c r="C75" s="8"/>
      <c r="D75" s="8"/>
      <c r="E75" s="8">
        <v>6</v>
      </c>
      <c r="F75" s="8">
        <v>5</v>
      </c>
      <c r="G75" s="9">
        <f t="shared" si="10"/>
        <v>1</v>
      </c>
      <c r="H75" s="9">
        <f t="shared" si="11"/>
        <v>17</v>
      </c>
      <c r="I75" s="10">
        <f t="shared" si="12"/>
        <v>6</v>
      </c>
    </row>
    <row r="76" spans="1:9" ht="12.75">
      <c r="A76" s="8" t="s">
        <v>30</v>
      </c>
      <c r="B76" s="9">
        <f t="shared" si="9"/>
        <v>25</v>
      </c>
      <c r="C76" s="8"/>
      <c r="D76" s="8"/>
      <c r="E76" s="8">
        <v>2</v>
      </c>
      <c r="F76" s="8">
        <v>2</v>
      </c>
      <c r="G76" s="9">
        <f t="shared" si="10"/>
        <v>0</v>
      </c>
      <c r="H76" s="9">
        <f t="shared" si="11"/>
        <v>25</v>
      </c>
      <c r="I76" s="10">
        <f t="shared" si="12"/>
        <v>0</v>
      </c>
    </row>
    <row r="77" spans="1:9" ht="12.75">
      <c r="A77" s="13" t="s">
        <v>31</v>
      </c>
      <c r="B77" s="9">
        <f t="shared" si="9"/>
        <v>20</v>
      </c>
      <c r="C77" s="8"/>
      <c r="D77" s="8"/>
      <c r="E77" s="8">
        <v>2</v>
      </c>
      <c r="F77" s="8">
        <v>2</v>
      </c>
      <c r="G77" s="9">
        <f t="shared" si="10"/>
        <v>0</v>
      </c>
      <c r="H77" s="9">
        <f t="shared" si="11"/>
        <v>20</v>
      </c>
      <c r="I77" s="10">
        <f t="shared" si="12"/>
        <v>0</v>
      </c>
    </row>
    <row r="78" spans="1:9" ht="12.75">
      <c r="A78" s="13" t="s">
        <v>32</v>
      </c>
      <c r="B78" s="9">
        <f t="shared" si="9"/>
        <v>6</v>
      </c>
      <c r="C78" s="8"/>
      <c r="D78" s="8"/>
      <c r="E78" s="8">
        <v>2</v>
      </c>
      <c r="F78" s="8">
        <v>1</v>
      </c>
      <c r="G78" s="9">
        <f t="shared" si="10"/>
        <v>1</v>
      </c>
      <c r="H78" s="9">
        <f t="shared" si="11"/>
        <v>5</v>
      </c>
      <c r="I78" s="10">
        <f t="shared" si="12"/>
        <v>6</v>
      </c>
    </row>
    <row r="79" spans="1:9" ht="12.75">
      <c r="A79" s="14" t="s">
        <v>33</v>
      </c>
      <c r="B79" s="15">
        <f>SUM(B57:B78)</f>
        <v>486</v>
      </c>
      <c r="C79" s="14"/>
      <c r="D79" s="14"/>
      <c r="E79" s="15">
        <f t="shared" ref="E79:G79" si="13">SUM(E56:E78)</f>
        <v>91</v>
      </c>
      <c r="F79" s="15">
        <f t="shared" si="13"/>
        <v>57</v>
      </c>
      <c r="G79" s="15">
        <f t="shared" si="13"/>
        <v>34</v>
      </c>
      <c r="H79" s="15">
        <f>SUM(H57:H78)</f>
        <v>509</v>
      </c>
      <c r="I79" s="16">
        <f>SUM(I56:I78)</f>
        <v>204</v>
      </c>
    </row>
    <row r="80" spans="1:9" ht="12.75">
      <c r="A80" s="17"/>
      <c r="B80" s="17"/>
      <c r="C80" s="17"/>
      <c r="D80" s="17"/>
      <c r="E80" s="17"/>
      <c r="F80" s="134" t="s">
        <v>34</v>
      </c>
      <c r="G80" s="133"/>
      <c r="H80" s="18"/>
      <c r="I80" s="19"/>
    </row>
    <row r="82" spans="1:9">
      <c r="A82" s="1"/>
      <c r="B82" s="131" t="s">
        <v>65</v>
      </c>
      <c r="C82" s="132"/>
      <c r="D82" s="132"/>
      <c r="E82" s="132"/>
      <c r="F82" s="132"/>
      <c r="G82" s="132"/>
      <c r="H82" s="132"/>
      <c r="I82" s="133"/>
    </row>
    <row r="83" spans="1:9" ht="45">
      <c r="A83" s="2" t="s">
        <v>1</v>
      </c>
      <c r="B83" s="3" t="s">
        <v>2</v>
      </c>
      <c r="C83" s="4" t="s">
        <v>3</v>
      </c>
      <c r="D83" s="5" t="s">
        <v>4</v>
      </c>
      <c r="E83" s="2" t="s">
        <v>5</v>
      </c>
      <c r="F83" s="2" t="s">
        <v>6</v>
      </c>
      <c r="G83" s="2" t="s">
        <v>7</v>
      </c>
      <c r="H83" s="6" t="s">
        <v>8</v>
      </c>
      <c r="I83" s="7" t="s">
        <v>9</v>
      </c>
    </row>
    <row r="84" spans="1:9" ht="12.75">
      <c r="A84" s="8" t="s">
        <v>10</v>
      </c>
      <c r="B84" s="9">
        <f t="shared" ref="B84:B105" si="14">H57</f>
        <v>14</v>
      </c>
      <c r="C84" s="8">
        <v>2</v>
      </c>
      <c r="D84" s="8"/>
      <c r="E84" s="8">
        <v>9</v>
      </c>
      <c r="F84" s="8">
        <v>5</v>
      </c>
      <c r="G84" s="9">
        <f t="shared" ref="G84:G105" si="15">E84-F84</f>
        <v>4</v>
      </c>
      <c r="H84" s="9">
        <f t="shared" ref="H84:H105" si="16">B84-C84+D84-G84</f>
        <v>8</v>
      </c>
      <c r="I84" s="10">
        <f t="shared" ref="I84:I105" si="17">G84*6</f>
        <v>24</v>
      </c>
    </row>
    <row r="85" spans="1:9" ht="12.75">
      <c r="A85" s="8" t="s">
        <v>11</v>
      </c>
      <c r="B85" s="9">
        <f t="shared" si="14"/>
        <v>39</v>
      </c>
      <c r="C85" s="11"/>
      <c r="D85" s="8"/>
      <c r="E85" s="8">
        <v>4</v>
      </c>
      <c r="F85" s="8">
        <v>3</v>
      </c>
      <c r="G85" s="9">
        <f t="shared" si="15"/>
        <v>1</v>
      </c>
      <c r="H85" s="9">
        <f t="shared" si="16"/>
        <v>38</v>
      </c>
      <c r="I85" s="10">
        <f t="shared" si="17"/>
        <v>6</v>
      </c>
    </row>
    <row r="86" spans="1:9" ht="12.75">
      <c r="A86" s="8" t="s">
        <v>12</v>
      </c>
      <c r="B86" s="9">
        <f t="shared" si="14"/>
        <v>36</v>
      </c>
      <c r="C86" s="8"/>
      <c r="D86" s="8"/>
      <c r="E86" s="8">
        <v>4</v>
      </c>
      <c r="F86" s="8">
        <v>2</v>
      </c>
      <c r="G86" s="9">
        <f t="shared" si="15"/>
        <v>2</v>
      </c>
      <c r="H86" s="9">
        <f t="shared" si="16"/>
        <v>34</v>
      </c>
      <c r="I86" s="10">
        <f t="shared" si="17"/>
        <v>12</v>
      </c>
    </row>
    <row r="87" spans="1:9" ht="12.75">
      <c r="A87" s="8" t="s">
        <v>13</v>
      </c>
      <c r="B87" s="9">
        <f t="shared" si="14"/>
        <v>27</v>
      </c>
      <c r="C87" s="8"/>
      <c r="D87" s="8"/>
      <c r="E87" s="8">
        <v>6</v>
      </c>
      <c r="F87" s="8">
        <v>6</v>
      </c>
      <c r="G87" s="9">
        <f t="shared" si="15"/>
        <v>0</v>
      </c>
      <c r="H87" s="9">
        <f t="shared" si="16"/>
        <v>27</v>
      </c>
      <c r="I87" s="10">
        <f t="shared" si="17"/>
        <v>0</v>
      </c>
    </row>
    <row r="88" spans="1:9" ht="12.75">
      <c r="A88" s="8" t="s">
        <v>14</v>
      </c>
      <c r="B88" s="9">
        <f t="shared" si="14"/>
        <v>22</v>
      </c>
      <c r="C88" s="8"/>
      <c r="D88" s="8"/>
      <c r="E88" s="8">
        <v>4</v>
      </c>
      <c r="F88" s="8">
        <v>3</v>
      </c>
      <c r="G88" s="9">
        <f t="shared" si="15"/>
        <v>1</v>
      </c>
      <c r="H88" s="9">
        <f t="shared" si="16"/>
        <v>21</v>
      </c>
      <c r="I88" s="10">
        <f t="shared" si="17"/>
        <v>6</v>
      </c>
    </row>
    <row r="89" spans="1:9" ht="12.75">
      <c r="A89" s="8" t="s">
        <v>15</v>
      </c>
      <c r="B89" s="9">
        <f t="shared" si="14"/>
        <v>10</v>
      </c>
      <c r="C89" s="8">
        <v>2</v>
      </c>
      <c r="D89" s="8"/>
      <c r="E89" s="8">
        <v>4</v>
      </c>
      <c r="F89" s="8">
        <v>3</v>
      </c>
      <c r="G89" s="9">
        <f t="shared" si="15"/>
        <v>1</v>
      </c>
      <c r="H89" s="9">
        <f t="shared" si="16"/>
        <v>7</v>
      </c>
      <c r="I89" s="10">
        <f t="shared" si="17"/>
        <v>6</v>
      </c>
    </row>
    <row r="90" spans="1:9" ht="12.75">
      <c r="A90" s="8" t="s">
        <v>16</v>
      </c>
      <c r="B90" s="9">
        <f t="shared" si="14"/>
        <v>22</v>
      </c>
      <c r="C90" s="8"/>
      <c r="D90" s="8"/>
      <c r="E90" s="8">
        <v>4</v>
      </c>
      <c r="F90" s="8">
        <v>4</v>
      </c>
      <c r="G90" s="9">
        <f t="shared" si="15"/>
        <v>0</v>
      </c>
      <c r="H90" s="9">
        <f t="shared" si="16"/>
        <v>22</v>
      </c>
      <c r="I90" s="10">
        <f t="shared" si="17"/>
        <v>0</v>
      </c>
    </row>
    <row r="91" spans="1:9" ht="12.75">
      <c r="A91" s="8" t="s">
        <v>17</v>
      </c>
      <c r="B91" s="9">
        <f t="shared" si="14"/>
        <v>26</v>
      </c>
      <c r="C91" s="8"/>
      <c r="D91" s="8"/>
      <c r="E91" s="8">
        <v>4</v>
      </c>
      <c r="F91" s="8">
        <v>4</v>
      </c>
      <c r="G91" s="9">
        <f t="shared" si="15"/>
        <v>0</v>
      </c>
      <c r="H91" s="9">
        <f t="shared" si="16"/>
        <v>26</v>
      </c>
      <c r="I91" s="10">
        <f t="shared" si="17"/>
        <v>0</v>
      </c>
    </row>
    <row r="92" spans="1:9" ht="12.75">
      <c r="A92" s="8" t="s">
        <v>18</v>
      </c>
      <c r="B92" s="9">
        <f t="shared" si="14"/>
        <v>23</v>
      </c>
      <c r="C92" s="8"/>
      <c r="D92" s="8"/>
      <c r="E92" s="8">
        <v>4</v>
      </c>
      <c r="F92" s="8">
        <v>3</v>
      </c>
      <c r="G92" s="9">
        <f t="shared" si="15"/>
        <v>1</v>
      </c>
      <c r="H92" s="9">
        <f t="shared" si="16"/>
        <v>22</v>
      </c>
      <c r="I92" s="10">
        <f t="shared" si="17"/>
        <v>6</v>
      </c>
    </row>
    <row r="93" spans="1:9" ht="12.75">
      <c r="A93" s="8" t="s">
        <v>19</v>
      </c>
      <c r="B93" s="9">
        <f t="shared" si="14"/>
        <v>37</v>
      </c>
      <c r="C93" s="8"/>
      <c r="D93" s="8"/>
      <c r="E93" s="8">
        <v>4</v>
      </c>
      <c r="F93" s="8">
        <v>3</v>
      </c>
      <c r="G93" s="9">
        <f t="shared" si="15"/>
        <v>1</v>
      </c>
      <c r="H93" s="9">
        <f t="shared" si="16"/>
        <v>36</v>
      </c>
      <c r="I93" s="10">
        <f t="shared" si="17"/>
        <v>6</v>
      </c>
    </row>
    <row r="94" spans="1:9" ht="12.75">
      <c r="A94" s="8" t="s">
        <v>20</v>
      </c>
      <c r="B94" s="9">
        <f t="shared" si="14"/>
        <v>36</v>
      </c>
      <c r="C94" s="8"/>
      <c r="D94" s="8"/>
      <c r="E94" s="8">
        <v>5</v>
      </c>
      <c r="F94" s="8">
        <v>3</v>
      </c>
      <c r="G94" s="9">
        <f t="shared" si="15"/>
        <v>2</v>
      </c>
      <c r="H94" s="9">
        <f t="shared" si="16"/>
        <v>34</v>
      </c>
      <c r="I94" s="10">
        <f t="shared" si="17"/>
        <v>12</v>
      </c>
    </row>
    <row r="95" spans="1:9" ht="12.75">
      <c r="A95" s="8" t="s">
        <v>21</v>
      </c>
      <c r="B95" s="9">
        <f t="shared" si="14"/>
        <v>9</v>
      </c>
      <c r="C95" s="8"/>
      <c r="D95" s="8"/>
      <c r="E95" s="8">
        <v>2</v>
      </c>
      <c r="F95" s="8">
        <v>2</v>
      </c>
      <c r="G95" s="9">
        <f t="shared" si="15"/>
        <v>0</v>
      </c>
      <c r="H95" s="9">
        <f t="shared" si="16"/>
        <v>9</v>
      </c>
      <c r="I95" s="10">
        <f t="shared" si="17"/>
        <v>0</v>
      </c>
    </row>
    <row r="96" spans="1:9" ht="12.75">
      <c r="A96" s="8" t="s">
        <v>22</v>
      </c>
      <c r="B96" s="9">
        <f t="shared" si="14"/>
        <v>36</v>
      </c>
      <c r="C96" s="8"/>
      <c r="D96" s="8"/>
      <c r="E96" s="8">
        <v>4</v>
      </c>
      <c r="F96" s="8">
        <v>3</v>
      </c>
      <c r="G96" s="9">
        <f t="shared" si="15"/>
        <v>1</v>
      </c>
      <c r="H96" s="9">
        <f t="shared" si="16"/>
        <v>35</v>
      </c>
      <c r="I96" s="10">
        <f t="shared" si="17"/>
        <v>6</v>
      </c>
    </row>
    <row r="97" spans="1:9" ht="12.75">
      <c r="A97" s="8" t="s">
        <v>23</v>
      </c>
      <c r="B97" s="9">
        <f t="shared" si="14"/>
        <v>27</v>
      </c>
      <c r="C97" s="11"/>
      <c r="D97" s="8"/>
      <c r="E97" s="8">
        <v>6</v>
      </c>
      <c r="F97" s="8">
        <v>2</v>
      </c>
      <c r="G97" s="9">
        <f t="shared" si="15"/>
        <v>4</v>
      </c>
      <c r="H97" s="9">
        <f t="shared" si="16"/>
        <v>23</v>
      </c>
      <c r="I97" s="10">
        <f t="shared" si="17"/>
        <v>24</v>
      </c>
    </row>
    <row r="98" spans="1:9" ht="12.75">
      <c r="A98" s="8" t="s">
        <v>24</v>
      </c>
      <c r="B98" s="9">
        <f t="shared" si="14"/>
        <v>23</v>
      </c>
      <c r="C98" s="8"/>
      <c r="D98" s="8"/>
      <c r="E98" s="8">
        <v>3</v>
      </c>
      <c r="F98" s="8">
        <v>3</v>
      </c>
      <c r="G98" s="9">
        <f t="shared" si="15"/>
        <v>0</v>
      </c>
      <c r="H98" s="9">
        <f t="shared" si="16"/>
        <v>23</v>
      </c>
      <c r="I98" s="10">
        <f t="shared" si="17"/>
        <v>0</v>
      </c>
    </row>
    <row r="99" spans="1:9" ht="12.75">
      <c r="A99" s="8" t="s">
        <v>25</v>
      </c>
      <c r="B99" s="9">
        <f t="shared" si="14"/>
        <v>12</v>
      </c>
      <c r="C99" s="8">
        <v>1</v>
      </c>
      <c r="D99" s="8">
        <v>30</v>
      </c>
      <c r="E99" s="8">
        <v>8</v>
      </c>
      <c r="F99" s="8">
        <v>0</v>
      </c>
      <c r="G99" s="9">
        <f t="shared" si="15"/>
        <v>8</v>
      </c>
      <c r="H99" s="9">
        <f t="shared" si="16"/>
        <v>33</v>
      </c>
      <c r="I99" s="10">
        <f t="shared" si="17"/>
        <v>48</v>
      </c>
    </row>
    <row r="100" spans="1:9" ht="12.75">
      <c r="A100" s="20" t="s">
        <v>26</v>
      </c>
      <c r="B100" s="9">
        <f t="shared" si="14"/>
        <v>13</v>
      </c>
      <c r="C100" s="8">
        <v>4</v>
      </c>
      <c r="D100" s="8"/>
      <c r="E100" s="8">
        <v>4</v>
      </c>
      <c r="F100" s="8">
        <v>4</v>
      </c>
      <c r="G100" s="9">
        <f t="shared" si="15"/>
        <v>0</v>
      </c>
      <c r="H100" s="9">
        <f t="shared" si="16"/>
        <v>9</v>
      </c>
      <c r="I100" s="10">
        <f t="shared" si="17"/>
        <v>0</v>
      </c>
    </row>
    <row r="101" spans="1:9" ht="12.75">
      <c r="A101" s="8" t="s">
        <v>27</v>
      </c>
      <c r="B101" s="9">
        <f t="shared" si="14"/>
        <v>30</v>
      </c>
      <c r="C101" s="8"/>
      <c r="D101" s="8"/>
      <c r="E101" s="8">
        <v>3</v>
      </c>
      <c r="F101" s="8">
        <v>3</v>
      </c>
      <c r="G101" s="9">
        <f t="shared" si="15"/>
        <v>0</v>
      </c>
      <c r="H101" s="9">
        <f t="shared" si="16"/>
        <v>30</v>
      </c>
      <c r="I101" s="10">
        <f t="shared" si="17"/>
        <v>0</v>
      </c>
    </row>
    <row r="102" spans="1:9" ht="12.75">
      <c r="A102" s="8" t="s">
        <v>28</v>
      </c>
      <c r="B102" s="9">
        <f t="shared" si="14"/>
        <v>17</v>
      </c>
      <c r="C102" s="8"/>
      <c r="D102" s="8"/>
      <c r="E102" s="8">
        <v>6</v>
      </c>
      <c r="F102" s="8">
        <v>0</v>
      </c>
      <c r="G102" s="9">
        <f t="shared" si="15"/>
        <v>6</v>
      </c>
      <c r="H102" s="9">
        <f t="shared" si="16"/>
        <v>11</v>
      </c>
      <c r="I102" s="10">
        <f t="shared" si="17"/>
        <v>36</v>
      </c>
    </row>
    <row r="103" spans="1:9" ht="12.75">
      <c r="A103" s="8" t="s">
        <v>30</v>
      </c>
      <c r="B103" s="9">
        <f t="shared" si="14"/>
        <v>25</v>
      </c>
      <c r="C103" s="8"/>
      <c r="D103" s="8"/>
      <c r="E103" s="8">
        <v>2</v>
      </c>
      <c r="F103" s="8">
        <v>1</v>
      </c>
      <c r="G103" s="9">
        <f t="shared" si="15"/>
        <v>1</v>
      </c>
      <c r="H103" s="9">
        <f t="shared" si="16"/>
        <v>24</v>
      </c>
      <c r="I103" s="10">
        <f t="shared" si="17"/>
        <v>6</v>
      </c>
    </row>
    <row r="104" spans="1:9" ht="12.75">
      <c r="A104" s="13" t="s">
        <v>31</v>
      </c>
      <c r="B104" s="9">
        <f t="shared" si="14"/>
        <v>20</v>
      </c>
      <c r="C104" s="8"/>
      <c r="D104" s="8"/>
      <c r="E104" s="8">
        <v>2</v>
      </c>
      <c r="F104" s="8">
        <v>1</v>
      </c>
      <c r="G104" s="9">
        <f t="shared" si="15"/>
        <v>1</v>
      </c>
      <c r="H104" s="9">
        <f t="shared" si="16"/>
        <v>19</v>
      </c>
      <c r="I104" s="10">
        <f t="shared" si="17"/>
        <v>6</v>
      </c>
    </row>
    <row r="105" spans="1:9" ht="12.75">
      <c r="A105" s="13" t="s">
        <v>32</v>
      </c>
      <c r="B105" s="9">
        <f t="shared" si="14"/>
        <v>5</v>
      </c>
      <c r="C105" s="8"/>
      <c r="D105" s="8"/>
      <c r="E105" s="8">
        <v>2</v>
      </c>
      <c r="F105" s="8">
        <v>2</v>
      </c>
      <c r="G105" s="9">
        <f t="shared" si="15"/>
        <v>0</v>
      </c>
      <c r="H105" s="9">
        <f t="shared" si="16"/>
        <v>5</v>
      </c>
      <c r="I105" s="10">
        <f t="shared" si="17"/>
        <v>0</v>
      </c>
    </row>
    <row r="106" spans="1:9" ht="12.75">
      <c r="A106" s="14" t="s">
        <v>33</v>
      </c>
      <c r="B106" s="15">
        <f>SUM(B84:B105)</f>
        <v>509</v>
      </c>
      <c r="C106" s="14"/>
      <c r="D106" s="14"/>
      <c r="E106" s="15">
        <f t="shared" ref="E106:G106" si="18">SUM(E83:E105)</f>
        <v>94</v>
      </c>
      <c r="F106" s="15">
        <f t="shared" si="18"/>
        <v>60</v>
      </c>
      <c r="G106" s="15">
        <f t="shared" si="18"/>
        <v>34</v>
      </c>
      <c r="H106" s="15">
        <f>SUM(H84:H105)</f>
        <v>496</v>
      </c>
      <c r="I106" s="16">
        <f>SUM(I83:I105)</f>
        <v>204</v>
      </c>
    </row>
    <row r="107" spans="1:9" ht="12.75">
      <c r="A107" s="17"/>
      <c r="B107" s="17"/>
      <c r="C107" s="17"/>
      <c r="D107" s="17"/>
      <c r="E107" s="17"/>
      <c r="F107" s="134" t="s">
        <v>34</v>
      </c>
      <c r="G107" s="133"/>
      <c r="H107" s="18"/>
      <c r="I107" s="19"/>
    </row>
    <row r="109" spans="1:9">
      <c r="A109" s="1"/>
      <c r="B109" s="131" t="s">
        <v>66</v>
      </c>
      <c r="C109" s="132"/>
      <c r="D109" s="132"/>
      <c r="E109" s="132"/>
      <c r="F109" s="132"/>
      <c r="G109" s="132"/>
      <c r="H109" s="132"/>
      <c r="I109" s="133"/>
    </row>
    <row r="110" spans="1:9" ht="45">
      <c r="A110" s="2" t="s">
        <v>1</v>
      </c>
      <c r="B110" s="3" t="s">
        <v>2</v>
      </c>
      <c r="C110" s="4" t="s">
        <v>3</v>
      </c>
      <c r="D110" s="5" t="s">
        <v>4</v>
      </c>
      <c r="E110" s="2" t="s">
        <v>5</v>
      </c>
      <c r="F110" s="2" t="s">
        <v>6</v>
      </c>
      <c r="G110" s="2" t="s">
        <v>7</v>
      </c>
      <c r="H110" s="6" t="s">
        <v>8</v>
      </c>
      <c r="I110" s="7" t="s">
        <v>9</v>
      </c>
    </row>
    <row r="111" spans="1:9" ht="12.75">
      <c r="A111" s="8" t="s">
        <v>10</v>
      </c>
      <c r="B111" s="9">
        <f t="shared" ref="B111:B132" si="19">H84</f>
        <v>8</v>
      </c>
      <c r="C111" s="8"/>
      <c r="D111" s="8">
        <v>36</v>
      </c>
      <c r="E111" s="8">
        <v>6</v>
      </c>
      <c r="F111" s="8">
        <v>6</v>
      </c>
      <c r="G111" s="9">
        <f t="shared" ref="G111:G132" si="20">E111-F111</f>
        <v>0</v>
      </c>
      <c r="H111" s="9">
        <f t="shared" ref="H111:H132" si="21">B111-C111+D111-G111</f>
        <v>44</v>
      </c>
      <c r="I111" s="10">
        <f t="shared" ref="I111:I132" si="22">G111*6</f>
        <v>0</v>
      </c>
    </row>
    <row r="112" spans="1:9" ht="12.75">
      <c r="A112" s="8" t="s">
        <v>11</v>
      </c>
      <c r="B112" s="9">
        <f t="shared" si="19"/>
        <v>38</v>
      </c>
      <c r="C112" s="11"/>
      <c r="D112" s="8"/>
      <c r="E112" s="8">
        <v>5</v>
      </c>
      <c r="F112" s="8">
        <v>4</v>
      </c>
      <c r="G112" s="9">
        <f t="shared" si="20"/>
        <v>1</v>
      </c>
      <c r="H112" s="9">
        <f t="shared" si="21"/>
        <v>37</v>
      </c>
      <c r="I112" s="10">
        <f t="shared" si="22"/>
        <v>6</v>
      </c>
    </row>
    <row r="113" spans="1:9" ht="12.75">
      <c r="A113" s="8" t="s">
        <v>12</v>
      </c>
      <c r="B113" s="9">
        <f t="shared" si="19"/>
        <v>34</v>
      </c>
      <c r="C113" s="8"/>
      <c r="D113" s="8"/>
      <c r="E113" s="8">
        <v>5</v>
      </c>
      <c r="F113" s="8">
        <v>4</v>
      </c>
      <c r="G113" s="9">
        <f t="shared" si="20"/>
        <v>1</v>
      </c>
      <c r="H113" s="9">
        <f t="shared" si="21"/>
        <v>33</v>
      </c>
      <c r="I113" s="10">
        <f t="shared" si="22"/>
        <v>6</v>
      </c>
    </row>
    <row r="114" spans="1:9" ht="12.75">
      <c r="A114" s="8" t="s">
        <v>13</v>
      </c>
      <c r="B114" s="9">
        <f t="shared" si="19"/>
        <v>27</v>
      </c>
      <c r="C114" s="8"/>
      <c r="D114" s="8"/>
      <c r="E114" s="8">
        <v>6</v>
      </c>
      <c r="F114" s="8">
        <v>5</v>
      </c>
      <c r="G114" s="9">
        <f t="shared" si="20"/>
        <v>1</v>
      </c>
      <c r="H114" s="9">
        <f t="shared" si="21"/>
        <v>26</v>
      </c>
      <c r="I114" s="10">
        <f t="shared" si="22"/>
        <v>6</v>
      </c>
    </row>
    <row r="115" spans="1:9" ht="12.75">
      <c r="A115" s="8" t="s">
        <v>14</v>
      </c>
      <c r="B115" s="9">
        <f t="shared" si="19"/>
        <v>21</v>
      </c>
      <c r="C115" s="8"/>
      <c r="D115" s="8"/>
      <c r="E115" s="8">
        <v>4</v>
      </c>
      <c r="F115" s="8">
        <v>3</v>
      </c>
      <c r="G115" s="9">
        <f t="shared" si="20"/>
        <v>1</v>
      </c>
      <c r="H115" s="9">
        <f t="shared" si="21"/>
        <v>20</v>
      </c>
      <c r="I115" s="10">
        <f t="shared" si="22"/>
        <v>6</v>
      </c>
    </row>
    <row r="116" spans="1:9" ht="12.75">
      <c r="A116" s="8" t="s">
        <v>15</v>
      </c>
      <c r="B116" s="9">
        <f t="shared" si="19"/>
        <v>7</v>
      </c>
      <c r="C116" s="8"/>
      <c r="D116" s="8">
        <v>32</v>
      </c>
      <c r="E116" s="8">
        <v>5</v>
      </c>
      <c r="F116" s="8">
        <v>5</v>
      </c>
      <c r="G116" s="9">
        <f t="shared" si="20"/>
        <v>0</v>
      </c>
      <c r="H116" s="9">
        <f t="shared" si="21"/>
        <v>39</v>
      </c>
      <c r="I116" s="10">
        <f t="shared" si="22"/>
        <v>0</v>
      </c>
    </row>
    <row r="117" spans="1:9" ht="12.75">
      <c r="A117" s="8" t="s">
        <v>16</v>
      </c>
      <c r="B117" s="9">
        <f t="shared" si="19"/>
        <v>22</v>
      </c>
      <c r="C117" s="8"/>
      <c r="D117" s="8"/>
      <c r="E117" s="8">
        <v>4</v>
      </c>
      <c r="F117" s="8">
        <v>4</v>
      </c>
      <c r="G117" s="9">
        <f t="shared" si="20"/>
        <v>0</v>
      </c>
      <c r="H117" s="9">
        <f t="shared" si="21"/>
        <v>22</v>
      </c>
      <c r="I117" s="10">
        <f t="shared" si="22"/>
        <v>0</v>
      </c>
    </row>
    <row r="118" spans="1:9" ht="12.75">
      <c r="A118" s="8" t="s">
        <v>17</v>
      </c>
      <c r="B118" s="9">
        <f t="shared" si="19"/>
        <v>26</v>
      </c>
      <c r="C118" s="8"/>
      <c r="D118" s="8"/>
      <c r="E118" s="8">
        <v>4</v>
      </c>
      <c r="F118" s="8">
        <v>2</v>
      </c>
      <c r="G118" s="9">
        <f t="shared" si="20"/>
        <v>2</v>
      </c>
      <c r="H118" s="9">
        <f t="shared" si="21"/>
        <v>24</v>
      </c>
      <c r="I118" s="10">
        <f t="shared" si="22"/>
        <v>12</v>
      </c>
    </row>
    <row r="119" spans="1:9" ht="12.75">
      <c r="A119" s="8" t="s">
        <v>18</v>
      </c>
      <c r="B119" s="9">
        <f t="shared" si="19"/>
        <v>22</v>
      </c>
      <c r="C119" s="8"/>
      <c r="D119" s="8"/>
      <c r="E119" s="8">
        <v>5</v>
      </c>
      <c r="F119" s="8">
        <v>2</v>
      </c>
      <c r="G119" s="9">
        <f t="shared" si="20"/>
        <v>3</v>
      </c>
      <c r="H119" s="9">
        <f t="shared" si="21"/>
        <v>19</v>
      </c>
      <c r="I119" s="10">
        <f t="shared" si="22"/>
        <v>18</v>
      </c>
    </row>
    <row r="120" spans="1:9" ht="12.75">
      <c r="A120" s="8" t="s">
        <v>19</v>
      </c>
      <c r="B120" s="9">
        <f t="shared" si="19"/>
        <v>36</v>
      </c>
      <c r="C120" s="8"/>
      <c r="D120" s="8"/>
      <c r="E120" s="8">
        <v>5</v>
      </c>
      <c r="F120" s="8">
        <v>3</v>
      </c>
      <c r="G120" s="9">
        <f t="shared" si="20"/>
        <v>2</v>
      </c>
      <c r="H120" s="9">
        <f t="shared" si="21"/>
        <v>34</v>
      </c>
      <c r="I120" s="10">
        <f t="shared" si="22"/>
        <v>12</v>
      </c>
    </row>
    <row r="121" spans="1:9" ht="12.75">
      <c r="A121" s="8" t="s">
        <v>20</v>
      </c>
      <c r="B121" s="9">
        <f t="shared" si="19"/>
        <v>34</v>
      </c>
      <c r="C121" s="8"/>
      <c r="D121" s="8"/>
      <c r="E121" s="8">
        <v>5</v>
      </c>
      <c r="F121" s="8">
        <v>3</v>
      </c>
      <c r="G121" s="9">
        <f t="shared" si="20"/>
        <v>2</v>
      </c>
      <c r="H121" s="9">
        <f t="shared" si="21"/>
        <v>32</v>
      </c>
      <c r="I121" s="10">
        <f t="shared" si="22"/>
        <v>12</v>
      </c>
    </row>
    <row r="122" spans="1:9" ht="12.75">
      <c r="A122" s="8" t="s">
        <v>21</v>
      </c>
      <c r="B122" s="9">
        <f t="shared" si="19"/>
        <v>9</v>
      </c>
      <c r="C122" s="8"/>
      <c r="D122" s="8"/>
      <c r="E122" s="8">
        <v>2</v>
      </c>
      <c r="F122" s="8">
        <v>2</v>
      </c>
      <c r="G122" s="9">
        <f t="shared" si="20"/>
        <v>0</v>
      </c>
      <c r="H122" s="9">
        <f t="shared" si="21"/>
        <v>9</v>
      </c>
      <c r="I122" s="10">
        <f t="shared" si="22"/>
        <v>0</v>
      </c>
    </row>
    <row r="123" spans="1:9" ht="12.75">
      <c r="A123" s="8" t="s">
        <v>22</v>
      </c>
      <c r="B123" s="9">
        <f t="shared" si="19"/>
        <v>35</v>
      </c>
      <c r="C123" s="8"/>
      <c r="D123" s="8"/>
      <c r="E123" s="8">
        <v>5</v>
      </c>
      <c r="F123" s="8">
        <v>5</v>
      </c>
      <c r="G123" s="9">
        <f t="shared" si="20"/>
        <v>0</v>
      </c>
      <c r="H123" s="9">
        <f t="shared" si="21"/>
        <v>35</v>
      </c>
      <c r="I123" s="10">
        <f t="shared" si="22"/>
        <v>0</v>
      </c>
    </row>
    <row r="124" spans="1:9" ht="12.75">
      <c r="A124" s="8" t="s">
        <v>23</v>
      </c>
      <c r="B124" s="9">
        <f t="shared" si="19"/>
        <v>23</v>
      </c>
      <c r="C124" s="11"/>
      <c r="D124" s="8"/>
      <c r="E124" s="8">
        <v>6</v>
      </c>
      <c r="F124" s="8">
        <v>1</v>
      </c>
      <c r="G124" s="9">
        <f t="shared" si="20"/>
        <v>5</v>
      </c>
      <c r="H124" s="9">
        <f t="shared" si="21"/>
        <v>18</v>
      </c>
      <c r="I124" s="10">
        <f t="shared" si="22"/>
        <v>30</v>
      </c>
    </row>
    <row r="125" spans="1:9" ht="12.75">
      <c r="A125" s="8" t="s">
        <v>24</v>
      </c>
      <c r="B125" s="9">
        <f t="shared" si="19"/>
        <v>23</v>
      </c>
      <c r="C125" s="8"/>
      <c r="D125" s="8"/>
      <c r="E125" s="8">
        <v>3</v>
      </c>
      <c r="F125" s="8">
        <v>3</v>
      </c>
      <c r="G125" s="9">
        <f t="shared" si="20"/>
        <v>0</v>
      </c>
      <c r="H125" s="9">
        <f t="shared" si="21"/>
        <v>23</v>
      </c>
      <c r="I125" s="10">
        <f t="shared" si="22"/>
        <v>0</v>
      </c>
    </row>
    <row r="126" spans="1:9" ht="12.75">
      <c r="A126" s="8" t="s">
        <v>25</v>
      </c>
      <c r="B126" s="9">
        <f t="shared" si="19"/>
        <v>33</v>
      </c>
      <c r="C126" s="8"/>
      <c r="D126" s="8"/>
      <c r="E126" s="8">
        <v>10</v>
      </c>
      <c r="F126" s="8">
        <v>7</v>
      </c>
      <c r="G126" s="9">
        <f t="shared" si="20"/>
        <v>3</v>
      </c>
      <c r="H126" s="9">
        <f t="shared" si="21"/>
        <v>30</v>
      </c>
      <c r="I126" s="10">
        <f t="shared" si="22"/>
        <v>18</v>
      </c>
    </row>
    <row r="127" spans="1:9" ht="12.75">
      <c r="A127" s="8" t="s">
        <v>26</v>
      </c>
      <c r="B127" s="9">
        <f t="shared" si="19"/>
        <v>9</v>
      </c>
      <c r="C127" s="8"/>
      <c r="D127" s="8"/>
      <c r="E127" s="8">
        <v>5</v>
      </c>
      <c r="F127" s="8">
        <v>3</v>
      </c>
      <c r="G127" s="9">
        <f t="shared" si="20"/>
        <v>2</v>
      </c>
      <c r="H127" s="9">
        <f t="shared" si="21"/>
        <v>7</v>
      </c>
      <c r="I127" s="10">
        <f t="shared" si="22"/>
        <v>12</v>
      </c>
    </row>
    <row r="128" spans="1:9" ht="12.75">
      <c r="A128" s="8" t="s">
        <v>27</v>
      </c>
      <c r="B128" s="9">
        <f t="shared" si="19"/>
        <v>30</v>
      </c>
      <c r="C128" s="8"/>
      <c r="D128" s="8"/>
      <c r="E128" s="8">
        <v>3</v>
      </c>
      <c r="F128" s="8">
        <v>3</v>
      </c>
      <c r="G128" s="9">
        <f t="shared" si="20"/>
        <v>0</v>
      </c>
      <c r="H128" s="9">
        <f t="shared" si="21"/>
        <v>30</v>
      </c>
      <c r="I128" s="10">
        <f t="shared" si="22"/>
        <v>0</v>
      </c>
    </row>
    <row r="129" spans="1:9" ht="12.75">
      <c r="A129" s="8" t="s">
        <v>28</v>
      </c>
      <c r="B129" s="9">
        <f t="shared" si="19"/>
        <v>11</v>
      </c>
      <c r="C129" s="8"/>
      <c r="D129" s="8">
        <v>31</v>
      </c>
      <c r="E129" s="8">
        <v>8</v>
      </c>
      <c r="F129" s="8">
        <v>4</v>
      </c>
      <c r="G129" s="9">
        <f t="shared" si="20"/>
        <v>4</v>
      </c>
      <c r="H129" s="9">
        <f t="shared" si="21"/>
        <v>38</v>
      </c>
      <c r="I129" s="10">
        <f t="shared" si="22"/>
        <v>24</v>
      </c>
    </row>
    <row r="130" spans="1:9" ht="12.75">
      <c r="A130" s="8" t="s">
        <v>30</v>
      </c>
      <c r="B130" s="9">
        <f t="shared" si="19"/>
        <v>24</v>
      </c>
      <c r="C130" s="8">
        <v>1</v>
      </c>
      <c r="D130" s="8"/>
      <c r="E130" s="8">
        <v>3</v>
      </c>
      <c r="F130" s="8">
        <v>3</v>
      </c>
      <c r="G130" s="9">
        <f t="shared" si="20"/>
        <v>0</v>
      </c>
      <c r="H130" s="9">
        <f t="shared" si="21"/>
        <v>23</v>
      </c>
      <c r="I130" s="10">
        <f t="shared" si="22"/>
        <v>0</v>
      </c>
    </row>
    <row r="131" spans="1:9" ht="12.75">
      <c r="A131" s="13" t="s">
        <v>31</v>
      </c>
      <c r="B131" s="9">
        <f t="shared" si="19"/>
        <v>19</v>
      </c>
      <c r="C131" s="8"/>
      <c r="D131" s="8"/>
      <c r="E131" s="8">
        <v>2</v>
      </c>
      <c r="F131" s="8">
        <v>1</v>
      </c>
      <c r="G131" s="9">
        <f t="shared" si="20"/>
        <v>1</v>
      </c>
      <c r="H131" s="9">
        <f t="shared" si="21"/>
        <v>18</v>
      </c>
      <c r="I131" s="10">
        <f t="shared" si="22"/>
        <v>6</v>
      </c>
    </row>
    <row r="132" spans="1:9" ht="12.75">
      <c r="A132" s="13" t="s">
        <v>32</v>
      </c>
      <c r="B132" s="9">
        <f t="shared" si="19"/>
        <v>5</v>
      </c>
      <c r="C132" s="8"/>
      <c r="D132" s="8"/>
      <c r="E132" s="8">
        <v>2</v>
      </c>
      <c r="F132" s="8">
        <v>2</v>
      </c>
      <c r="G132" s="9">
        <f t="shared" si="20"/>
        <v>0</v>
      </c>
      <c r="H132" s="9">
        <f t="shared" si="21"/>
        <v>5</v>
      </c>
      <c r="I132" s="10">
        <f t="shared" si="22"/>
        <v>0</v>
      </c>
    </row>
    <row r="133" spans="1:9" ht="12.75">
      <c r="A133" s="14" t="s">
        <v>33</v>
      </c>
      <c r="B133" s="15">
        <f>SUM(B111:B132)</f>
        <v>496</v>
      </c>
      <c r="C133" s="14"/>
      <c r="D133" s="14"/>
      <c r="E133" s="15">
        <f t="shared" ref="E133:F133" si="23">SUM(E110:E132)</f>
        <v>103</v>
      </c>
      <c r="F133" s="15">
        <f t="shared" si="23"/>
        <v>75</v>
      </c>
      <c r="G133" s="15">
        <f t="shared" ref="G133:H133" si="24">SUM(G111:G132)</f>
        <v>28</v>
      </c>
      <c r="H133" s="15">
        <f t="shared" si="24"/>
        <v>566</v>
      </c>
      <c r="I133" s="16">
        <f>SUM(I110:I132)</f>
        <v>168</v>
      </c>
    </row>
    <row r="134" spans="1:9" ht="12.75">
      <c r="A134" s="17"/>
      <c r="B134" s="17"/>
      <c r="C134" s="17"/>
      <c r="D134" s="17"/>
      <c r="E134" s="17"/>
      <c r="F134" s="134" t="s">
        <v>34</v>
      </c>
      <c r="G134" s="133"/>
      <c r="H134" s="18"/>
      <c r="I134" s="19"/>
    </row>
    <row r="136" spans="1:9">
      <c r="A136" s="1"/>
      <c r="B136" s="131" t="s">
        <v>67</v>
      </c>
      <c r="C136" s="132"/>
      <c r="D136" s="132"/>
      <c r="E136" s="132"/>
      <c r="F136" s="132"/>
      <c r="G136" s="132"/>
      <c r="H136" s="132"/>
      <c r="I136" s="133"/>
    </row>
    <row r="137" spans="1:9" ht="45">
      <c r="A137" s="2" t="s">
        <v>1</v>
      </c>
      <c r="B137" s="3" t="s">
        <v>2</v>
      </c>
      <c r="C137" s="4" t="s">
        <v>3</v>
      </c>
      <c r="D137" s="5" t="s">
        <v>4</v>
      </c>
      <c r="E137" s="2" t="s">
        <v>5</v>
      </c>
      <c r="F137" s="2" t="s">
        <v>6</v>
      </c>
      <c r="G137" s="2" t="s">
        <v>7</v>
      </c>
      <c r="H137" s="6" t="s">
        <v>8</v>
      </c>
      <c r="I137" s="7" t="s">
        <v>9</v>
      </c>
    </row>
    <row r="138" spans="1:9" ht="12.75">
      <c r="A138" s="8" t="s">
        <v>10</v>
      </c>
      <c r="B138" s="9">
        <f t="shared" ref="B138:B159" si="25">H111</f>
        <v>44</v>
      </c>
      <c r="C138" s="8"/>
      <c r="D138" s="8"/>
      <c r="E138" s="8">
        <v>6</v>
      </c>
      <c r="F138" s="8">
        <v>6</v>
      </c>
      <c r="G138" s="9">
        <f t="shared" ref="G138:G159" si="26">E138-F138</f>
        <v>0</v>
      </c>
      <c r="H138" s="9">
        <f t="shared" ref="H138:H159" si="27">B138-C138+D138-G138</f>
        <v>44</v>
      </c>
      <c r="I138" s="10">
        <f t="shared" ref="I138:I159" si="28">G138*6</f>
        <v>0</v>
      </c>
    </row>
    <row r="139" spans="1:9" ht="12.75">
      <c r="A139" s="8" t="s">
        <v>11</v>
      </c>
      <c r="B139" s="9">
        <f t="shared" si="25"/>
        <v>37</v>
      </c>
      <c r="C139" s="11"/>
      <c r="D139" s="8"/>
      <c r="E139" s="8">
        <v>5</v>
      </c>
      <c r="F139" s="8">
        <v>5</v>
      </c>
      <c r="G139" s="9">
        <f t="shared" si="26"/>
        <v>0</v>
      </c>
      <c r="H139" s="9">
        <f t="shared" si="27"/>
        <v>37</v>
      </c>
      <c r="I139" s="10">
        <f t="shared" si="28"/>
        <v>0</v>
      </c>
    </row>
    <row r="140" spans="1:9" ht="12.75">
      <c r="A140" s="8" t="s">
        <v>12</v>
      </c>
      <c r="B140" s="9">
        <f t="shared" si="25"/>
        <v>33</v>
      </c>
      <c r="C140" s="8"/>
      <c r="D140" s="8"/>
      <c r="E140" s="8">
        <v>4</v>
      </c>
      <c r="F140" s="8">
        <v>3</v>
      </c>
      <c r="G140" s="9">
        <f t="shared" si="26"/>
        <v>1</v>
      </c>
      <c r="H140" s="9">
        <f t="shared" si="27"/>
        <v>32</v>
      </c>
      <c r="I140" s="10">
        <f t="shared" si="28"/>
        <v>6</v>
      </c>
    </row>
    <row r="141" spans="1:9" ht="12.75">
      <c r="A141" s="8" t="s">
        <v>13</v>
      </c>
      <c r="B141" s="9">
        <f t="shared" si="25"/>
        <v>26</v>
      </c>
      <c r="C141" s="8"/>
      <c r="D141" s="8"/>
      <c r="E141" s="8">
        <v>6</v>
      </c>
      <c r="F141" s="8">
        <v>5</v>
      </c>
      <c r="G141" s="9">
        <f t="shared" si="26"/>
        <v>1</v>
      </c>
      <c r="H141" s="9">
        <f t="shared" si="27"/>
        <v>25</v>
      </c>
      <c r="I141" s="10">
        <f t="shared" si="28"/>
        <v>6</v>
      </c>
    </row>
    <row r="142" spans="1:9" ht="12.75">
      <c r="A142" s="8" t="s">
        <v>14</v>
      </c>
      <c r="B142" s="9">
        <f t="shared" si="25"/>
        <v>20</v>
      </c>
      <c r="C142" s="8"/>
      <c r="D142" s="8"/>
      <c r="E142" s="8">
        <v>4</v>
      </c>
      <c r="F142" s="8">
        <v>3</v>
      </c>
      <c r="G142" s="9">
        <f t="shared" si="26"/>
        <v>1</v>
      </c>
      <c r="H142" s="9">
        <f t="shared" si="27"/>
        <v>19</v>
      </c>
      <c r="I142" s="10">
        <f t="shared" si="28"/>
        <v>6</v>
      </c>
    </row>
    <row r="143" spans="1:9" ht="12.75">
      <c r="A143" s="8" t="s">
        <v>15</v>
      </c>
      <c r="B143" s="9">
        <f t="shared" si="25"/>
        <v>39</v>
      </c>
      <c r="C143" s="8"/>
      <c r="D143" s="8"/>
      <c r="E143" s="8">
        <v>6</v>
      </c>
      <c r="F143" s="8">
        <v>4</v>
      </c>
      <c r="G143" s="9">
        <f t="shared" si="26"/>
        <v>2</v>
      </c>
      <c r="H143" s="9">
        <f t="shared" si="27"/>
        <v>37</v>
      </c>
      <c r="I143" s="10">
        <f t="shared" si="28"/>
        <v>12</v>
      </c>
    </row>
    <row r="144" spans="1:9" ht="12.75">
      <c r="A144" s="8" t="s">
        <v>16</v>
      </c>
      <c r="B144" s="9">
        <f t="shared" si="25"/>
        <v>22</v>
      </c>
      <c r="C144" s="8"/>
      <c r="D144" s="8"/>
      <c r="E144" s="8">
        <v>4</v>
      </c>
      <c r="F144" s="8">
        <v>3</v>
      </c>
      <c r="G144" s="9">
        <f t="shared" si="26"/>
        <v>1</v>
      </c>
      <c r="H144" s="9">
        <f t="shared" si="27"/>
        <v>21</v>
      </c>
      <c r="I144" s="10">
        <f t="shared" si="28"/>
        <v>6</v>
      </c>
    </row>
    <row r="145" spans="1:9" ht="12.75">
      <c r="A145" s="8" t="s">
        <v>17</v>
      </c>
      <c r="B145" s="9">
        <f t="shared" si="25"/>
        <v>24</v>
      </c>
      <c r="C145" s="8"/>
      <c r="D145" s="8"/>
      <c r="E145" s="8">
        <v>4</v>
      </c>
      <c r="F145" s="8">
        <v>4</v>
      </c>
      <c r="G145" s="9">
        <f t="shared" si="26"/>
        <v>0</v>
      </c>
      <c r="H145" s="9">
        <f t="shared" si="27"/>
        <v>24</v>
      </c>
      <c r="I145" s="10">
        <f t="shared" si="28"/>
        <v>0</v>
      </c>
    </row>
    <row r="146" spans="1:9" ht="12.75">
      <c r="A146" s="8" t="s">
        <v>18</v>
      </c>
      <c r="B146" s="9">
        <f t="shared" si="25"/>
        <v>19</v>
      </c>
      <c r="C146" s="8"/>
      <c r="D146" s="8"/>
      <c r="E146" s="8">
        <v>4</v>
      </c>
      <c r="F146" s="8">
        <v>4</v>
      </c>
      <c r="G146" s="9">
        <f t="shared" si="26"/>
        <v>0</v>
      </c>
      <c r="H146" s="9">
        <f t="shared" si="27"/>
        <v>19</v>
      </c>
      <c r="I146" s="10">
        <f t="shared" si="28"/>
        <v>0</v>
      </c>
    </row>
    <row r="147" spans="1:9" ht="12.75">
      <c r="A147" s="8" t="s">
        <v>19</v>
      </c>
      <c r="B147" s="9">
        <f t="shared" si="25"/>
        <v>34</v>
      </c>
      <c r="C147" s="8"/>
      <c r="D147" s="8"/>
      <c r="E147" s="8">
        <v>4</v>
      </c>
      <c r="F147" s="8">
        <v>3</v>
      </c>
      <c r="G147" s="9">
        <f t="shared" si="26"/>
        <v>1</v>
      </c>
      <c r="H147" s="9">
        <f t="shared" si="27"/>
        <v>33</v>
      </c>
      <c r="I147" s="10">
        <f t="shared" si="28"/>
        <v>6</v>
      </c>
    </row>
    <row r="148" spans="1:9" ht="12.75">
      <c r="A148" s="8" t="s">
        <v>20</v>
      </c>
      <c r="B148" s="9">
        <f t="shared" si="25"/>
        <v>32</v>
      </c>
      <c r="C148" s="8"/>
      <c r="D148" s="8"/>
      <c r="E148" s="8">
        <v>5</v>
      </c>
      <c r="F148" s="8">
        <v>3</v>
      </c>
      <c r="G148" s="9">
        <f t="shared" si="26"/>
        <v>2</v>
      </c>
      <c r="H148" s="9">
        <f t="shared" si="27"/>
        <v>30</v>
      </c>
      <c r="I148" s="10">
        <f t="shared" si="28"/>
        <v>12</v>
      </c>
    </row>
    <row r="149" spans="1:9" ht="12.75">
      <c r="A149" s="8" t="s">
        <v>21</v>
      </c>
      <c r="B149" s="9">
        <f t="shared" si="25"/>
        <v>9</v>
      </c>
      <c r="C149" s="8"/>
      <c r="D149" s="8"/>
      <c r="E149" s="8">
        <v>2</v>
      </c>
      <c r="F149" s="8">
        <v>2</v>
      </c>
      <c r="G149" s="9">
        <f t="shared" si="26"/>
        <v>0</v>
      </c>
      <c r="H149" s="9">
        <f t="shared" si="27"/>
        <v>9</v>
      </c>
      <c r="I149" s="10">
        <f t="shared" si="28"/>
        <v>0</v>
      </c>
    </row>
    <row r="150" spans="1:9" ht="12.75">
      <c r="A150" s="8" t="s">
        <v>22</v>
      </c>
      <c r="B150" s="9">
        <f t="shared" si="25"/>
        <v>35</v>
      </c>
      <c r="C150" s="8"/>
      <c r="D150" s="8"/>
      <c r="E150" s="8">
        <v>4</v>
      </c>
      <c r="F150" s="8">
        <v>2</v>
      </c>
      <c r="G150" s="9">
        <f t="shared" si="26"/>
        <v>2</v>
      </c>
      <c r="H150" s="9">
        <f t="shared" si="27"/>
        <v>33</v>
      </c>
      <c r="I150" s="10">
        <f t="shared" si="28"/>
        <v>12</v>
      </c>
    </row>
    <row r="151" spans="1:9" ht="12.75">
      <c r="A151" s="8" t="s">
        <v>23</v>
      </c>
      <c r="B151" s="9">
        <f t="shared" si="25"/>
        <v>18</v>
      </c>
      <c r="C151" s="11"/>
      <c r="D151" s="8"/>
      <c r="E151" s="8">
        <v>6</v>
      </c>
      <c r="F151" s="8">
        <v>3</v>
      </c>
      <c r="G151" s="9">
        <f t="shared" si="26"/>
        <v>3</v>
      </c>
      <c r="H151" s="9">
        <f t="shared" si="27"/>
        <v>15</v>
      </c>
      <c r="I151" s="10">
        <f t="shared" si="28"/>
        <v>18</v>
      </c>
    </row>
    <row r="152" spans="1:9" ht="12.75">
      <c r="A152" s="8" t="s">
        <v>24</v>
      </c>
      <c r="B152" s="9">
        <f t="shared" si="25"/>
        <v>23</v>
      </c>
      <c r="C152" s="8">
        <v>1</v>
      </c>
      <c r="D152" s="8"/>
      <c r="E152" s="8">
        <v>3</v>
      </c>
      <c r="F152" s="8">
        <v>3</v>
      </c>
      <c r="G152" s="9">
        <f t="shared" si="26"/>
        <v>0</v>
      </c>
      <c r="H152" s="9">
        <f t="shared" si="27"/>
        <v>22</v>
      </c>
      <c r="I152" s="10">
        <f t="shared" si="28"/>
        <v>0</v>
      </c>
    </row>
    <row r="153" spans="1:9" ht="12.75">
      <c r="A153" s="8" t="s">
        <v>25</v>
      </c>
      <c r="B153" s="9">
        <f t="shared" si="25"/>
        <v>30</v>
      </c>
      <c r="C153" s="8"/>
      <c r="D153" s="8"/>
      <c r="E153" s="8">
        <v>10</v>
      </c>
      <c r="F153" s="8">
        <v>7</v>
      </c>
      <c r="G153" s="9">
        <f t="shared" si="26"/>
        <v>3</v>
      </c>
      <c r="H153" s="9">
        <f t="shared" si="27"/>
        <v>27</v>
      </c>
      <c r="I153" s="10">
        <f t="shared" si="28"/>
        <v>18</v>
      </c>
    </row>
    <row r="154" spans="1:9" ht="12.75">
      <c r="A154" s="8" t="s">
        <v>26</v>
      </c>
      <c r="B154" s="9">
        <f t="shared" si="25"/>
        <v>7</v>
      </c>
      <c r="C154" s="8"/>
      <c r="D154" s="8"/>
      <c r="E154" s="8">
        <v>4</v>
      </c>
      <c r="F154" s="8">
        <v>4</v>
      </c>
      <c r="G154" s="9">
        <f t="shared" si="26"/>
        <v>0</v>
      </c>
      <c r="H154" s="9">
        <f t="shared" si="27"/>
        <v>7</v>
      </c>
      <c r="I154" s="10">
        <f t="shared" si="28"/>
        <v>0</v>
      </c>
    </row>
    <row r="155" spans="1:9" ht="12.75">
      <c r="A155" s="8" t="s">
        <v>27</v>
      </c>
      <c r="B155" s="9">
        <f t="shared" si="25"/>
        <v>30</v>
      </c>
      <c r="C155" s="8"/>
      <c r="D155" s="8"/>
      <c r="E155" s="8">
        <v>3</v>
      </c>
      <c r="F155" s="8">
        <v>3</v>
      </c>
      <c r="G155" s="9">
        <f t="shared" si="26"/>
        <v>0</v>
      </c>
      <c r="H155" s="9">
        <f t="shared" si="27"/>
        <v>30</v>
      </c>
      <c r="I155" s="10">
        <f t="shared" si="28"/>
        <v>0</v>
      </c>
    </row>
    <row r="156" spans="1:9" ht="12.75">
      <c r="A156" s="8" t="s">
        <v>28</v>
      </c>
      <c r="B156" s="9">
        <f t="shared" si="25"/>
        <v>38</v>
      </c>
      <c r="C156" s="8"/>
      <c r="D156" s="8"/>
      <c r="E156" s="8">
        <v>8</v>
      </c>
      <c r="F156" s="8">
        <v>6</v>
      </c>
      <c r="G156" s="9">
        <f t="shared" si="26"/>
        <v>2</v>
      </c>
      <c r="H156" s="9">
        <f t="shared" si="27"/>
        <v>36</v>
      </c>
      <c r="I156" s="10">
        <f t="shared" si="28"/>
        <v>12</v>
      </c>
    </row>
    <row r="157" spans="1:9" ht="12.75">
      <c r="A157" s="8" t="s">
        <v>30</v>
      </c>
      <c r="B157" s="9">
        <f t="shared" si="25"/>
        <v>23</v>
      </c>
      <c r="C157" s="8">
        <v>1</v>
      </c>
      <c r="D157" s="8"/>
      <c r="E157" s="8">
        <v>3</v>
      </c>
      <c r="F157" s="8">
        <v>2</v>
      </c>
      <c r="G157" s="9">
        <f t="shared" si="26"/>
        <v>1</v>
      </c>
      <c r="H157" s="9">
        <f t="shared" si="27"/>
        <v>21</v>
      </c>
      <c r="I157" s="10">
        <f t="shared" si="28"/>
        <v>6</v>
      </c>
    </row>
    <row r="158" spans="1:9" ht="12.75">
      <c r="A158" s="13" t="s">
        <v>31</v>
      </c>
      <c r="B158" s="9">
        <f t="shared" si="25"/>
        <v>18</v>
      </c>
      <c r="C158" s="8"/>
      <c r="D158" s="8"/>
      <c r="E158" s="8">
        <v>2</v>
      </c>
      <c r="F158" s="8">
        <v>2</v>
      </c>
      <c r="G158" s="9">
        <f t="shared" si="26"/>
        <v>0</v>
      </c>
      <c r="H158" s="9">
        <f t="shared" si="27"/>
        <v>18</v>
      </c>
      <c r="I158" s="10">
        <f t="shared" si="28"/>
        <v>0</v>
      </c>
    </row>
    <row r="159" spans="1:9" ht="12.75">
      <c r="A159" s="13" t="s">
        <v>32</v>
      </c>
      <c r="B159" s="9">
        <f t="shared" si="25"/>
        <v>5</v>
      </c>
      <c r="C159" s="8"/>
      <c r="D159" s="8"/>
      <c r="E159" s="8">
        <v>2</v>
      </c>
      <c r="F159" s="8">
        <v>2</v>
      </c>
      <c r="G159" s="9">
        <f t="shared" si="26"/>
        <v>0</v>
      </c>
      <c r="H159" s="9">
        <f t="shared" si="27"/>
        <v>5</v>
      </c>
      <c r="I159" s="10">
        <f t="shared" si="28"/>
        <v>0</v>
      </c>
    </row>
    <row r="160" spans="1:9" ht="12.75">
      <c r="A160" s="14" t="s">
        <v>33</v>
      </c>
      <c r="B160" s="15">
        <f>SUM(B138:B159)</f>
        <v>566</v>
      </c>
      <c r="C160" s="14"/>
      <c r="D160" s="14"/>
      <c r="E160" s="15">
        <f t="shared" ref="E160:G160" si="29">SUM(E137:E159)</f>
        <v>99</v>
      </c>
      <c r="F160" s="15">
        <f t="shared" si="29"/>
        <v>79</v>
      </c>
      <c r="G160" s="15">
        <f t="shared" si="29"/>
        <v>20</v>
      </c>
      <c r="H160" s="15">
        <f>SUM(H138:H159)</f>
        <v>544</v>
      </c>
      <c r="I160" s="16">
        <f>SUM(I137:I159)</f>
        <v>120</v>
      </c>
    </row>
    <row r="161" spans="1:9" ht="12.75">
      <c r="A161" s="17"/>
      <c r="B161" s="17"/>
      <c r="C161" s="17"/>
      <c r="D161" s="17"/>
      <c r="E161" s="17"/>
      <c r="F161" s="134" t="s">
        <v>34</v>
      </c>
      <c r="G161" s="133"/>
      <c r="H161" s="18"/>
      <c r="I161" s="19"/>
    </row>
    <row r="163" spans="1:9">
      <c r="A163" s="1"/>
      <c r="B163" s="131" t="s">
        <v>68</v>
      </c>
      <c r="C163" s="132"/>
      <c r="D163" s="132"/>
      <c r="E163" s="132"/>
      <c r="F163" s="132"/>
      <c r="G163" s="132"/>
      <c r="H163" s="132"/>
      <c r="I163" s="133"/>
    </row>
    <row r="164" spans="1:9" ht="45">
      <c r="A164" s="2" t="s">
        <v>1</v>
      </c>
      <c r="B164" s="3" t="s">
        <v>2</v>
      </c>
      <c r="C164" s="4" t="s">
        <v>3</v>
      </c>
      <c r="D164" s="5" t="s">
        <v>4</v>
      </c>
      <c r="E164" s="2" t="s">
        <v>5</v>
      </c>
      <c r="F164" s="2" t="s">
        <v>6</v>
      </c>
      <c r="G164" s="2" t="s">
        <v>7</v>
      </c>
      <c r="H164" s="6" t="s">
        <v>8</v>
      </c>
      <c r="I164" s="7" t="s">
        <v>9</v>
      </c>
    </row>
    <row r="165" spans="1:9" ht="12.75">
      <c r="A165" s="8" t="s">
        <v>10</v>
      </c>
      <c r="B165" s="9">
        <f t="shared" ref="B165:B186" si="30">H138</f>
        <v>44</v>
      </c>
      <c r="C165" s="8"/>
      <c r="D165" s="8"/>
      <c r="E165" s="8">
        <v>6</v>
      </c>
      <c r="F165" s="8">
        <v>0</v>
      </c>
      <c r="G165" s="9">
        <f t="shared" ref="G165:G186" si="31">E165-F165</f>
        <v>6</v>
      </c>
      <c r="H165" s="9">
        <f t="shared" ref="H165:H186" si="32">B165-C165+D165-G165</f>
        <v>38</v>
      </c>
      <c r="I165" s="10">
        <f t="shared" ref="I165:I186" si="33">G165*6</f>
        <v>36</v>
      </c>
    </row>
    <row r="166" spans="1:9" ht="12.75">
      <c r="A166" s="8" t="s">
        <v>11</v>
      </c>
      <c r="B166" s="9">
        <f t="shared" si="30"/>
        <v>37</v>
      </c>
      <c r="C166" s="11"/>
      <c r="D166" s="8"/>
      <c r="E166" s="8">
        <v>4</v>
      </c>
      <c r="F166" s="8">
        <v>2</v>
      </c>
      <c r="G166" s="9">
        <f t="shared" si="31"/>
        <v>2</v>
      </c>
      <c r="H166" s="9">
        <f t="shared" si="32"/>
        <v>35</v>
      </c>
      <c r="I166" s="10">
        <f t="shared" si="33"/>
        <v>12</v>
      </c>
    </row>
    <row r="167" spans="1:9" ht="12.75">
      <c r="A167" s="8" t="s">
        <v>12</v>
      </c>
      <c r="B167" s="9">
        <f t="shared" si="30"/>
        <v>32</v>
      </c>
      <c r="C167" s="8"/>
      <c r="D167" s="8"/>
      <c r="E167" s="8">
        <v>4</v>
      </c>
      <c r="F167" s="8">
        <v>1</v>
      </c>
      <c r="G167" s="9">
        <f t="shared" si="31"/>
        <v>3</v>
      </c>
      <c r="H167" s="9">
        <f t="shared" si="32"/>
        <v>29</v>
      </c>
      <c r="I167" s="10">
        <f t="shared" si="33"/>
        <v>18</v>
      </c>
    </row>
    <row r="168" spans="1:9" ht="12.75">
      <c r="A168" s="8" t="s">
        <v>13</v>
      </c>
      <c r="B168" s="9">
        <f t="shared" si="30"/>
        <v>25</v>
      </c>
      <c r="C168" s="8"/>
      <c r="D168" s="8"/>
      <c r="E168" s="8">
        <v>6</v>
      </c>
      <c r="F168" s="8">
        <v>1</v>
      </c>
      <c r="G168" s="9">
        <f t="shared" si="31"/>
        <v>5</v>
      </c>
      <c r="H168" s="9">
        <f t="shared" si="32"/>
        <v>20</v>
      </c>
      <c r="I168" s="10">
        <f t="shared" si="33"/>
        <v>30</v>
      </c>
    </row>
    <row r="169" spans="1:9" ht="12.75">
      <c r="A169" s="8" t="s">
        <v>14</v>
      </c>
      <c r="B169" s="9">
        <f t="shared" si="30"/>
        <v>19</v>
      </c>
      <c r="C169" s="8"/>
      <c r="D169" s="8"/>
      <c r="E169" s="8">
        <v>4</v>
      </c>
      <c r="F169" s="8">
        <v>0</v>
      </c>
      <c r="G169" s="9">
        <f t="shared" si="31"/>
        <v>4</v>
      </c>
      <c r="H169" s="9">
        <f t="shared" si="32"/>
        <v>15</v>
      </c>
      <c r="I169" s="10">
        <f t="shared" si="33"/>
        <v>24</v>
      </c>
    </row>
    <row r="170" spans="1:9" ht="12.75">
      <c r="A170" s="8" t="s">
        <v>15</v>
      </c>
      <c r="B170" s="9">
        <f t="shared" si="30"/>
        <v>37</v>
      </c>
      <c r="C170" s="8"/>
      <c r="D170" s="8"/>
      <c r="E170" s="8">
        <v>7</v>
      </c>
      <c r="F170" s="8">
        <v>1</v>
      </c>
      <c r="G170" s="9">
        <f t="shared" si="31"/>
        <v>6</v>
      </c>
      <c r="H170" s="9">
        <f t="shared" si="32"/>
        <v>31</v>
      </c>
      <c r="I170" s="10">
        <f t="shared" si="33"/>
        <v>36</v>
      </c>
    </row>
    <row r="171" spans="1:9" ht="12.75">
      <c r="A171" s="8" t="s">
        <v>16</v>
      </c>
      <c r="B171" s="9">
        <f t="shared" si="30"/>
        <v>21</v>
      </c>
      <c r="C171" s="8"/>
      <c r="D171" s="8"/>
      <c r="E171" s="8">
        <v>4</v>
      </c>
      <c r="F171" s="8">
        <v>4</v>
      </c>
      <c r="G171" s="9">
        <f t="shared" si="31"/>
        <v>0</v>
      </c>
      <c r="H171" s="9">
        <f t="shared" si="32"/>
        <v>21</v>
      </c>
      <c r="I171" s="10">
        <f t="shared" si="33"/>
        <v>0</v>
      </c>
    </row>
    <row r="172" spans="1:9" ht="12.75">
      <c r="A172" s="8" t="s">
        <v>17</v>
      </c>
      <c r="B172" s="9">
        <f t="shared" si="30"/>
        <v>24</v>
      </c>
      <c r="C172" s="8"/>
      <c r="D172" s="8"/>
      <c r="E172" s="8">
        <v>4</v>
      </c>
      <c r="F172" s="8">
        <v>3</v>
      </c>
      <c r="G172" s="9">
        <f t="shared" si="31"/>
        <v>1</v>
      </c>
      <c r="H172" s="9">
        <f t="shared" si="32"/>
        <v>23</v>
      </c>
      <c r="I172" s="10">
        <f t="shared" si="33"/>
        <v>6</v>
      </c>
    </row>
    <row r="173" spans="1:9" ht="12.75">
      <c r="A173" s="8" t="s">
        <v>18</v>
      </c>
      <c r="B173" s="9">
        <f t="shared" si="30"/>
        <v>19</v>
      </c>
      <c r="C173" s="8"/>
      <c r="D173" s="8"/>
      <c r="E173" s="8">
        <v>4</v>
      </c>
      <c r="F173" s="8">
        <v>0</v>
      </c>
      <c r="G173" s="9">
        <f t="shared" si="31"/>
        <v>4</v>
      </c>
      <c r="H173" s="9">
        <f t="shared" si="32"/>
        <v>15</v>
      </c>
      <c r="I173" s="10">
        <f t="shared" si="33"/>
        <v>24</v>
      </c>
    </row>
    <row r="174" spans="1:9" ht="12.75">
      <c r="A174" s="8" t="s">
        <v>19</v>
      </c>
      <c r="B174" s="9">
        <f t="shared" si="30"/>
        <v>33</v>
      </c>
      <c r="C174" s="8"/>
      <c r="D174" s="8"/>
      <c r="E174" s="8">
        <v>4</v>
      </c>
      <c r="F174" s="8">
        <v>0</v>
      </c>
      <c r="G174" s="9">
        <f t="shared" si="31"/>
        <v>4</v>
      </c>
      <c r="H174" s="9">
        <f t="shared" si="32"/>
        <v>29</v>
      </c>
      <c r="I174" s="10">
        <f t="shared" si="33"/>
        <v>24</v>
      </c>
    </row>
    <row r="175" spans="1:9" ht="12.75">
      <c r="A175" s="8" t="s">
        <v>20</v>
      </c>
      <c r="B175" s="9">
        <f t="shared" si="30"/>
        <v>30</v>
      </c>
      <c r="C175" s="8"/>
      <c r="D175" s="8"/>
      <c r="E175" s="8">
        <v>7</v>
      </c>
      <c r="F175" s="8">
        <v>5</v>
      </c>
      <c r="G175" s="9">
        <f t="shared" si="31"/>
        <v>2</v>
      </c>
      <c r="H175" s="9">
        <f t="shared" si="32"/>
        <v>28</v>
      </c>
      <c r="I175" s="10">
        <f t="shared" si="33"/>
        <v>12</v>
      </c>
    </row>
    <row r="176" spans="1:9" ht="12.75">
      <c r="A176" s="8" t="s">
        <v>21</v>
      </c>
      <c r="B176" s="9">
        <f t="shared" si="30"/>
        <v>9</v>
      </c>
      <c r="C176" s="8"/>
      <c r="D176" s="8"/>
      <c r="E176" s="8">
        <v>2</v>
      </c>
      <c r="F176" s="8">
        <v>2</v>
      </c>
      <c r="G176" s="9">
        <f t="shared" si="31"/>
        <v>0</v>
      </c>
      <c r="H176" s="9">
        <f t="shared" si="32"/>
        <v>9</v>
      </c>
      <c r="I176" s="10">
        <f t="shared" si="33"/>
        <v>0</v>
      </c>
    </row>
    <row r="177" spans="1:9" ht="12.75">
      <c r="A177" s="8" t="s">
        <v>22</v>
      </c>
      <c r="B177" s="9">
        <f t="shared" si="30"/>
        <v>33</v>
      </c>
      <c r="C177" s="8"/>
      <c r="D177" s="8"/>
      <c r="E177" s="8">
        <v>4</v>
      </c>
      <c r="F177" s="8">
        <v>3</v>
      </c>
      <c r="G177" s="9">
        <f t="shared" si="31"/>
        <v>1</v>
      </c>
      <c r="H177" s="9">
        <f t="shared" si="32"/>
        <v>32</v>
      </c>
      <c r="I177" s="10">
        <f t="shared" si="33"/>
        <v>6</v>
      </c>
    </row>
    <row r="178" spans="1:9" ht="12.75">
      <c r="A178" s="8" t="s">
        <v>23</v>
      </c>
      <c r="B178" s="9">
        <f t="shared" si="30"/>
        <v>15</v>
      </c>
      <c r="C178" s="11">
        <v>1</v>
      </c>
      <c r="D178" s="8">
        <v>30</v>
      </c>
      <c r="E178" s="8">
        <v>6</v>
      </c>
      <c r="F178" s="8">
        <v>2</v>
      </c>
      <c r="G178" s="9">
        <f t="shared" si="31"/>
        <v>4</v>
      </c>
      <c r="H178" s="9">
        <f t="shared" si="32"/>
        <v>40</v>
      </c>
      <c r="I178" s="10">
        <f t="shared" si="33"/>
        <v>24</v>
      </c>
    </row>
    <row r="179" spans="1:9" ht="12.75">
      <c r="A179" s="8" t="s">
        <v>24</v>
      </c>
      <c r="B179" s="9">
        <f t="shared" si="30"/>
        <v>22</v>
      </c>
      <c r="C179" s="8"/>
      <c r="D179" s="8"/>
      <c r="E179" s="8">
        <v>3</v>
      </c>
      <c r="F179" s="8">
        <v>2</v>
      </c>
      <c r="G179" s="9">
        <f t="shared" si="31"/>
        <v>1</v>
      </c>
      <c r="H179" s="9">
        <f t="shared" si="32"/>
        <v>21</v>
      </c>
      <c r="I179" s="10">
        <f t="shared" si="33"/>
        <v>6</v>
      </c>
    </row>
    <row r="180" spans="1:9" ht="12.75">
      <c r="A180" s="8" t="s">
        <v>25</v>
      </c>
      <c r="B180" s="9">
        <f t="shared" si="30"/>
        <v>27</v>
      </c>
      <c r="C180" s="8"/>
      <c r="D180" s="8"/>
      <c r="E180" s="8">
        <v>8</v>
      </c>
      <c r="F180" s="8">
        <v>1</v>
      </c>
      <c r="G180" s="9">
        <f t="shared" si="31"/>
        <v>7</v>
      </c>
      <c r="H180" s="9">
        <f t="shared" si="32"/>
        <v>20</v>
      </c>
      <c r="I180" s="10">
        <f t="shared" si="33"/>
        <v>42</v>
      </c>
    </row>
    <row r="181" spans="1:9" ht="12.75">
      <c r="A181" s="8" t="s">
        <v>26</v>
      </c>
      <c r="B181" s="9">
        <f t="shared" si="30"/>
        <v>7</v>
      </c>
      <c r="C181" s="8"/>
      <c r="D181" s="8">
        <v>31</v>
      </c>
      <c r="E181" s="8">
        <v>4</v>
      </c>
      <c r="F181" s="8">
        <v>0</v>
      </c>
      <c r="G181" s="9">
        <f t="shared" si="31"/>
        <v>4</v>
      </c>
      <c r="H181" s="9">
        <f t="shared" si="32"/>
        <v>34</v>
      </c>
      <c r="I181" s="10">
        <f t="shared" si="33"/>
        <v>24</v>
      </c>
    </row>
    <row r="182" spans="1:9" ht="12.75">
      <c r="A182" s="8" t="s">
        <v>27</v>
      </c>
      <c r="B182" s="9">
        <f t="shared" si="30"/>
        <v>30</v>
      </c>
      <c r="C182" s="8"/>
      <c r="D182" s="8"/>
      <c r="E182" s="8">
        <v>3</v>
      </c>
      <c r="F182" s="8">
        <v>3</v>
      </c>
      <c r="G182" s="9">
        <f t="shared" si="31"/>
        <v>0</v>
      </c>
      <c r="H182" s="9">
        <f t="shared" si="32"/>
        <v>30</v>
      </c>
      <c r="I182" s="10">
        <f t="shared" si="33"/>
        <v>0</v>
      </c>
    </row>
    <row r="183" spans="1:9" ht="12.75">
      <c r="A183" s="8" t="s">
        <v>28</v>
      </c>
      <c r="B183" s="9">
        <f t="shared" si="30"/>
        <v>36</v>
      </c>
      <c r="C183" s="8"/>
      <c r="D183" s="8"/>
      <c r="E183" s="8">
        <v>6</v>
      </c>
      <c r="F183" s="8">
        <v>2</v>
      </c>
      <c r="G183" s="9">
        <f t="shared" si="31"/>
        <v>4</v>
      </c>
      <c r="H183" s="9">
        <f t="shared" si="32"/>
        <v>32</v>
      </c>
      <c r="I183" s="10">
        <f t="shared" si="33"/>
        <v>24</v>
      </c>
    </row>
    <row r="184" spans="1:9" ht="12.75">
      <c r="A184" s="8" t="s">
        <v>30</v>
      </c>
      <c r="B184" s="9">
        <f t="shared" si="30"/>
        <v>21</v>
      </c>
      <c r="C184" s="8"/>
      <c r="D184" s="8"/>
      <c r="E184" s="8">
        <v>3</v>
      </c>
      <c r="F184" s="8">
        <v>2</v>
      </c>
      <c r="G184" s="9">
        <f t="shared" si="31"/>
        <v>1</v>
      </c>
      <c r="H184" s="9">
        <f t="shared" si="32"/>
        <v>20</v>
      </c>
      <c r="I184" s="10">
        <f t="shared" si="33"/>
        <v>6</v>
      </c>
    </row>
    <row r="185" spans="1:9" ht="12.75">
      <c r="A185" s="13" t="s">
        <v>31</v>
      </c>
      <c r="B185" s="9">
        <f t="shared" si="30"/>
        <v>18</v>
      </c>
      <c r="C185" s="8">
        <v>1</v>
      </c>
      <c r="D185" s="8"/>
      <c r="E185" s="8">
        <v>2</v>
      </c>
      <c r="F185" s="8">
        <v>1</v>
      </c>
      <c r="G185" s="9">
        <f t="shared" si="31"/>
        <v>1</v>
      </c>
      <c r="H185" s="9">
        <f t="shared" si="32"/>
        <v>16</v>
      </c>
      <c r="I185" s="10">
        <f t="shared" si="33"/>
        <v>6</v>
      </c>
    </row>
    <row r="186" spans="1:9" ht="12.75">
      <c r="A186" s="13" t="s">
        <v>32</v>
      </c>
      <c r="B186" s="9">
        <f t="shared" si="30"/>
        <v>5</v>
      </c>
      <c r="C186" s="8"/>
      <c r="D186" s="8"/>
      <c r="E186" s="8">
        <v>2</v>
      </c>
      <c r="F186" s="8">
        <v>1</v>
      </c>
      <c r="G186" s="9">
        <f t="shared" si="31"/>
        <v>1</v>
      </c>
      <c r="H186" s="9">
        <f t="shared" si="32"/>
        <v>4</v>
      </c>
      <c r="I186" s="10">
        <f t="shared" si="33"/>
        <v>6</v>
      </c>
    </row>
    <row r="187" spans="1:9" ht="12.75">
      <c r="A187" s="14" t="s">
        <v>33</v>
      </c>
      <c r="B187" s="15">
        <f>SUM(B165:B186)</f>
        <v>544</v>
      </c>
      <c r="C187" s="14"/>
      <c r="D187" s="14"/>
      <c r="E187" s="15">
        <f t="shared" ref="E187:G187" si="34">SUM(E164:E186)</f>
        <v>97</v>
      </c>
      <c r="F187" s="15">
        <f t="shared" si="34"/>
        <v>36</v>
      </c>
      <c r="G187" s="15">
        <f t="shared" si="34"/>
        <v>61</v>
      </c>
      <c r="H187" s="15">
        <f>SUM(H165:H186)</f>
        <v>542</v>
      </c>
      <c r="I187" s="16">
        <f>SUM(I164:I186)</f>
        <v>366</v>
      </c>
    </row>
    <row r="188" spans="1:9" ht="12.75">
      <c r="A188" s="17"/>
      <c r="B188" s="17"/>
      <c r="C188" s="17"/>
      <c r="D188" s="17"/>
      <c r="E188" s="17"/>
      <c r="F188" s="134" t="s">
        <v>34</v>
      </c>
      <c r="G188" s="133"/>
      <c r="H188" s="18"/>
      <c r="I188" s="19"/>
    </row>
    <row r="190" spans="1:9">
      <c r="A190" s="1"/>
      <c r="B190" s="131" t="s">
        <v>69</v>
      </c>
      <c r="C190" s="132"/>
      <c r="D190" s="132"/>
      <c r="E190" s="132"/>
      <c r="F190" s="132"/>
      <c r="G190" s="132"/>
      <c r="H190" s="132"/>
      <c r="I190" s="133"/>
    </row>
    <row r="191" spans="1:9" ht="45">
      <c r="A191" s="2" t="s">
        <v>1</v>
      </c>
      <c r="B191" s="3" t="s">
        <v>2</v>
      </c>
      <c r="C191" s="4" t="s">
        <v>3</v>
      </c>
      <c r="D191" s="5" t="s">
        <v>4</v>
      </c>
      <c r="E191" s="2" t="s">
        <v>5</v>
      </c>
      <c r="F191" s="2" t="s">
        <v>6</v>
      </c>
      <c r="G191" s="2" t="s">
        <v>7</v>
      </c>
      <c r="H191" s="6" t="s">
        <v>8</v>
      </c>
      <c r="I191" s="7" t="s">
        <v>9</v>
      </c>
    </row>
    <row r="192" spans="1:9" ht="12.75">
      <c r="A192" s="8" t="s">
        <v>10</v>
      </c>
      <c r="B192" s="9">
        <f t="shared" ref="B192:B213" si="35">H165</f>
        <v>38</v>
      </c>
      <c r="C192" s="8"/>
      <c r="D192" s="8"/>
      <c r="E192" s="8">
        <v>6</v>
      </c>
      <c r="F192" s="8">
        <v>1</v>
      </c>
      <c r="G192" s="9">
        <f t="shared" ref="G192:G213" si="36">E192-F192</f>
        <v>5</v>
      </c>
      <c r="H192" s="9">
        <f t="shared" ref="H192:H213" si="37">B192-C192+D192-G192</f>
        <v>33</v>
      </c>
      <c r="I192" s="10">
        <f t="shared" ref="I192:I213" si="38">G192*6</f>
        <v>30</v>
      </c>
    </row>
    <row r="193" spans="1:9" ht="12.75">
      <c r="A193" s="8" t="s">
        <v>11</v>
      </c>
      <c r="B193" s="9">
        <f t="shared" si="35"/>
        <v>35</v>
      </c>
      <c r="C193" s="11"/>
      <c r="D193" s="8"/>
      <c r="E193" s="8">
        <v>5</v>
      </c>
      <c r="F193" s="8">
        <v>5</v>
      </c>
      <c r="G193" s="9">
        <f t="shared" si="36"/>
        <v>0</v>
      </c>
      <c r="H193" s="9">
        <f t="shared" si="37"/>
        <v>35</v>
      </c>
      <c r="I193" s="10">
        <f t="shared" si="38"/>
        <v>0</v>
      </c>
    </row>
    <row r="194" spans="1:9" ht="12.75">
      <c r="A194" s="8" t="s">
        <v>12</v>
      </c>
      <c r="B194" s="9">
        <f t="shared" si="35"/>
        <v>29</v>
      </c>
      <c r="C194" s="8"/>
      <c r="D194" s="8"/>
      <c r="E194" s="8">
        <v>5</v>
      </c>
      <c r="F194" s="8">
        <v>4</v>
      </c>
      <c r="G194" s="9">
        <f t="shared" si="36"/>
        <v>1</v>
      </c>
      <c r="H194" s="9">
        <f t="shared" si="37"/>
        <v>28</v>
      </c>
      <c r="I194" s="10">
        <f t="shared" si="38"/>
        <v>6</v>
      </c>
    </row>
    <row r="195" spans="1:9" ht="12.75">
      <c r="A195" s="8" t="s">
        <v>13</v>
      </c>
      <c r="B195" s="9">
        <f t="shared" si="35"/>
        <v>20</v>
      </c>
      <c r="C195" s="8"/>
      <c r="D195" s="8"/>
      <c r="E195" s="8">
        <v>6</v>
      </c>
      <c r="F195" s="8">
        <v>1</v>
      </c>
      <c r="G195" s="9">
        <f t="shared" si="36"/>
        <v>5</v>
      </c>
      <c r="H195" s="9">
        <f t="shared" si="37"/>
        <v>15</v>
      </c>
      <c r="I195" s="10">
        <f t="shared" si="38"/>
        <v>30</v>
      </c>
    </row>
    <row r="196" spans="1:9" ht="12.75">
      <c r="A196" s="8" t="s">
        <v>14</v>
      </c>
      <c r="B196" s="9">
        <f t="shared" si="35"/>
        <v>15</v>
      </c>
      <c r="C196" s="8"/>
      <c r="D196" s="8"/>
      <c r="E196" s="8">
        <v>4</v>
      </c>
      <c r="F196" s="8">
        <v>2</v>
      </c>
      <c r="G196" s="9">
        <f t="shared" si="36"/>
        <v>2</v>
      </c>
      <c r="H196" s="9">
        <f t="shared" si="37"/>
        <v>13</v>
      </c>
      <c r="I196" s="10">
        <f t="shared" si="38"/>
        <v>12</v>
      </c>
    </row>
    <row r="197" spans="1:9" ht="12.75">
      <c r="A197" s="8" t="s">
        <v>15</v>
      </c>
      <c r="B197" s="9">
        <f t="shared" si="35"/>
        <v>31</v>
      </c>
      <c r="C197" s="8"/>
      <c r="D197" s="8"/>
      <c r="E197" s="8">
        <v>6</v>
      </c>
      <c r="F197" s="8">
        <v>1</v>
      </c>
      <c r="G197" s="9">
        <f t="shared" si="36"/>
        <v>5</v>
      </c>
      <c r="H197" s="9">
        <f t="shared" si="37"/>
        <v>26</v>
      </c>
      <c r="I197" s="10">
        <f t="shared" si="38"/>
        <v>30</v>
      </c>
    </row>
    <row r="198" spans="1:9" ht="12.75">
      <c r="A198" s="8" t="s">
        <v>16</v>
      </c>
      <c r="B198" s="9">
        <f t="shared" si="35"/>
        <v>21</v>
      </c>
      <c r="C198" s="8"/>
      <c r="D198" s="8"/>
      <c r="E198" s="8">
        <v>4</v>
      </c>
      <c r="F198" s="8">
        <v>3</v>
      </c>
      <c r="G198" s="9">
        <f t="shared" si="36"/>
        <v>1</v>
      </c>
      <c r="H198" s="9">
        <f t="shared" si="37"/>
        <v>20</v>
      </c>
      <c r="I198" s="10">
        <f t="shared" si="38"/>
        <v>6</v>
      </c>
    </row>
    <row r="199" spans="1:9" ht="12.75">
      <c r="A199" s="8" t="s">
        <v>17</v>
      </c>
      <c r="B199" s="9">
        <f t="shared" si="35"/>
        <v>23</v>
      </c>
      <c r="C199" s="8"/>
      <c r="D199" s="8"/>
      <c r="E199" s="8">
        <v>4</v>
      </c>
      <c r="F199" s="8">
        <v>2</v>
      </c>
      <c r="G199" s="9">
        <f t="shared" si="36"/>
        <v>2</v>
      </c>
      <c r="H199" s="9">
        <f t="shared" si="37"/>
        <v>21</v>
      </c>
      <c r="I199" s="10">
        <f t="shared" si="38"/>
        <v>12</v>
      </c>
    </row>
    <row r="200" spans="1:9" ht="12.75">
      <c r="A200" s="8" t="s">
        <v>18</v>
      </c>
      <c r="B200" s="9">
        <f t="shared" si="35"/>
        <v>15</v>
      </c>
      <c r="C200" s="8"/>
      <c r="D200" s="8"/>
      <c r="E200" s="8">
        <v>4</v>
      </c>
      <c r="F200" s="8">
        <v>3</v>
      </c>
      <c r="G200" s="9">
        <f t="shared" si="36"/>
        <v>1</v>
      </c>
      <c r="H200" s="9">
        <f t="shared" si="37"/>
        <v>14</v>
      </c>
      <c r="I200" s="10">
        <f t="shared" si="38"/>
        <v>6</v>
      </c>
    </row>
    <row r="201" spans="1:9" ht="12.75">
      <c r="A201" s="8" t="s">
        <v>19</v>
      </c>
      <c r="B201" s="9">
        <f t="shared" si="35"/>
        <v>29</v>
      </c>
      <c r="C201" s="8"/>
      <c r="D201" s="8"/>
      <c r="E201" s="8">
        <v>5</v>
      </c>
      <c r="F201" s="8">
        <v>4</v>
      </c>
      <c r="G201" s="9">
        <f t="shared" si="36"/>
        <v>1</v>
      </c>
      <c r="H201" s="9">
        <f t="shared" si="37"/>
        <v>28</v>
      </c>
      <c r="I201" s="10">
        <f t="shared" si="38"/>
        <v>6</v>
      </c>
    </row>
    <row r="202" spans="1:9" ht="12.75">
      <c r="A202" s="8" t="s">
        <v>20</v>
      </c>
      <c r="B202" s="9">
        <f t="shared" si="35"/>
        <v>28</v>
      </c>
      <c r="C202" s="8"/>
      <c r="D202" s="8"/>
      <c r="E202" s="8">
        <v>5</v>
      </c>
      <c r="F202" s="8">
        <v>3</v>
      </c>
      <c r="G202" s="9">
        <f t="shared" si="36"/>
        <v>2</v>
      </c>
      <c r="H202" s="9">
        <f t="shared" si="37"/>
        <v>26</v>
      </c>
      <c r="I202" s="10">
        <f t="shared" si="38"/>
        <v>12</v>
      </c>
    </row>
    <row r="203" spans="1:9" ht="12.75">
      <c r="A203" s="8" t="s">
        <v>21</v>
      </c>
      <c r="B203" s="9">
        <f t="shared" si="35"/>
        <v>9</v>
      </c>
      <c r="C203" s="8"/>
      <c r="D203" s="8"/>
      <c r="E203" s="8">
        <v>2</v>
      </c>
      <c r="F203" s="8">
        <v>1</v>
      </c>
      <c r="G203" s="9">
        <f t="shared" si="36"/>
        <v>1</v>
      </c>
      <c r="H203" s="9">
        <f t="shared" si="37"/>
        <v>8</v>
      </c>
      <c r="I203" s="10">
        <f t="shared" si="38"/>
        <v>6</v>
      </c>
    </row>
    <row r="204" spans="1:9" ht="12.75">
      <c r="A204" s="8" t="s">
        <v>22</v>
      </c>
      <c r="B204" s="9">
        <f t="shared" si="35"/>
        <v>32</v>
      </c>
      <c r="C204" s="8"/>
      <c r="D204" s="8"/>
      <c r="E204" s="8">
        <v>5</v>
      </c>
      <c r="F204" s="8">
        <v>2</v>
      </c>
      <c r="G204" s="9">
        <f t="shared" si="36"/>
        <v>3</v>
      </c>
      <c r="H204" s="9">
        <f t="shared" si="37"/>
        <v>29</v>
      </c>
      <c r="I204" s="10">
        <f t="shared" si="38"/>
        <v>18</v>
      </c>
    </row>
    <row r="205" spans="1:9" ht="12.75">
      <c r="A205" s="8" t="s">
        <v>23</v>
      </c>
      <c r="B205" s="9">
        <f t="shared" si="35"/>
        <v>40</v>
      </c>
      <c r="C205" s="11"/>
      <c r="D205" s="8"/>
      <c r="E205" s="8">
        <v>6</v>
      </c>
      <c r="F205" s="8">
        <v>5</v>
      </c>
      <c r="G205" s="9">
        <f t="shared" si="36"/>
        <v>1</v>
      </c>
      <c r="H205" s="9">
        <f t="shared" si="37"/>
        <v>39</v>
      </c>
      <c r="I205" s="10">
        <f t="shared" si="38"/>
        <v>6</v>
      </c>
    </row>
    <row r="206" spans="1:9" ht="12.75">
      <c r="A206" s="8" t="s">
        <v>24</v>
      </c>
      <c r="B206" s="9">
        <f t="shared" si="35"/>
        <v>21</v>
      </c>
      <c r="C206" s="8"/>
      <c r="D206" s="8"/>
      <c r="E206" s="8">
        <v>3</v>
      </c>
      <c r="F206" s="8">
        <v>3</v>
      </c>
      <c r="G206" s="9">
        <f t="shared" si="36"/>
        <v>0</v>
      </c>
      <c r="H206" s="9">
        <f t="shared" si="37"/>
        <v>21</v>
      </c>
      <c r="I206" s="10">
        <f t="shared" si="38"/>
        <v>0</v>
      </c>
    </row>
    <row r="207" spans="1:9" ht="12.75">
      <c r="A207" s="8" t="s">
        <v>25</v>
      </c>
      <c r="B207" s="9">
        <f t="shared" si="35"/>
        <v>20</v>
      </c>
      <c r="C207" s="8"/>
      <c r="D207" s="8"/>
      <c r="E207" s="8">
        <v>10</v>
      </c>
      <c r="F207" s="8">
        <v>7</v>
      </c>
      <c r="G207" s="9">
        <f t="shared" si="36"/>
        <v>3</v>
      </c>
      <c r="H207" s="9">
        <f t="shared" si="37"/>
        <v>17</v>
      </c>
      <c r="I207" s="10">
        <f t="shared" si="38"/>
        <v>18</v>
      </c>
    </row>
    <row r="208" spans="1:9" ht="12.75">
      <c r="A208" s="8" t="s">
        <v>26</v>
      </c>
      <c r="B208" s="9">
        <f t="shared" si="35"/>
        <v>34</v>
      </c>
      <c r="C208" s="8"/>
      <c r="D208" s="8"/>
      <c r="E208" s="8">
        <v>5</v>
      </c>
      <c r="F208" s="8">
        <v>3</v>
      </c>
      <c r="G208" s="9">
        <f t="shared" si="36"/>
        <v>2</v>
      </c>
      <c r="H208" s="9">
        <f t="shared" si="37"/>
        <v>32</v>
      </c>
      <c r="I208" s="10">
        <f t="shared" si="38"/>
        <v>12</v>
      </c>
    </row>
    <row r="209" spans="1:9" ht="12.75">
      <c r="A209" s="8" t="s">
        <v>27</v>
      </c>
      <c r="B209" s="9">
        <f t="shared" si="35"/>
        <v>30</v>
      </c>
      <c r="C209" s="8"/>
      <c r="D209" s="8"/>
      <c r="E209" s="8">
        <v>3</v>
      </c>
      <c r="F209" s="8">
        <v>3</v>
      </c>
      <c r="G209" s="9">
        <f t="shared" si="36"/>
        <v>0</v>
      </c>
      <c r="H209" s="9">
        <f t="shared" si="37"/>
        <v>30</v>
      </c>
      <c r="I209" s="10">
        <f t="shared" si="38"/>
        <v>0</v>
      </c>
    </row>
    <row r="210" spans="1:9" ht="12.75">
      <c r="A210" s="8" t="s">
        <v>28</v>
      </c>
      <c r="B210" s="9">
        <f t="shared" si="35"/>
        <v>32</v>
      </c>
      <c r="C210" s="8"/>
      <c r="D210" s="8"/>
      <c r="E210" s="8">
        <v>8</v>
      </c>
      <c r="F210" s="8">
        <v>2</v>
      </c>
      <c r="G210" s="9">
        <f t="shared" si="36"/>
        <v>6</v>
      </c>
      <c r="H210" s="9">
        <f t="shared" si="37"/>
        <v>26</v>
      </c>
      <c r="I210" s="10">
        <f t="shared" si="38"/>
        <v>36</v>
      </c>
    </row>
    <row r="211" spans="1:9" ht="12.75">
      <c r="A211" s="8" t="s">
        <v>30</v>
      </c>
      <c r="B211" s="9">
        <f t="shared" si="35"/>
        <v>20</v>
      </c>
      <c r="C211" s="8"/>
      <c r="D211" s="8"/>
      <c r="E211" s="8">
        <v>3</v>
      </c>
      <c r="F211" s="8">
        <v>3</v>
      </c>
      <c r="G211" s="9">
        <f t="shared" si="36"/>
        <v>0</v>
      </c>
      <c r="H211" s="9">
        <f t="shared" si="37"/>
        <v>20</v>
      </c>
      <c r="I211" s="10">
        <f t="shared" si="38"/>
        <v>0</v>
      </c>
    </row>
    <row r="212" spans="1:9" ht="12.75">
      <c r="A212" s="13" t="s">
        <v>31</v>
      </c>
      <c r="B212" s="9">
        <f t="shared" si="35"/>
        <v>16</v>
      </c>
      <c r="C212" s="8"/>
      <c r="D212" s="8"/>
      <c r="E212" s="8">
        <v>2</v>
      </c>
      <c r="F212" s="8">
        <v>2</v>
      </c>
      <c r="G212" s="9">
        <f t="shared" si="36"/>
        <v>0</v>
      </c>
      <c r="H212" s="9">
        <f t="shared" si="37"/>
        <v>16</v>
      </c>
      <c r="I212" s="10">
        <f t="shared" si="38"/>
        <v>0</v>
      </c>
    </row>
    <row r="213" spans="1:9" ht="12.75">
      <c r="A213" s="13" t="s">
        <v>32</v>
      </c>
      <c r="B213" s="9">
        <f t="shared" si="35"/>
        <v>4</v>
      </c>
      <c r="C213" s="8"/>
      <c r="D213" s="8"/>
      <c r="E213" s="8">
        <v>2</v>
      </c>
      <c r="F213" s="8">
        <v>2</v>
      </c>
      <c r="G213" s="9">
        <f t="shared" si="36"/>
        <v>0</v>
      </c>
      <c r="H213" s="9">
        <f t="shared" si="37"/>
        <v>4</v>
      </c>
      <c r="I213" s="10">
        <f t="shared" si="38"/>
        <v>0</v>
      </c>
    </row>
    <row r="214" spans="1:9" ht="12.75">
      <c r="A214" s="14" t="s">
        <v>33</v>
      </c>
      <c r="B214" s="15">
        <f>SUM(B192:B213)</f>
        <v>542</v>
      </c>
      <c r="C214" s="14"/>
      <c r="D214" s="14"/>
      <c r="E214" s="15">
        <f t="shared" ref="E214:G214" si="39">SUM(E191:E213)</f>
        <v>103</v>
      </c>
      <c r="F214" s="15">
        <f t="shared" si="39"/>
        <v>62</v>
      </c>
      <c r="G214" s="15">
        <f t="shared" si="39"/>
        <v>41</v>
      </c>
      <c r="H214" s="15">
        <f>SUM(H192:H213)</f>
        <v>501</v>
      </c>
      <c r="I214" s="16">
        <f>SUM(I191:I213)</f>
        <v>246</v>
      </c>
    </row>
    <row r="215" spans="1:9" ht="12.75">
      <c r="A215" s="17"/>
      <c r="B215" s="17"/>
      <c r="C215" s="17"/>
      <c r="D215" s="17"/>
      <c r="E215" s="17"/>
      <c r="F215" s="134" t="s">
        <v>34</v>
      </c>
      <c r="G215" s="133"/>
      <c r="H215" s="18"/>
      <c r="I215" s="19"/>
    </row>
    <row r="217" spans="1:9">
      <c r="A217" s="1"/>
      <c r="B217" s="131" t="s">
        <v>70</v>
      </c>
      <c r="C217" s="132"/>
      <c r="D217" s="132"/>
      <c r="E217" s="132"/>
      <c r="F217" s="132"/>
      <c r="G217" s="132"/>
      <c r="H217" s="132"/>
      <c r="I217" s="133"/>
    </row>
    <row r="218" spans="1:9" ht="45">
      <c r="A218" s="2" t="s">
        <v>1</v>
      </c>
      <c r="B218" s="3" t="s">
        <v>2</v>
      </c>
      <c r="C218" s="4" t="s">
        <v>3</v>
      </c>
      <c r="D218" s="5" t="s">
        <v>4</v>
      </c>
      <c r="E218" s="2" t="s">
        <v>5</v>
      </c>
      <c r="F218" s="2" t="s">
        <v>6</v>
      </c>
      <c r="G218" s="2" t="s">
        <v>7</v>
      </c>
      <c r="H218" s="6" t="s">
        <v>8</v>
      </c>
      <c r="I218" s="7" t="s">
        <v>9</v>
      </c>
    </row>
    <row r="219" spans="1:9" ht="12.75">
      <c r="A219" s="8" t="s">
        <v>10</v>
      </c>
      <c r="B219" s="9">
        <f t="shared" ref="B219:B240" si="40">H192</f>
        <v>33</v>
      </c>
      <c r="C219" s="8"/>
      <c r="D219" s="8"/>
      <c r="E219" s="8">
        <v>8</v>
      </c>
      <c r="F219" s="8">
        <v>8</v>
      </c>
      <c r="G219" s="9">
        <f t="shared" ref="G219:G240" si="41">E219-F219</f>
        <v>0</v>
      </c>
      <c r="H219" s="9">
        <f t="shared" ref="H219:H240" si="42">B219-C219+D219-G219</f>
        <v>33</v>
      </c>
      <c r="I219" s="10">
        <f t="shared" ref="I219:I240" si="43">G219*6</f>
        <v>0</v>
      </c>
    </row>
    <row r="220" spans="1:9" ht="12.75">
      <c r="A220" s="8" t="s">
        <v>11</v>
      </c>
      <c r="B220" s="9">
        <f t="shared" si="40"/>
        <v>35</v>
      </c>
      <c r="C220" s="11"/>
      <c r="D220" s="8"/>
      <c r="E220" s="8">
        <v>5</v>
      </c>
      <c r="F220" s="8">
        <v>4</v>
      </c>
      <c r="G220" s="9">
        <f t="shared" si="41"/>
        <v>1</v>
      </c>
      <c r="H220" s="9">
        <f t="shared" si="42"/>
        <v>34</v>
      </c>
      <c r="I220" s="10">
        <f t="shared" si="43"/>
        <v>6</v>
      </c>
    </row>
    <row r="221" spans="1:9" ht="12.75">
      <c r="A221" s="8" t="s">
        <v>12</v>
      </c>
      <c r="B221" s="9">
        <f t="shared" si="40"/>
        <v>28</v>
      </c>
      <c r="C221" s="8"/>
      <c r="D221" s="8"/>
      <c r="E221" s="8">
        <v>5</v>
      </c>
      <c r="F221" s="8">
        <v>4</v>
      </c>
      <c r="G221" s="9">
        <f t="shared" si="41"/>
        <v>1</v>
      </c>
      <c r="H221" s="9">
        <f t="shared" si="42"/>
        <v>27</v>
      </c>
      <c r="I221" s="10">
        <f t="shared" si="43"/>
        <v>6</v>
      </c>
    </row>
    <row r="222" spans="1:9" ht="12.75">
      <c r="A222" s="8" t="s">
        <v>13</v>
      </c>
      <c r="B222" s="9">
        <f t="shared" si="40"/>
        <v>15</v>
      </c>
      <c r="C222" s="8"/>
      <c r="D222" s="8"/>
      <c r="E222" s="8">
        <v>6</v>
      </c>
      <c r="F222" s="8">
        <v>0</v>
      </c>
      <c r="G222" s="9">
        <f t="shared" si="41"/>
        <v>6</v>
      </c>
      <c r="H222" s="9">
        <f t="shared" si="42"/>
        <v>9</v>
      </c>
      <c r="I222" s="10">
        <f t="shared" si="43"/>
        <v>36</v>
      </c>
    </row>
    <row r="223" spans="1:9" ht="12.75">
      <c r="A223" s="8" t="s">
        <v>14</v>
      </c>
      <c r="B223" s="9">
        <f t="shared" si="40"/>
        <v>13</v>
      </c>
      <c r="C223" s="8"/>
      <c r="D223" s="8"/>
      <c r="E223" s="8">
        <v>4</v>
      </c>
      <c r="F223" s="8">
        <v>4</v>
      </c>
      <c r="G223" s="9">
        <f t="shared" si="41"/>
        <v>0</v>
      </c>
      <c r="H223" s="9">
        <f t="shared" si="42"/>
        <v>13</v>
      </c>
      <c r="I223" s="10">
        <f t="shared" si="43"/>
        <v>0</v>
      </c>
    </row>
    <row r="224" spans="1:9" ht="12.75">
      <c r="A224" s="8" t="s">
        <v>15</v>
      </c>
      <c r="B224" s="9">
        <f t="shared" si="40"/>
        <v>26</v>
      </c>
      <c r="C224" s="8"/>
      <c r="D224" s="8"/>
      <c r="E224" s="8">
        <v>7</v>
      </c>
      <c r="F224" s="8">
        <v>7</v>
      </c>
      <c r="G224" s="9">
        <f t="shared" si="41"/>
        <v>0</v>
      </c>
      <c r="H224" s="9">
        <f t="shared" si="42"/>
        <v>26</v>
      </c>
      <c r="I224" s="10">
        <f t="shared" si="43"/>
        <v>0</v>
      </c>
    </row>
    <row r="225" spans="1:9" ht="12.75">
      <c r="A225" s="8" t="s">
        <v>16</v>
      </c>
      <c r="B225" s="9">
        <f t="shared" si="40"/>
        <v>20</v>
      </c>
      <c r="C225" s="8"/>
      <c r="D225" s="8"/>
      <c r="E225" s="8">
        <v>4</v>
      </c>
      <c r="F225" s="8">
        <v>2</v>
      </c>
      <c r="G225" s="9">
        <f t="shared" si="41"/>
        <v>2</v>
      </c>
      <c r="H225" s="9">
        <f t="shared" si="42"/>
        <v>18</v>
      </c>
      <c r="I225" s="10">
        <f t="shared" si="43"/>
        <v>12</v>
      </c>
    </row>
    <row r="226" spans="1:9" ht="12.75">
      <c r="A226" s="8" t="s">
        <v>17</v>
      </c>
      <c r="B226" s="9">
        <f t="shared" si="40"/>
        <v>21</v>
      </c>
      <c r="C226" s="8"/>
      <c r="D226" s="8"/>
      <c r="E226" s="8">
        <v>4</v>
      </c>
      <c r="F226" s="8">
        <v>4</v>
      </c>
      <c r="G226" s="9">
        <f t="shared" si="41"/>
        <v>0</v>
      </c>
      <c r="H226" s="9">
        <f t="shared" si="42"/>
        <v>21</v>
      </c>
      <c r="I226" s="10">
        <f t="shared" si="43"/>
        <v>0</v>
      </c>
    </row>
    <row r="227" spans="1:9" ht="12.75">
      <c r="A227" s="8" t="s">
        <v>18</v>
      </c>
      <c r="B227" s="9">
        <f t="shared" si="40"/>
        <v>14</v>
      </c>
      <c r="C227" s="8"/>
      <c r="D227" s="8"/>
      <c r="E227" s="8">
        <v>5</v>
      </c>
      <c r="F227" s="8">
        <v>3</v>
      </c>
      <c r="G227" s="9">
        <f t="shared" si="41"/>
        <v>2</v>
      </c>
      <c r="H227" s="9">
        <f t="shared" si="42"/>
        <v>12</v>
      </c>
      <c r="I227" s="10">
        <f t="shared" si="43"/>
        <v>12</v>
      </c>
    </row>
    <row r="228" spans="1:9" ht="12.75">
      <c r="A228" s="8" t="s">
        <v>19</v>
      </c>
      <c r="B228" s="9">
        <f t="shared" si="40"/>
        <v>28</v>
      </c>
      <c r="C228" s="8"/>
      <c r="D228" s="8"/>
      <c r="E228" s="8">
        <v>5</v>
      </c>
      <c r="F228" s="8">
        <v>3</v>
      </c>
      <c r="G228" s="9">
        <f t="shared" si="41"/>
        <v>2</v>
      </c>
      <c r="H228" s="9">
        <f t="shared" si="42"/>
        <v>26</v>
      </c>
      <c r="I228" s="10">
        <f t="shared" si="43"/>
        <v>12</v>
      </c>
    </row>
    <row r="229" spans="1:9" ht="12.75">
      <c r="A229" s="8" t="s">
        <v>20</v>
      </c>
      <c r="B229" s="9">
        <f t="shared" si="40"/>
        <v>26</v>
      </c>
      <c r="C229" s="8"/>
      <c r="D229" s="8"/>
      <c r="E229" s="8">
        <v>5</v>
      </c>
      <c r="F229" s="8">
        <v>4</v>
      </c>
      <c r="G229" s="9">
        <f t="shared" si="41"/>
        <v>1</v>
      </c>
      <c r="H229" s="9">
        <f t="shared" si="42"/>
        <v>25</v>
      </c>
      <c r="I229" s="10">
        <f t="shared" si="43"/>
        <v>6</v>
      </c>
    </row>
    <row r="230" spans="1:9" ht="12.75">
      <c r="A230" s="8" t="s">
        <v>21</v>
      </c>
      <c r="B230" s="9">
        <f t="shared" si="40"/>
        <v>8</v>
      </c>
      <c r="C230" s="8"/>
      <c r="D230" s="8"/>
      <c r="E230" s="8">
        <v>2</v>
      </c>
      <c r="F230" s="8">
        <v>2</v>
      </c>
      <c r="G230" s="9">
        <f t="shared" si="41"/>
        <v>0</v>
      </c>
      <c r="H230" s="9">
        <f t="shared" si="42"/>
        <v>8</v>
      </c>
      <c r="I230" s="10">
        <f t="shared" si="43"/>
        <v>0</v>
      </c>
    </row>
    <row r="231" spans="1:9" ht="12.75">
      <c r="A231" s="8" t="s">
        <v>22</v>
      </c>
      <c r="B231" s="9">
        <f t="shared" si="40"/>
        <v>29</v>
      </c>
      <c r="C231" s="8"/>
      <c r="D231" s="8"/>
      <c r="E231" s="8">
        <v>4</v>
      </c>
      <c r="F231" s="8">
        <v>4</v>
      </c>
      <c r="G231" s="9">
        <f t="shared" si="41"/>
        <v>0</v>
      </c>
      <c r="H231" s="9">
        <f t="shared" si="42"/>
        <v>29</v>
      </c>
      <c r="I231" s="10">
        <f t="shared" si="43"/>
        <v>0</v>
      </c>
    </row>
    <row r="232" spans="1:9" ht="12.75">
      <c r="A232" s="8" t="s">
        <v>23</v>
      </c>
      <c r="B232" s="9">
        <f t="shared" si="40"/>
        <v>39</v>
      </c>
      <c r="C232" s="11"/>
      <c r="D232" s="8"/>
      <c r="E232" s="8">
        <v>6</v>
      </c>
      <c r="F232" s="8">
        <v>5</v>
      </c>
      <c r="G232" s="9">
        <f t="shared" si="41"/>
        <v>1</v>
      </c>
      <c r="H232" s="9">
        <f t="shared" si="42"/>
        <v>38</v>
      </c>
      <c r="I232" s="10">
        <f t="shared" si="43"/>
        <v>6</v>
      </c>
    </row>
    <row r="233" spans="1:9" ht="12.75">
      <c r="A233" s="8" t="s">
        <v>24</v>
      </c>
      <c r="B233" s="9">
        <f t="shared" si="40"/>
        <v>21</v>
      </c>
      <c r="C233" s="8"/>
      <c r="D233" s="8"/>
      <c r="E233" s="8">
        <v>3</v>
      </c>
      <c r="F233" s="8">
        <v>3</v>
      </c>
      <c r="G233" s="9">
        <f t="shared" si="41"/>
        <v>0</v>
      </c>
      <c r="H233" s="9">
        <f t="shared" si="42"/>
        <v>21</v>
      </c>
      <c r="I233" s="10">
        <f t="shared" si="43"/>
        <v>0</v>
      </c>
    </row>
    <row r="234" spans="1:9" ht="12.75">
      <c r="A234" s="8" t="s">
        <v>25</v>
      </c>
      <c r="B234" s="9">
        <f t="shared" si="40"/>
        <v>17</v>
      </c>
      <c r="C234" s="8"/>
      <c r="D234" s="8"/>
      <c r="E234" s="8">
        <v>10</v>
      </c>
      <c r="F234" s="8">
        <v>2</v>
      </c>
      <c r="G234" s="9">
        <f t="shared" si="41"/>
        <v>8</v>
      </c>
      <c r="H234" s="9">
        <f t="shared" si="42"/>
        <v>9</v>
      </c>
      <c r="I234" s="10">
        <f t="shared" si="43"/>
        <v>48</v>
      </c>
    </row>
    <row r="235" spans="1:9" ht="12.75">
      <c r="A235" s="8" t="s">
        <v>26</v>
      </c>
      <c r="B235" s="9">
        <f t="shared" si="40"/>
        <v>32</v>
      </c>
      <c r="C235" s="8">
        <v>1</v>
      </c>
      <c r="D235" s="8"/>
      <c r="E235" s="8">
        <v>5</v>
      </c>
      <c r="F235" s="8">
        <v>5</v>
      </c>
      <c r="G235" s="9">
        <f t="shared" si="41"/>
        <v>0</v>
      </c>
      <c r="H235" s="9">
        <f t="shared" si="42"/>
        <v>31</v>
      </c>
      <c r="I235" s="10">
        <f t="shared" si="43"/>
        <v>0</v>
      </c>
    </row>
    <row r="236" spans="1:9" ht="12.75">
      <c r="A236" s="8" t="s">
        <v>27</v>
      </c>
      <c r="B236" s="9">
        <f t="shared" si="40"/>
        <v>30</v>
      </c>
      <c r="C236" s="8"/>
      <c r="D236" s="8"/>
      <c r="E236" s="8">
        <v>3</v>
      </c>
      <c r="F236" s="8">
        <v>1</v>
      </c>
      <c r="G236" s="9">
        <f t="shared" si="41"/>
        <v>2</v>
      </c>
      <c r="H236" s="9">
        <f t="shared" si="42"/>
        <v>28</v>
      </c>
      <c r="I236" s="10">
        <f t="shared" si="43"/>
        <v>12</v>
      </c>
    </row>
    <row r="237" spans="1:9" ht="12.75">
      <c r="A237" s="8" t="s">
        <v>28</v>
      </c>
      <c r="B237" s="9">
        <f t="shared" si="40"/>
        <v>26</v>
      </c>
      <c r="C237" s="8"/>
      <c r="D237" s="8"/>
      <c r="E237" s="8">
        <v>8</v>
      </c>
      <c r="F237" s="8">
        <v>1</v>
      </c>
      <c r="G237" s="9">
        <f t="shared" si="41"/>
        <v>7</v>
      </c>
      <c r="H237" s="9">
        <f t="shared" si="42"/>
        <v>19</v>
      </c>
      <c r="I237" s="10">
        <f t="shared" si="43"/>
        <v>42</v>
      </c>
    </row>
    <row r="238" spans="1:9" ht="12.75">
      <c r="A238" s="8" t="s">
        <v>30</v>
      </c>
      <c r="B238" s="9">
        <f t="shared" si="40"/>
        <v>20</v>
      </c>
      <c r="C238" s="8"/>
      <c r="D238" s="8"/>
      <c r="E238" s="8">
        <v>3</v>
      </c>
      <c r="F238" s="8">
        <v>3</v>
      </c>
      <c r="G238" s="9">
        <f t="shared" si="41"/>
        <v>0</v>
      </c>
      <c r="H238" s="9">
        <f t="shared" si="42"/>
        <v>20</v>
      </c>
      <c r="I238" s="10">
        <f t="shared" si="43"/>
        <v>0</v>
      </c>
    </row>
    <row r="239" spans="1:9" ht="12.75">
      <c r="A239" s="13" t="s">
        <v>31</v>
      </c>
      <c r="B239" s="9">
        <f t="shared" si="40"/>
        <v>16</v>
      </c>
      <c r="C239" s="8"/>
      <c r="D239" s="8"/>
      <c r="E239" s="8">
        <v>2</v>
      </c>
      <c r="F239" s="8">
        <v>2</v>
      </c>
      <c r="G239" s="9">
        <f t="shared" si="41"/>
        <v>0</v>
      </c>
      <c r="H239" s="9">
        <f t="shared" si="42"/>
        <v>16</v>
      </c>
      <c r="I239" s="10">
        <f t="shared" si="43"/>
        <v>0</v>
      </c>
    </row>
    <row r="240" spans="1:9" ht="12.75">
      <c r="A240" s="13" t="s">
        <v>32</v>
      </c>
      <c r="B240" s="9">
        <f t="shared" si="40"/>
        <v>4</v>
      </c>
      <c r="C240" s="8"/>
      <c r="D240" s="8"/>
      <c r="E240" s="8">
        <v>2</v>
      </c>
      <c r="F240" s="8">
        <v>2</v>
      </c>
      <c r="G240" s="9">
        <f t="shared" si="41"/>
        <v>0</v>
      </c>
      <c r="H240" s="9">
        <f t="shared" si="42"/>
        <v>4</v>
      </c>
      <c r="I240" s="10">
        <f t="shared" si="43"/>
        <v>0</v>
      </c>
    </row>
    <row r="241" spans="1:9" ht="12.75">
      <c r="A241" s="14" t="s">
        <v>33</v>
      </c>
      <c r="B241" s="15">
        <f>SUM(B219:B240)</f>
        <v>501</v>
      </c>
      <c r="C241" s="14"/>
      <c r="D241" s="14"/>
      <c r="E241" s="15">
        <f t="shared" ref="E241:G241" si="44">SUM(E218:E240)</f>
        <v>106</v>
      </c>
      <c r="F241" s="15">
        <f t="shared" si="44"/>
        <v>73</v>
      </c>
      <c r="G241" s="15">
        <f t="shared" si="44"/>
        <v>33</v>
      </c>
      <c r="H241" s="15">
        <f>SUM(H219:H240)</f>
        <v>467</v>
      </c>
      <c r="I241" s="16">
        <f>SUM(I218:I240)</f>
        <v>198</v>
      </c>
    </row>
    <row r="242" spans="1:9" ht="12.75">
      <c r="A242" s="17"/>
      <c r="B242" s="17"/>
      <c r="C242" s="17"/>
      <c r="D242" s="17"/>
      <c r="E242" s="17"/>
      <c r="F242" s="134" t="s">
        <v>34</v>
      </c>
      <c r="G242" s="133"/>
      <c r="H242" s="18"/>
      <c r="I242" s="19"/>
    </row>
    <row r="244" spans="1:9">
      <c r="A244" s="1"/>
      <c r="B244" s="131" t="s">
        <v>71</v>
      </c>
      <c r="C244" s="132"/>
      <c r="D244" s="132"/>
      <c r="E244" s="132"/>
      <c r="F244" s="132"/>
      <c r="G244" s="132"/>
      <c r="H244" s="132"/>
      <c r="I244" s="133"/>
    </row>
    <row r="245" spans="1:9" ht="45">
      <c r="A245" s="2" t="s">
        <v>1</v>
      </c>
      <c r="B245" s="6" t="s">
        <v>2</v>
      </c>
      <c r="C245" s="4" t="s">
        <v>3</v>
      </c>
      <c r="D245" s="5" t="s">
        <v>4</v>
      </c>
      <c r="E245" s="2" t="s">
        <v>5</v>
      </c>
      <c r="F245" s="2" t="s">
        <v>6</v>
      </c>
      <c r="G245" s="2" t="s">
        <v>7</v>
      </c>
      <c r="H245" s="6" t="s">
        <v>8</v>
      </c>
      <c r="I245" s="7" t="s">
        <v>9</v>
      </c>
    </row>
    <row r="246" spans="1:9" ht="12.75">
      <c r="A246" s="8" t="s">
        <v>10</v>
      </c>
      <c r="B246" s="9">
        <f t="shared" ref="B246:B267" si="45">H219</f>
        <v>33</v>
      </c>
      <c r="C246" s="8"/>
      <c r="D246" s="8"/>
      <c r="E246" s="8">
        <v>9</v>
      </c>
      <c r="F246" s="8">
        <v>6</v>
      </c>
      <c r="G246" s="9">
        <f t="shared" ref="G246:G267" si="46">E246-F246</f>
        <v>3</v>
      </c>
      <c r="H246" s="9">
        <f t="shared" ref="H246:H267" si="47">B246-C246+D246-G246</f>
        <v>30</v>
      </c>
      <c r="I246" s="10">
        <f t="shared" ref="I246:I267" si="48">G246*6</f>
        <v>18</v>
      </c>
    </row>
    <row r="247" spans="1:9" ht="12.75">
      <c r="A247" s="8" t="s">
        <v>11</v>
      </c>
      <c r="B247" s="9">
        <f t="shared" si="45"/>
        <v>34</v>
      </c>
      <c r="C247" s="11"/>
      <c r="D247" s="8"/>
      <c r="E247" s="8">
        <v>5</v>
      </c>
      <c r="F247" s="8">
        <v>5</v>
      </c>
      <c r="G247" s="9">
        <f t="shared" si="46"/>
        <v>0</v>
      </c>
      <c r="H247" s="9">
        <f t="shared" si="47"/>
        <v>34</v>
      </c>
      <c r="I247" s="10">
        <f t="shared" si="48"/>
        <v>0</v>
      </c>
    </row>
    <row r="248" spans="1:9" ht="12.75">
      <c r="A248" s="8" t="s">
        <v>12</v>
      </c>
      <c r="B248" s="9">
        <f t="shared" si="45"/>
        <v>27</v>
      </c>
      <c r="C248" s="8"/>
      <c r="D248" s="8"/>
      <c r="E248" s="8">
        <v>6</v>
      </c>
      <c r="F248" s="8">
        <v>5</v>
      </c>
      <c r="G248" s="9">
        <f t="shared" si="46"/>
        <v>1</v>
      </c>
      <c r="H248" s="9">
        <f t="shared" si="47"/>
        <v>26</v>
      </c>
      <c r="I248" s="10">
        <f t="shared" si="48"/>
        <v>6</v>
      </c>
    </row>
    <row r="249" spans="1:9" ht="12.75">
      <c r="A249" s="8" t="s">
        <v>13</v>
      </c>
      <c r="B249" s="9">
        <f t="shared" si="45"/>
        <v>9</v>
      </c>
      <c r="C249" s="8"/>
      <c r="D249" s="8">
        <v>30</v>
      </c>
      <c r="E249" s="8">
        <v>6</v>
      </c>
      <c r="F249" s="8">
        <v>3</v>
      </c>
      <c r="G249" s="9">
        <f t="shared" si="46"/>
        <v>3</v>
      </c>
      <c r="H249" s="9">
        <f t="shared" si="47"/>
        <v>36</v>
      </c>
      <c r="I249" s="10">
        <f t="shared" si="48"/>
        <v>18</v>
      </c>
    </row>
    <row r="250" spans="1:9" ht="12.75">
      <c r="A250" s="8" t="s">
        <v>14</v>
      </c>
      <c r="B250" s="9">
        <f t="shared" si="45"/>
        <v>13</v>
      </c>
      <c r="C250" s="8"/>
      <c r="D250" s="8"/>
      <c r="E250" s="8">
        <v>4</v>
      </c>
      <c r="F250" s="8">
        <v>2</v>
      </c>
      <c r="G250" s="9">
        <f t="shared" si="46"/>
        <v>2</v>
      </c>
      <c r="H250" s="9">
        <f t="shared" si="47"/>
        <v>11</v>
      </c>
      <c r="I250" s="10">
        <f t="shared" si="48"/>
        <v>12</v>
      </c>
    </row>
    <row r="251" spans="1:9" ht="12.75">
      <c r="A251" s="8" t="s">
        <v>15</v>
      </c>
      <c r="B251" s="9">
        <f t="shared" si="45"/>
        <v>26</v>
      </c>
      <c r="C251" s="8"/>
      <c r="D251" s="8"/>
      <c r="E251" s="8">
        <v>7</v>
      </c>
      <c r="F251" s="8">
        <v>7</v>
      </c>
      <c r="G251" s="9">
        <f t="shared" si="46"/>
        <v>0</v>
      </c>
      <c r="H251" s="9">
        <f t="shared" si="47"/>
        <v>26</v>
      </c>
      <c r="I251" s="10">
        <f t="shared" si="48"/>
        <v>0</v>
      </c>
    </row>
    <row r="252" spans="1:9" ht="12.75">
      <c r="A252" s="8" t="s">
        <v>16</v>
      </c>
      <c r="B252" s="9">
        <f t="shared" si="45"/>
        <v>18</v>
      </c>
      <c r="C252" s="8"/>
      <c r="D252" s="8"/>
      <c r="E252" s="8">
        <v>7</v>
      </c>
      <c r="F252" s="8">
        <v>4</v>
      </c>
      <c r="G252" s="9">
        <f t="shared" si="46"/>
        <v>3</v>
      </c>
      <c r="H252" s="9">
        <f t="shared" si="47"/>
        <v>15</v>
      </c>
      <c r="I252" s="10">
        <f t="shared" si="48"/>
        <v>18</v>
      </c>
    </row>
    <row r="253" spans="1:9" ht="12.75">
      <c r="A253" s="8" t="s">
        <v>17</v>
      </c>
      <c r="B253" s="9">
        <f t="shared" si="45"/>
        <v>21</v>
      </c>
      <c r="C253" s="8"/>
      <c r="D253" s="8"/>
      <c r="E253" s="8">
        <v>5</v>
      </c>
      <c r="F253" s="8">
        <v>4</v>
      </c>
      <c r="G253" s="9">
        <f t="shared" si="46"/>
        <v>1</v>
      </c>
      <c r="H253" s="9">
        <f t="shared" si="47"/>
        <v>20</v>
      </c>
      <c r="I253" s="10">
        <f t="shared" si="48"/>
        <v>6</v>
      </c>
    </row>
    <row r="254" spans="1:9" ht="12.75">
      <c r="A254" s="8" t="s">
        <v>18</v>
      </c>
      <c r="B254" s="9">
        <f t="shared" si="45"/>
        <v>12</v>
      </c>
      <c r="C254" s="8"/>
      <c r="D254" s="8"/>
      <c r="E254" s="8">
        <v>5</v>
      </c>
      <c r="F254" s="8">
        <v>0</v>
      </c>
      <c r="G254" s="9">
        <f t="shared" si="46"/>
        <v>5</v>
      </c>
      <c r="H254" s="9">
        <f t="shared" si="47"/>
        <v>7</v>
      </c>
      <c r="I254" s="10">
        <f t="shared" si="48"/>
        <v>30</v>
      </c>
    </row>
    <row r="255" spans="1:9" ht="12.75">
      <c r="A255" s="8" t="s">
        <v>19</v>
      </c>
      <c r="B255" s="9">
        <f t="shared" si="45"/>
        <v>26</v>
      </c>
      <c r="C255" s="8"/>
      <c r="D255" s="8"/>
      <c r="E255" s="8">
        <v>5</v>
      </c>
      <c r="F255" s="8">
        <v>2</v>
      </c>
      <c r="G255" s="9">
        <f t="shared" si="46"/>
        <v>3</v>
      </c>
      <c r="H255" s="9">
        <f t="shared" si="47"/>
        <v>23</v>
      </c>
      <c r="I255" s="10">
        <f t="shared" si="48"/>
        <v>18</v>
      </c>
    </row>
    <row r="256" spans="1:9" ht="12.75">
      <c r="A256" s="8" t="s">
        <v>20</v>
      </c>
      <c r="B256" s="9">
        <f t="shared" si="45"/>
        <v>25</v>
      </c>
      <c r="C256" s="8"/>
      <c r="D256" s="8"/>
      <c r="E256" s="8">
        <v>6</v>
      </c>
      <c r="F256" s="8">
        <v>4</v>
      </c>
      <c r="G256" s="9">
        <f t="shared" si="46"/>
        <v>2</v>
      </c>
      <c r="H256" s="9">
        <f t="shared" si="47"/>
        <v>23</v>
      </c>
      <c r="I256" s="10">
        <f t="shared" si="48"/>
        <v>12</v>
      </c>
    </row>
    <row r="257" spans="1:9" ht="12.75">
      <c r="A257" s="8" t="s">
        <v>21</v>
      </c>
      <c r="B257" s="9">
        <f t="shared" si="45"/>
        <v>8</v>
      </c>
      <c r="C257" s="8"/>
      <c r="D257" s="8"/>
      <c r="E257" s="8">
        <v>2</v>
      </c>
      <c r="F257" s="8">
        <v>2</v>
      </c>
      <c r="G257" s="9">
        <f t="shared" si="46"/>
        <v>0</v>
      </c>
      <c r="H257" s="9">
        <f t="shared" si="47"/>
        <v>8</v>
      </c>
      <c r="I257" s="10">
        <f t="shared" si="48"/>
        <v>0</v>
      </c>
    </row>
    <row r="258" spans="1:9" ht="12.75">
      <c r="A258" s="8" t="s">
        <v>22</v>
      </c>
      <c r="B258" s="9">
        <f t="shared" si="45"/>
        <v>29</v>
      </c>
      <c r="C258" s="8"/>
      <c r="D258" s="8"/>
      <c r="E258" s="8">
        <v>4</v>
      </c>
      <c r="F258" s="8">
        <v>4</v>
      </c>
      <c r="G258" s="9">
        <f t="shared" si="46"/>
        <v>0</v>
      </c>
      <c r="H258" s="9">
        <f t="shared" si="47"/>
        <v>29</v>
      </c>
      <c r="I258" s="10">
        <f t="shared" si="48"/>
        <v>0</v>
      </c>
    </row>
    <row r="259" spans="1:9" ht="12.75">
      <c r="A259" s="8" t="s">
        <v>23</v>
      </c>
      <c r="B259" s="9">
        <f t="shared" si="45"/>
        <v>38</v>
      </c>
      <c r="C259" s="11"/>
      <c r="D259" s="8"/>
      <c r="E259" s="8">
        <v>7</v>
      </c>
      <c r="F259" s="8">
        <v>3</v>
      </c>
      <c r="G259" s="9">
        <f t="shared" si="46"/>
        <v>4</v>
      </c>
      <c r="H259" s="9">
        <f t="shared" si="47"/>
        <v>34</v>
      </c>
      <c r="I259" s="10">
        <f t="shared" si="48"/>
        <v>24</v>
      </c>
    </row>
    <row r="260" spans="1:9" ht="12.75">
      <c r="A260" s="8" t="s">
        <v>24</v>
      </c>
      <c r="B260" s="9">
        <f t="shared" si="45"/>
        <v>21</v>
      </c>
      <c r="C260" s="8"/>
      <c r="D260" s="8"/>
      <c r="E260" s="8">
        <v>3</v>
      </c>
      <c r="F260" s="8">
        <v>3</v>
      </c>
      <c r="G260" s="9">
        <f t="shared" si="46"/>
        <v>0</v>
      </c>
      <c r="H260" s="9">
        <f t="shared" si="47"/>
        <v>21</v>
      </c>
      <c r="I260" s="10">
        <f t="shared" si="48"/>
        <v>0</v>
      </c>
    </row>
    <row r="261" spans="1:9" ht="12.75">
      <c r="A261" s="8" t="s">
        <v>25</v>
      </c>
      <c r="B261" s="9">
        <f t="shared" si="45"/>
        <v>9</v>
      </c>
      <c r="C261" s="8"/>
      <c r="D261" s="8">
        <v>32</v>
      </c>
      <c r="E261" s="8">
        <v>9</v>
      </c>
      <c r="F261" s="8">
        <v>5</v>
      </c>
      <c r="G261" s="9">
        <f t="shared" si="46"/>
        <v>4</v>
      </c>
      <c r="H261" s="9">
        <f t="shared" si="47"/>
        <v>37</v>
      </c>
      <c r="I261" s="10">
        <f t="shared" si="48"/>
        <v>24</v>
      </c>
    </row>
    <row r="262" spans="1:9" ht="12.75">
      <c r="A262" s="8" t="s">
        <v>26</v>
      </c>
      <c r="B262" s="9">
        <f t="shared" si="45"/>
        <v>31</v>
      </c>
      <c r="C262" s="8"/>
      <c r="D262" s="8"/>
      <c r="E262" s="8">
        <v>6</v>
      </c>
      <c r="F262" s="8">
        <v>4</v>
      </c>
      <c r="G262" s="9">
        <f t="shared" si="46"/>
        <v>2</v>
      </c>
      <c r="H262" s="9">
        <f t="shared" si="47"/>
        <v>29</v>
      </c>
      <c r="I262" s="10">
        <f t="shared" si="48"/>
        <v>12</v>
      </c>
    </row>
    <row r="263" spans="1:9" ht="12.75">
      <c r="A263" s="8" t="s">
        <v>27</v>
      </c>
      <c r="B263" s="9">
        <f t="shared" si="45"/>
        <v>28</v>
      </c>
      <c r="C263" s="8"/>
      <c r="D263" s="8"/>
      <c r="E263" s="8">
        <v>4</v>
      </c>
      <c r="F263" s="8">
        <v>4</v>
      </c>
      <c r="G263" s="9">
        <f t="shared" si="46"/>
        <v>0</v>
      </c>
      <c r="H263" s="9">
        <f t="shared" si="47"/>
        <v>28</v>
      </c>
      <c r="I263" s="10">
        <f t="shared" si="48"/>
        <v>0</v>
      </c>
    </row>
    <row r="264" spans="1:9" ht="12.75">
      <c r="A264" s="8" t="s">
        <v>28</v>
      </c>
      <c r="B264" s="9">
        <f t="shared" si="45"/>
        <v>19</v>
      </c>
      <c r="C264" s="8"/>
      <c r="D264" s="8"/>
      <c r="E264" s="8">
        <v>8</v>
      </c>
      <c r="F264" s="8">
        <v>4</v>
      </c>
      <c r="G264" s="9">
        <f t="shared" si="46"/>
        <v>4</v>
      </c>
      <c r="H264" s="9">
        <f t="shared" si="47"/>
        <v>15</v>
      </c>
      <c r="I264" s="10">
        <f t="shared" si="48"/>
        <v>24</v>
      </c>
    </row>
    <row r="265" spans="1:9" ht="12.75">
      <c r="A265" s="8" t="s">
        <v>30</v>
      </c>
      <c r="B265" s="9">
        <f t="shared" si="45"/>
        <v>20</v>
      </c>
      <c r="C265" s="8"/>
      <c r="D265" s="8"/>
      <c r="E265" s="8">
        <v>3</v>
      </c>
      <c r="F265" s="8">
        <v>2</v>
      </c>
      <c r="G265" s="9">
        <f t="shared" si="46"/>
        <v>1</v>
      </c>
      <c r="H265" s="9">
        <f t="shared" si="47"/>
        <v>19</v>
      </c>
      <c r="I265" s="10">
        <f t="shared" si="48"/>
        <v>6</v>
      </c>
    </row>
    <row r="266" spans="1:9" ht="12.75">
      <c r="A266" s="13" t="s">
        <v>31</v>
      </c>
      <c r="B266" s="9">
        <f t="shared" si="45"/>
        <v>16</v>
      </c>
      <c r="C266" s="8"/>
      <c r="D266" s="8"/>
      <c r="E266" s="8">
        <v>2</v>
      </c>
      <c r="F266" s="8">
        <v>1</v>
      </c>
      <c r="G266" s="9">
        <f t="shared" si="46"/>
        <v>1</v>
      </c>
      <c r="H266" s="9">
        <f t="shared" si="47"/>
        <v>15</v>
      </c>
      <c r="I266" s="10">
        <f t="shared" si="48"/>
        <v>6</v>
      </c>
    </row>
    <row r="267" spans="1:9" ht="12.75">
      <c r="A267" s="13" t="s">
        <v>32</v>
      </c>
      <c r="B267" s="9">
        <f t="shared" si="45"/>
        <v>4</v>
      </c>
      <c r="C267" s="8"/>
      <c r="D267" s="8"/>
      <c r="E267" s="8">
        <v>2</v>
      </c>
      <c r="F267" s="8">
        <v>1</v>
      </c>
      <c r="G267" s="9">
        <f t="shared" si="46"/>
        <v>1</v>
      </c>
      <c r="H267" s="9">
        <f t="shared" si="47"/>
        <v>3</v>
      </c>
      <c r="I267" s="10">
        <f t="shared" si="48"/>
        <v>6</v>
      </c>
    </row>
    <row r="268" spans="1:9" ht="12.75">
      <c r="A268" s="14" t="s">
        <v>33</v>
      </c>
      <c r="B268" s="15">
        <f>SUM(B246:B267)</f>
        <v>467</v>
      </c>
      <c r="C268" s="14"/>
      <c r="D268" s="14"/>
      <c r="E268" s="15">
        <f t="shared" ref="E268:G268" si="49">SUM(E245:E267)</f>
        <v>115</v>
      </c>
      <c r="F268" s="15">
        <f t="shared" si="49"/>
        <v>75</v>
      </c>
      <c r="G268" s="15">
        <f t="shared" si="49"/>
        <v>40</v>
      </c>
      <c r="H268" s="15">
        <f>SUM(H246:H267)</f>
        <v>489</v>
      </c>
      <c r="I268" s="16">
        <f>SUM(I245:I267)</f>
        <v>240</v>
      </c>
    </row>
    <row r="269" spans="1:9" ht="12.75">
      <c r="A269" s="17"/>
      <c r="B269" s="17"/>
      <c r="C269" s="17"/>
      <c r="D269" s="17"/>
      <c r="E269" s="17"/>
      <c r="F269" s="134" t="s">
        <v>34</v>
      </c>
      <c r="G269" s="133"/>
      <c r="H269" s="18"/>
      <c r="I269" s="19"/>
    </row>
    <row r="271" spans="1:9">
      <c r="A271" s="1"/>
      <c r="B271" s="131" t="s">
        <v>72</v>
      </c>
      <c r="C271" s="132"/>
      <c r="D271" s="132"/>
      <c r="E271" s="132"/>
      <c r="F271" s="132"/>
      <c r="G271" s="132"/>
      <c r="H271" s="132"/>
      <c r="I271" s="133"/>
    </row>
    <row r="272" spans="1:9" ht="45">
      <c r="A272" s="2" t="s">
        <v>1</v>
      </c>
      <c r="B272" s="6" t="s">
        <v>2</v>
      </c>
      <c r="C272" s="4" t="s">
        <v>3</v>
      </c>
      <c r="D272" s="5" t="s">
        <v>4</v>
      </c>
      <c r="E272" s="2" t="s">
        <v>5</v>
      </c>
      <c r="F272" s="2" t="s">
        <v>6</v>
      </c>
      <c r="G272" s="2" t="s">
        <v>7</v>
      </c>
      <c r="H272" s="6" t="s">
        <v>8</v>
      </c>
      <c r="I272" s="7" t="s">
        <v>9</v>
      </c>
    </row>
    <row r="273" spans="1:9" ht="12.75">
      <c r="A273" s="8" t="s">
        <v>10</v>
      </c>
      <c r="B273" s="9">
        <f t="shared" ref="B273:B294" si="50">H246</f>
        <v>30</v>
      </c>
      <c r="C273" s="8"/>
      <c r="D273" s="8"/>
      <c r="E273" s="8">
        <v>6</v>
      </c>
      <c r="F273" s="8">
        <v>5</v>
      </c>
      <c r="G273" s="9">
        <f t="shared" ref="G273:G294" si="51">E273-F273</f>
        <v>1</v>
      </c>
      <c r="H273" s="9">
        <f t="shared" ref="H273:H294" si="52">B273-C273+D273-G273</f>
        <v>29</v>
      </c>
      <c r="I273" s="10">
        <f t="shared" ref="I273:I294" si="53">G273*6</f>
        <v>6</v>
      </c>
    </row>
    <row r="274" spans="1:9" ht="12.75">
      <c r="A274" s="8" t="s">
        <v>11</v>
      </c>
      <c r="B274" s="9">
        <f t="shared" si="50"/>
        <v>34</v>
      </c>
      <c r="C274" s="11"/>
      <c r="D274" s="8"/>
      <c r="E274" s="8">
        <v>5</v>
      </c>
      <c r="F274" s="8">
        <v>5</v>
      </c>
      <c r="G274" s="9">
        <f t="shared" si="51"/>
        <v>0</v>
      </c>
      <c r="H274" s="9">
        <f t="shared" si="52"/>
        <v>34</v>
      </c>
      <c r="I274" s="10">
        <f t="shared" si="53"/>
        <v>0</v>
      </c>
    </row>
    <row r="275" spans="1:9" ht="12.75">
      <c r="A275" s="8" t="s">
        <v>12</v>
      </c>
      <c r="B275" s="9">
        <f t="shared" si="50"/>
        <v>26</v>
      </c>
      <c r="C275" s="8"/>
      <c r="D275" s="8"/>
      <c r="E275" s="8">
        <v>5</v>
      </c>
      <c r="F275" s="8">
        <v>5</v>
      </c>
      <c r="G275" s="9">
        <f t="shared" si="51"/>
        <v>0</v>
      </c>
      <c r="H275" s="9">
        <f t="shared" si="52"/>
        <v>26</v>
      </c>
      <c r="I275" s="10">
        <f t="shared" si="53"/>
        <v>0</v>
      </c>
    </row>
    <row r="276" spans="1:9" ht="12.75">
      <c r="A276" s="8" t="s">
        <v>13</v>
      </c>
      <c r="B276" s="9">
        <f t="shared" si="50"/>
        <v>36</v>
      </c>
      <c r="C276" s="8">
        <v>1</v>
      </c>
      <c r="D276" s="8"/>
      <c r="E276" s="8">
        <v>6</v>
      </c>
      <c r="F276" s="8">
        <v>4</v>
      </c>
      <c r="G276" s="9">
        <f t="shared" si="51"/>
        <v>2</v>
      </c>
      <c r="H276" s="9">
        <f t="shared" si="52"/>
        <v>33</v>
      </c>
      <c r="I276" s="10">
        <f t="shared" si="53"/>
        <v>12</v>
      </c>
    </row>
    <row r="277" spans="1:9" ht="12.75">
      <c r="A277" s="8" t="s">
        <v>14</v>
      </c>
      <c r="B277" s="9">
        <f t="shared" si="50"/>
        <v>11</v>
      </c>
      <c r="C277" s="8"/>
      <c r="D277" s="8"/>
      <c r="E277" s="8">
        <v>4</v>
      </c>
      <c r="F277" s="8">
        <v>3</v>
      </c>
      <c r="G277" s="9">
        <f t="shared" si="51"/>
        <v>1</v>
      </c>
      <c r="H277" s="9">
        <f t="shared" si="52"/>
        <v>10</v>
      </c>
      <c r="I277" s="10">
        <f t="shared" si="53"/>
        <v>6</v>
      </c>
    </row>
    <row r="278" spans="1:9" ht="12.75">
      <c r="A278" s="8" t="s">
        <v>15</v>
      </c>
      <c r="B278" s="9">
        <f t="shared" si="50"/>
        <v>26</v>
      </c>
      <c r="C278" s="8"/>
      <c r="D278" s="8"/>
      <c r="E278" s="8">
        <v>7</v>
      </c>
      <c r="F278" s="8">
        <v>6</v>
      </c>
      <c r="G278" s="9">
        <f t="shared" si="51"/>
        <v>1</v>
      </c>
      <c r="H278" s="9">
        <f t="shared" si="52"/>
        <v>25</v>
      </c>
      <c r="I278" s="10">
        <f t="shared" si="53"/>
        <v>6</v>
      </c>
    </row>
    <row r="279" spans="1:9" ht="12.75">
      <c r="A279" s="8" t="s">
        <v>16</v>
      </c>
      <c r="B279" s="9">
        <f t="shared" si="50"/>
        <v>15</v>
      </c>
      <c r="C279" s="8"/>
      <c r="D279" s="8"/>
      <c r="E279" s="8">
        <v>4</v>
      </c>
      <c r="F279" s="8">
        <v>4</v>
      </c>
      <c r="G279" s="9">
        <f t="shared" si="51"/>
        <v>0</v>
      </c>
      <c r="H279" s="9">
        <f t="shared" si="52"/>
        <v>15</v>
      </c>
      <c r="I279" s="10">
        <f t="shared" si="53"/>
        <v>0</v>
      </c>
    </row>
    <row r="280" spans="1:9" ht="12.75">
      <c r="A280" s="8" t="s">
        <v>17</v>
      </c>
      <c r="B280" s="9">
        <f t="shared" si="50"/>
        <v>20</v>
      </c>
      <c r="C280" s="8"/>
      <c r="D280" s="8"/>
      <c r="E280" s="8">
        <v>4</v>
      </c>
      <c r="F280" s="8">
        <v>3</v>
      </c>
      <c r="G280" s="9">
        <f t="shared" si="51"/>
        <v>1</v>
      </c>
      <c r="H280" s="9">
        <f t="shared" si="52"/>
        <v>19</v>
      </c>
      <c r="I280" s="10">
        <f t="shared" si="53"/>
        <v>6</v>
      </c>
    </row>
    <row r="281" spans="1:9" ht="12.75">
      <c r="A281" s="8" t="s">
        <v>18</v>
      </c>
      <c r="B281" s="9">
        <f t="shared" si="50"/>
        <v>7</v>
      </c>
      <c r="C281" s="8"/>
      <c r="D281" s="8">
        <v>32</v>
      </c>
      <c r="E281" s="8">
        <v>5</v>
      </c>
      <c r="F281" s="8">
        <v>4</v>
      </c>
      <c r="G281" s="9">
        <f t="shared" si="51"/>
        <v>1</v>
      </c>
      <c r="H281" s="9">
        <f t="shared" si="52"/>
        <v>38</v>
      </c>
      <c r="I281" s="10">
        <f t="shared" si="53"/>
        <v>6</v>
      </c>
    </row>
    <row r="282" spans="1:9" ht="12.75">
      <c r="A282" s="8" t="s">
        <v>19</v>
      </c>
      <c r="B282" s="9">
        <f t="shared" si="50"/>
        <v>23</v>
      </c>
      <c r="C282" s="8"/>
      <c r="D282" s="8"/>
      <c r="E282" s="8">
        <v>5</v>
      </c>
      <c r="F282" s="8">
        <v>5</v>
      </c>
      <c r="G282" s="9">
        <f t="shared" si="51"/>
        <v>0</v>
      </c>
      <c r="H282" s="9">
        <f t="shared" si="52"/>
        <v>23</v>
      </c>
      <c r="I282" s="10">
        <f t="shared" si="53"/>
        <v>0</v>
      </c>
    </row>
    <row r="283" spans="1:9" ht="12.75">
      <c r="A283" s="8" t="s">
        <v>20</v>
      </c>
      <c r="B283" s="9">
        <f t="shared" si="50"/>
        <v>23</v>
      </c>
      <c r="C283" s="8"/>
      <c r="D283" s="8"/>
      <c r="E283" s="8">
        <v>5</v>
      </c>
      <c r="F283" s="8">
        <v>4</v>
      </c>
      <c r="G283" s="9">
        <f t="shared" si="51"/>
        <v>1</v>
      </c>
      <c r="H283" s="9">
        <f t="shared" si="52"/>
        <v>22</v>
      </c>
      <c r="I283" s="10">
        <f t="shared" si="53"/>
        <v>6</v>
      </c>
    </row>
    <row r="284" spans="1:9" ht="12.75">
      <c r="A284" s="8" t="s">
        <v>21</v>
      </c>
      <c r="B284" s="9">
        <f t="shared" si="50"/>
        <v>8</v>
      </c>
      <c r="C284" s="8"/>
      <c r="D284" s="8"/>
      <c r="E284" s="8">
        <v>2</v>
      </c>
      <c r="F284" s="8">
        <v>2</v>
      </c>
      <c r="G284" s="9">
        <f t="shared" si="51"/>
        <v>0</v>
      </c>
      <c r="H284" s="9">
        <f t="shared" si="52"/>
        <v>8</v>
      </c>
      <c r="I284" s="10">
        <f t="shared" si="53"/>
        <v>0</v>
      </c>
    </row>
    <row r="285" spans="1:9" ht="12.75">
      <c r="A285" s="8" t="s">
        <v>22</v>
      </c>
      <c r="B285" s="9">
        <f t="shared" si="50"/>
        <v>29</v>
      </c>
      <c r="C285" s="8"/>
      <c r="D285" s="8"/>
      <c r="E285" s="8">
        <v>4</v>
      </c>
      <c r="F285" s="8">
        <v>2</v>
      </c>
      <c r="G285" s="9">
        <f t="shared" si="51"/>
        <v>2</v>
      </c>
      <c r="H285" s="9">
        <f t="shared" si="52"/>
        <v>27</v>
      </c>
      <c r="I285" s="10">
        <f t="shared" si="53"/>
        <v>12</v>
      </c>
    </row>
    <row r="286" spans="1:9" ht="12.75">
      <c r="A286" s="8" t="s">
        <v>23</v>
      </c>
      <c r="B286" s="9">
        <f t="shared" si="50"/>
        <v>34</v>
      </c>
      <c r="C286" s="11"/>
      <c r="D286" s="8"/>
      <c r="E286" s="8">
        <v>6</v>
      </c>
      <c r="F286" s="8">
        <v>5</v>
      </c>
      <c r="G286" s="9">
        <f t="shared" si="51"/>
        <v>1</v>
      </c>
      <c r="H286" s="9">
        <f t="shared" si="52"/>
        <v>33</v>
      </c>
      <c r="I286" s="10">
        <f t="shared" si="53"/>
        <v>6</v>
      </c>
    </row>
    <row r="287" spans="1:9" ht="12.75">
      <c r="A287" s="8" t="s">
        <v>24</v>
      </c>
      <c r="B287" s="9">
        <f t="shared" si="50"/>
        <v>21</v>
      </c>
      <c r="C287" s="8"/>
      <c r="D287" s="8"/>
      <c r="E287" s="8">
        <v>3</v>
      </c>
      <c r="F287" s="8">
        <v>2</v>
      </c>
      <c r="G287" s="9">
        <f t="shared" si="51"/>
        <v>1</v>
      </c>
      <c r="H287" s="9">
        <f t="shared" si="52"/>
        <v>20</v>
      </c>
      <c r="I287" s="10">
        <f t="shared" si="53"/>
        <v>6</v>
      </c>
    </row>
    <row r="288" spans="1:9" ht="12.75">
      <c r="A288" s="8" t="s">
        <v>25</v>
      </c>
      <c r="B288" s="9">
        <f t="shared" si="50"/>
        <v>37</v>
      </c>
      <c r="C288" s="8"/>
      <c r="D288" s="8"/>
      <c r="E288" s="8">
        <v>10</v>
      </c>
      <c r="F288" s="8">
        <v>7</v>
      </c>
      <c r="G288" s="9">
        <f t="shared" si="51"/>
        <v>3</v>
      </c>
      <c r="H288" s="9">
        <f t="shared" si="52"/>
        <v>34</v>
      </c>
      <c r="I288" s="10">
        <f t="shared" si="53"/>
        <v>18</v>
      </c>
    </row>
    <row r="289" spans="1:9" ht="12.75">
      <c r="A289" s="8" t="s">
        <v>26</v>
      </c>
      <c r="B289" s="9">
        <f t="shared" si="50"/>
        <v>29</v>
      </c>
      <c r="C289" s="8"/>
      <c r="D289" s="8"/>
      <c r="E289" s="8">
        <v>5</v>
      </c>
      <c r="F289" s="8">
        <v>5</v>
      </c>
      <c r="G289" s="9">
        <f t="shared" si="51"/>
        <v>0</v>
      </c>
      <c r="H289" s="9">
        <f t="shared" si="52"/>
        <v>29</v>
      </c>
      <c r="I289" s="10">
        <f t="shared" si="53"/>
        <v>0</v>
      </c>
    </row>
    <row r="290" spans="1:9" ht="12.75">
      <c r="A290" s="8" t="s">
        <v>27</v>
      </c>
      <c r="B290" s="9">
        <f t="shared" si="50"/>
        <v>28</v>
      </c>
      <c r="C290" s="8"/>
      <c r="D290" s="8"/>
      <c r="E290" s="8">
        <v>3</v>
      </c>
      <c r="F290" s="8">
        <v>3</v>
      </c>
      <c r="G290" s="9">
        <f t="shared" si="51"/>
        <v>0</v>
      </c>
      <c r="H290" s="9">
        <f t="shared" si="52"/>
        <v>28</v>
      </c>
      <c r="I290" s="10">
        <f t="shared" si="53"/>
        <v>0</v>
      </c>
    </row>
    <row r="291" spans="1:9" ht="12.75">
      <c r="A291" s="8" t="s">
        <v>28</v>
      </c>
      <c r="B291" s="9">
        <f t="shared" si="50"/>
        <v>15</v>
      </c>
      <c r="C291" s="8"/>
      <c r="D291" s="8"/>
      <c r="E291" s="8">
        <v>8</v>
      </c>
      <c r="F291" s="8">
        <v>7</v>
      </c>
      <c r="G291" s="9">
        <f t="shared" si="51"/>
        <v>1</v>
      </c>
      <c r="H291" s="9">
        <f t="shared" si="52"/>
        <v>14</v>
      </c>
      <c r="I291" s="10">
        <f t="shared" si="53"/>
        <v>6</v>
      </c>
    </row>
    <row r="292" spans="1:9" ht="12.75">
      <c r="A292" s="8" t="s">
        <v>30</v>
      </c>
      <c r="B292" s="9">
        <f t="shared" si="50"/>
        <v>19</v>
      </c>
      <c r="C292" s="8"/>
      <c r="D292" s="8"/>
      <c r="E292" s="8">
        <v>3</v>
      </c>
      <c r="F292" s="8">
        <v>3</v>
      </c>
      <c r="G292" s="9">
        <f t="shared" si="51"/>
        <v>0</v>
      </c>
      <c r="H292" s="9">
        <f t="shared" si="52"/>
        <v>19</v>
      </c>
      <c r="I292" s="10">
        <f t="shared" si="53"/>
        <v>0</v>
      </c>
    </row>
    <row r="293" spans="1:9" ht="12.75">
      <c r="A293" s="13" t="s">
        <v>31</v>
      </c>
      <c r="B293" s="9">
        <f t="shared" si="50"/>
        <v>15</v>
      </c>
      <c r="C293" s="8"/>
      <c r="D293" s="8"/>
      <c r="E293" s="8">
        <v>2</v>
      </c>
      <c r="F293" s="8">
        <v>1</v>
      </c>
      <c r="G293" s="9">
        <f t="shared" si="51"/>
        <v>1</v>
      </c>
      <c r="H293" s="9">
        <f t="shared" si="52"/>
        <v>14</v>
      </c>
      <c r="I293" s="10">
        <f t="shared" si="53"/>
        <v>6</v>
      </c>
    </row>
    <row r="294" spans="1:9" ht="12.75">
      <c r="A294" s="13" t="s">
        <v>32</v>
      </c>
      <c r="B294" s="9">
        <f t="shared" si="50"/>
        <v>3</v>
      </c>
      <c r="C294" s="8"/>
      <c r="D294" s="8"/>
      <c r="E294" s="8">
        <v>2</v>
      </c>
      <c r="F294" s="8">
        <v>2</v>
      </c>
      <c r="G294" s="9">
        <f t="shared" si="51"/>
        <v>0</v>
      </c>
      <c r="H294" s="9">
        <f t="shared" si="52"/>
        <v>3</v>
      </c>
      <c r="I294" s="10">
        <f t="shared" si="53"/>
        <v>0</v>
      </c>
    </row>
    <row r="295" spans="1:9" ht="12.75">
      <c r="A295" s="14" t="s">
        <v>33</v>
      </c>
      <c r="B295" s="15">
        <f>SUM(B273:B294)</f>
        <v>489</v>
      </c>
      <c r="C295" s="14"/>
      <c r="D295" s="14"/>
      <c r="E295" s="15">
        <f t="shared" ref="E295:G295" si="54">SUM(E272:E294)</f>
        <v>104</v>
      </c>
      <c r="F295" s="15">
        <f t="shared" si="54"/>
        <v>87</v>
      </c>
      <c r="G295" s="15">
        <f t="shared" si="54"/>
        <v>17</v>
      </c>
      <c r="H295" s="15">
        <f>SUM(H273:H294)</f>
        <v>503</v>
      </c>
      <c r="I295" s="16">
        <f>SUM(I272:I294)</f>
        <v>102</v>
      </c>
    </row>
    <row r="296" spans="1:9" ht="12.75">
      <c r="A296" s="17"/>
      <c r="B296" s="17"/>
      <c r="C296" s="17"/>
      <c r="D296" s="17"/>
      <c r="E296" s="17"/>
      <c r="F296" s="134" t="s">
        <v>34</v>
      </c>
      <c r="G296" s="133"/>
      <c r="H296" s="18"/>
      <c r="I296" s="19"/>
    </row>
    <row r="298" spans="1:9">
      <c r="A298" s="1"/>
      <c r="B298" s="131" t="s">
        <v>73</v>
      </c>
      <c r="C298" s="132"/>
      <c r="D298" s="132"/>
      <c r="E298" s="132"/>
      <c r="F298" s="132"/>
      <c r="G298" s="132"/>
      <c r="H298" s="132"/>
      <c r="I298" s="133"/>
    </row>
    <row r="299" spans="1:9" ht="45">
      <c r="A299" s="2" t="s">
        <v>1</v>
      </c>
      <c r="B299" s="6" t="s">
        <v>2</v>
      </c>
      <c r="C299" s="4" t="s">
        <v>3</v>
      </c>
      <c r="D299" s="5" t="s">
        <v>4</v>
      </c>
      <c r="E299" s="2" t="s">
        <v>5</v>
      </c>
      <c r="F299" s="2" t="s">
        <v>6</v>
      </c>
      <c r="G299" s="2" t="s">
        <v>7</v>
      </c>
      <c r="H299" s="6" t="s">
        <v>8</v>
      </c>
      <c r="I299" s="7" t="s">
        <v>9</v>
      </c>
    </row>
    <row r="300" spans="1:9" ht="12.75">
      <c r="A300" s="8" t="s">
        <v>10</v>
      </c>
      <c r="B300" s="9">
        <f t="shared" ref="B300:B321" si="55">H273</f>
        <v>29</v>
      </c>
      <c r="C300" s="8"/>
      <c r="D300" s="8"/>
      <c r="E300" s="8">
        <v>6</v>
      </c>
      <c r="F300" s="8">
        <v>6</v>
      </c>
      <c r="G300" s="9">
        <f t="shared" ref="G300:G322" si="56">E300-F300</f>
        <v>0</v>
      </c>
      <c r="H300" s="9">
        <f t="shared" ref="H300:H321" si="57">B300-C300+D300-G300</f>
        <v>29</v>
      </c>
      <c r="I300" s="10">
        <f t="shared" ref="I300:I321" si="58">G300*6</f>
        <v>0</v>
      </c>
    </row>
    <row r="301" spans="1:9" ht="12.75">
      <c r="A301" s="8" t="s">
        <v>11</v>
      </c>
      <c r="B301" s="9">
        <f t="shared" si="55"/>
        <v>34</v>
      </c>
      <c r="C301" s="11"/>
      <c r="D301" s="8"/>
      <c r="E301" s="8">
        <v>5</v>
      </c>
      <c r="F301" s="8">
        <v>5</v>
      </c>
      <c r="G301" s="9">
        <f t="shared" si="56"/>
        <v>0</v>
      </c>
      <c r="H301" s="9">
        <f t="shared" si="57"/>
        <v>34</v>
      </c>
      <c r="I301" s="10">
        <f t="shared" si="58"/>
        <v>0</v>
      </c>
    </row>
    <row r="302" spans="1:9" ht="12.75">
      <c r="A302" s="8" t="s">
        <v>12</v>
      </c>
      <c r="B302" s="9">
        <f t="shared" si="55"/>
        <v>26</v>
      </c>
      <c r="C302" s="8"/>
      <c r="D302" s="8"/>
      <c r="E302" s="8">
        <v>5</v>
      </c>
      <c r="F302" s="8">
        <v>2</v>
      </c>
      <c r="G302" s="9">
        <f t="shared" si="56"/>
        <v>3</v>
      </c>
      <c r="H302" s="9">
        <f t="shared" si="57"/>
        <v>23</v>
      </c>
      <c r="I302" s="10">
        <f t="shared" si="58"/>
        <v>18</v>
      </c>
    </row>
    <row r="303" spans="1:9" ht="12.75">
      <c r="A303" s="8" t="s">
        <v>13</v>
      </c>
      <c r="B303" s="9">
        <f t="shared" si="55"/>
        <v>33</v>
      </c>
      <c r="C303" s="8"/>
      <c r="D303" s="8"/>
      <c r="E303" s="8">
        <v>6</v>
      </c>
      <c r="F303" s="8">
        <v>5</v>
      </c>
      <c r="G303" s="9">
        <f t="shared" si="56"/>
        <v>1</v>
      </c>
      <c r="H303" s="9">
        <f t="shared" si="57"/>
        <v>32</v>
      </c>
      <c r="I303" s="10">
        <f t="shared" si="58"/>
        <v>6</v>
      </c>
    </row>
    <row r="304" spans="1:9" ht="12.75">
      <c r="A304" s="8" t="s">
        <v>14</v>
      </c>
      <c r="B304" s="9">
        <f t="shared" si="55"/>
        <v>10</v>
      </c>
      <c r="C304" s="8"/>
      <c r="D304" s="8"/>
      <c r="E304" s="8">
        <v>4</v>
      </c>
      <c r="F304" s="8">
        <v>2</v>
      </c>
      <c r="G304" s="9">
        <f t="shared" si="56"/>
        <v>2</v>
      </c>
      <c r="H304" s="9">
        <f t="shared" si="57"/>
        <v>8</v>
      </c>
      <c r="I304" s="10">
        <f t="shared" si="58"/>
        <v>12</v>
      </c>
    </row>
    <row r="305" spans="1:9" ht="12.75">
      <c r="A305" s="8" t="s">
        <v>15</v>
      </c>
      <c r="B305" s="9">
        <f t="shared" si="55"/>
        <v>25</v>
      </c>
      <c r="C305" s="8">
        <v>1</v>
      </c>
      <c r="D305" s="8"/>
      <c r="E305" s="8">
        <v>6</v>
      </c>
      <c r="F305" s="8">
        <v>6</v>
      </c>
      <c r="G305" s="9">
        <f t="shared" si="56"/>
        <v>0</v>
      </c>
      <c r="H305" s="9">
        <f t="shared" si="57"/>
        <v>24</v>
      </c>
      <c r="I305" s="10">
        <f t="shared" si="58"/>
        <v>0</v>
      </c>
    </row>
    <row r="306" spans="1:9" ht="12.75">
      <c r="A306" s="8" t="s">
        <v>16</v>
      </c>
      <c r="B306" s="9">
        <f t="shared" si="55"/>
        <v>15</v>
      </c>
      <c r="C306" s="8"/>
      <c r="D306" s="8"/>
      <c r="E306" s="8">
        <v>4</v>
      </c>
      <c r="F306" s="8">
        <v>3</v>
      </c>
      <c r="G306" s="9">
        <f t="shared" si="56"/>
        <v>1</v>
      </c>
      <c r="H306" s="9">
        <f t="shared" si="57"/>
        <v>14</v>
      </c>
      <c r="I306" s="10">
        <f t="shared" si="58"/>
        <v>6</v>
      </c>
    </row>
    <row r="307" spans="1:9" ht="12.75">
      <c r="A307" s="8" t="s">
        <v>17</v>
      </c>
      <c r="B307" s="9">
        <f t="shared" si="55"/>
        <v>19</v>
      </c>
      <c r="C307" s="8">
        <v>1</v>
      </c>
      <c r="D307" s="8"/>
      <c r="E307" s="8">
        <v>4</v>
      </c>
      <c r="F307" s="8">
        <v>4</v>
      </c>
      <c r="G307" s="9">
        <f t="shared" si="56"/>
        <v>0</v>
      </c>
      <c r="H307" s="9">
        <f t="shared" si="57"/>
        <v>18</v>
      </c>
      <c r="I307" s="10">
        <f t="shared" si="58"/>
        <v>0</v>
      </c>
    </row>
    <row r="308" spans="1:9" ht="12.75">
      <c r="A308" s="8" t="s">
        <v>18</v>
      </c>
      <c r="B308" s="9">
        <f t="shared" si="55"/>
        <v>38</v>
      </c>
      <c r="C308" s="8"/>
      <c r="D308" s="8"/>
      <c r="E308" s="8">
        <v>5</v>
      </c>
      <c r="F308" s="8">
        <v>5</v>
      </c>
      <c r="G308" s="9">
        <f t="shared" si="56"/>
        <v>0</v>
      </c>
      <c r="H308" s="9">
        <f t="shared" si="57"/>
        <v>38</v>
      </c>
      <c r="I308" s="10">
        <f t="shared" si="58"/>
        <v>0</v>
      </c>
    </row>
    <row r="309" spans="1:9" ht="12.75">
      <c r="A309" s="8" t="s">
        <v>19</v>
      </c>
      <c r="B309" s="9">
        <f t="shared" si="55"/>
        <v>23</v>
      </c>
      <c r="C309" s="8"/>
      <c r="D309" s="8"/>
      <c r="E309" s="8">
        <v>5</v>
      </c>
      <c r="F309" s="8">
        <v>5</v>
      </c>
      <c r="G309" s="9">
        <f t="shared" si="56"/>
        <v>0</v>
      </c>
      <c r="H309" s="9">
        <f t="shared" si="57"/>
        <v>23</v>
      </c>
      <c r="I309" s="10">
        <f t="shared" si="58"/>
        <v>0</v>
      </c>
    </row>
    <row r="310" spans="1:9" ht="12.75">
      <c r="A310" s="8" t="s">
        <v>20</v>
      </c>
      <c r="B310" s="9">
        <f t="shared" si="55"/>
        <v>22</v>
      </c>
      <c r="C310" s="8"/>
      <c r="D310" s="8"/>
      <c r="E310" s="8">
        <v>5</v>
      </c>
      <c r="F310" s="8">
        <v>4</v>
      </c>
      <c r="G310" s="9">
        <f t="shared" si="56"/>
        <v>1</v>
      </c>
      <c r="H310" s="9">
        <f t="shared" si="57"/>
        <v>21</v>
      </c>
      <c r="I310" s="10">
        <f t="shared" si="58"/>
        <v>6</v>
      </c>
    </row>
    <row r="311" spans="1:9" ht="12.75">
      <c r="A311" s="8" t="s">
        <v>21</v>
      </c>
      <c r="B311" s="9">
        <f t="shared" si="55"/>
        <v>8</v>
      </c>
      <c r="C311" s="8"/>
      <c r="D311" s="8"/>
      <c r="E311" s="8">
        <v>2</v>
      </c>
      <c r="F311" s="8">
        <v>2</v>
      </c>
      <c r="G311" s="9">
        <f t="shared" si="56"/>
        <v>0</v>
      </c>
      <c r="H311" s="9">
        <f t="shared" si="57"/>
        <v>8</v>
      </c>
      <c r="I311" s="10">
        <f t="shared" si="58"/>
        <v>0</v>
      </c>
    </row>
    <row r="312" spans="1:9" ht="12.75">
      <c r="A312" s="8" t="s">
        <v>22</v>
      </c>
      <c r="B312" s="9">
        <f t="shared" si="55"/>
        <v>27</v>
      </c>
      <c r="C312" s="8"/>
      <c r="D312" s="8"/>
      <c r="E312" s="8">
        <v>4</v>
      </c>
      <c r="F312" s="8">
        <v>4</v>
      </c>
      <c r="G312" s="9">
        <f t="shared" si="56"/>
        <v>0</v>
      </c>
      <c r="H312" s="9">
        <f t="shared" si="57"/>
        <v>27</v>
      </c>
      <c r="I312" s="10">
        <f t="shared" si="58"/>
        <v>0</v>
      </c>
    </row>
    <row r="313" spans="1:9" ht="12.75">
      <c r="A313" s="8" t="s">
        <v>23</v>
      </c>
      <c r="B313" s="9">
        <f t="shared" si="55"/>
        <v>33</v>
      </c>
      <c r="C313" s="11"/>
      <c r="D313" s="8"/>
      <c r="E313" s="8">
        <v>6</v>
      </c>
      <c r="F313" s="8">
        <v>3</v>
      </c>
      <c r="G313" s="9">
        <f t="shared" si="56"/>
        <v>3</v>
      </c>
      <c r="H313" s="9">
        <f t="shared" si="57"/>
        <v>30</v>
      </c>
      <c r="I313" s="10">
        <f t="shared" si="58"/>
        <v>18</v>
      </c>
    </row>
    <row r="314" spans="1:9" ht="12.75">
      <c r="A314" s="8" t="s">
        <v>24</v>
      </c>
      <c r="B314" s="9">
        <f t="shared" si="55"/>
        <v>20</v>
      </c>
      <c r="C314" s="8"/>
      <c r="D314" s="8"/>
      <c r="E314" s="8">
        <v>3</v>
      </c>
      <c r="F314" s="8">
        <v>2</v>
      </c>
      <c r="G314" s="9">
        <f t="shared" si="56"/>
        <v>1</v>
      </c>
      <c r="H314" s="9">
        <f t="shared" si="57"/>
        <v>19</v>
      </c>
      <c r="I314" s="10">
        <f t="shared" si="58"/>
        <v>6</v>
      </c>
    </row>
    <row r="315" spans="1:9" ht="12.75">
      <c r="A315" s="8" t="s">
        <v>25</v>
      </c>
      <c r="B315" s="9">
        <f t="shared" si="55"/>
        <v>34</v>
      </c>
      <c r="C315" s="8"/>
      <c r="D315" s="8"/>
      <c r="E315" s="8">
        <v>10</v>
      </c>
      <c r="F315" s="8">
        <v>4</v>
      </c>
      <c r="G315" s="9">
        <f t="shared" si="56"/>
        <v>6</v>
      </c>
      <c r="H315" s="9">
        <f t="shared" si="57"/>
        <v>28</v>
      </c>
      <c r="I315" s="10">
        <f t="shared" si="58"/>
        <v>36</v>
      </c>
    </row>
    <row r="316" spans="1:9" ht="12.75">
      <c r="A316" s="8" t="s">
        <v>26</v>
      </c>
      <c r="B316" s="9">
        <f t="shared" si="55"/>
        <v>29</v>
      </c>
      <c r="C316" s="8"/>
      <c r="D316" s="8"/>
      <c r="E316" s="8">
        <v>5</v>
      </c>
      <c r="F316" s="8">
        <v>4</v>
      </c>
      <c r="G316" s="9">
        <f t="shared" si="56"/>
        <v>1</v>
      </c>
      <c r="H316" s="9">
        <f t="shared" si="57"/>
        <v>28</v>
      </c>
      <c r="I316" s="10">
        <f t="shared" si="58"/>
        <v>6</v>
      </c>
    </row>
    <row r="317" spans="1:9" ht="12.75">
      <c r="A317" s="8" t="s">
        <v>27</v>
      </c>
      <c r="B317" s="9">
        <f t="shared" si="55"/>
        <v>28</v>
      </c>
      <c r="C317" s="8"/>
      <c r="D317" s="8"/>
      <c r="E317" s="8">
        <v>3</v>
      </c>
      <c r="F317" s="8">
        <v>0</v>
      </c>
      <c r="G317" s="9">
        <f t="shared" si="56"/>
        <v>3</v>
      </c>
      <c r="H317" s="9">
        <f t="shared" si="57"/>
        <v>25</v>
      </c>
      <c r="I317" s="10">
        <f t="shared" si="58"/>
        <v>18</v>
      </c>
    </row>
    <row r="318" spans="1:9" ht="12.75">
      <c r="A318" s="8" t="s">
        <v>28</v>
      </c>
      <c r="B318" s="9">
        <f t="shared" si="55"/>
        <v>14</v>
      </c>
      <c r="C318" s="8"/>
      <c r="D318" s="8">
        <v>34</v>
      </c>
      <c r="E318" s="8">
        <v>8</v>
      </c>
      <c r="F318" s="8">
        <v>3</v>
      </c>
      <c r="G318" s="9">
        <f t="shared" si="56"/>
        <v>5</v>
      </c>
      <c r="H318" s="9">
        <f t="shared" si="57"/>
        <v>43</v>
      </c>
      <c r="I318" s="10">
        <f t="shared" si="58"/>
        <v>30</v>
      </c>
    </row>
    <row r="319" spans="1:9" ht="12.75">
      <c r="A319" s="8" t="s">
        <v>30</v>
      </c>
      <c r="B319" s="9">
        <f t="shared" si="55"/>
        <v>19</v>
      </c>
      <c r="C319" s="8"/>
      <c r="D319" s="8"/>
      <c r="E319" s="8">
        <v>3</v>
      </c>
      <c r="F319" s="8">
        <v>3</v>
      </c>
      <c r="G319" s="9">
        <f t="shared" si="56"/>
        <v>0</v>
      </c>
      <c r="H319" s="9">
        <f t="shared" si="57"/>
        <v>19</v>
      </c>
      <c r="I319" s="10">
        <f t="shared" si="58"/>
        <v>0</v>
      </c>
    </row>
    <row r="320" spans="1:9" ht="12.75">
      <c r="A320" s="13" t="s">
        <v>31</v>
      </c>
      <c r="B320" s="9">
        <f t="shared" si="55"/>
        <v>14</v>
      </c>
      <c r="C320" s="8"/>
      <c r="D320" s="8"/>
      <c r="E320" s="8">
        <v>2</v>
      </c>
      <c r="F320" s="8">
        <v>2</v>
      </c>
      <c r="G320" s="9">
        <f t="shared" si="56"/>
        <v>0</v>
      </c>
      <c r="H320" s="9">
        <f t="shared" si="57"/>
        <v>14</v>
      </c>
      <c r="I320" s="10">
        <f t="shared" si="58"/>
        <v>0</v>
      </c>
    </row>
    <row r="321" spans="1:9" ht="12.75">
      <c r="A321" s="13" t="s">
        <v>32</v>
      </c>
      <c r="B321" s="9">
        <f t="shared" si="55"/>
        <v>3</v>
      </c>
      <c r="C321" s="8"/>
      <c r="D321" s="8"/>
      <c r="E321" s="8">
        <v>2</v>
      </c>
      <c r="F321" s="8">
        <v>2</v>
      </c>
      <c r="G321" s="9">
        <f t="shared" si="56"/>
        <v>0</v>
      </c>
      <c r="H321" s="9">
        <f t="shared" si="57"/>
        <v>3</v>
      </c>
      <c r="I321" s="10">
        <f t="shared" si="58"/>
        <v>0</v>
      </c>
    </row>
    <row r="322" spans="1:9" ht="12.75">
      <c r="A322" s="14" t="s">
        <v>33</v>
      </c>
      <c r="B322" s="15">
        <f>SUM(B300:B321)</f>
        <v>503</v>
      </c>
      <c r="C322" s="14"/>
      <c r="D322" s="14"/>
      <c r="E322" s="15">
        <f t="shared" ref="E322:F322" si="59">SUM(E299:E321)</f>
        <v>103</v>
      </c>
      <c r="F322" s="15">
        <f t="shared" si="59"/>
        <v>76</v>
      </c>
      <c r="G322" s="9">
        <f t="shared" si="56"/>
        <v>27</v>
      </c>
      <c r="H322" s="15">
        <f>SUM(H300:H321)</f>
        <v>508</v>
      </c>
      <c r="I322" s="16">
        <f>SUM(I299:I321)</f>
        <v>162</v>
      </c>
    </row>
    <row r="323" spans="1:9" ht="12.75">
      <c r="A323" s="17"/>
      <c r="B323" s="17"/>
      <c r="C323" s="17"/>
      <c r="D323" s="17"/>
      <c r="E323" s="17"/>
      <c r="F323" s="134" t="s">
        <v>34</v>
      </c>
      <c r="G323" s="133"/>
      <c r="H323" s="18"/>
      <c r="I323" s="19"/>
    </row>
    <row r="325" spans="1:9">
      <c r="A325" s="1"/>
      <c r="B325" s="131" t="s">
        <v>74</v>
      </c>
      <c r="C325" s="132"/>
      <c r="D325" s="132"/>
      <c r="E325" s="132"/>
      <c r="F325" s="132"/>
      <c r="G325" s="132"/>
      <c r="H325" s="132"/>
      <c r="I325" s="133"/>
    </row>
    <row r="326" spans="1:9" ht="45">
      <c r="A326" s="2" t="s">
        <v>1</v>
      </c>
      <c r="B326" s="6" t="s">
        <v>2</v>
      </c>
      <c r="C326" s="4" t="s">
        <v>3</v>
      </c>
      <c r="D326" s="5" t="s">
        <v>4</v>
      </c>
      <c r="E326" s="2" t="s">
        <v>5</v>
      </c>
      <c r="F326" s="2" t="s">
        <v>6</v>
      </c>
      <c r="G326" s="2" t="s">
        <v>7</v>
      </c>
      <c r="H326" s="6" t="s">
        <v>8</v>
      </c>
      <c r="I326" s="7" t="s">
        <v>9</v>
      </c>
    </row>
    <row r="327" spans="1:9" ht="12.75">
      <c r="A327" s="8" t="s">
        <v>10</v>
      </c>
      <c r="B327" s="9">
        <f t="shared" ref="B327:B348" si="60">H300</f>
        <v>29</v>
      </c>
      <c r="C327" s="8"/>
      <c r="D327" s="8"/>
      <c r="E327" s="8">
        <v>6</v>
      </c>
      <c r="F327" s="8">
        <v>0</v>
      </c>
      <c r="G327" s="9">
        <f t="shared" ref="G327:G348" si="61">E327-F327</f>
        <v>6</v>
      </c>
      <c r="H327" s="9">
        <f t="shared" ref="H327:H348" si="62">B327-C327+D327-G327</f>
        <v>23</v>
      </c>
      <c r="I327" s="10">
        <f t="shared" ref="I327:I348" si="63">G327*6</f>
        <v>36</v>
      </c>
    </row>
    <row r="328" spans="1:9" ht="12.75">
      <c r="A328" s="8" t="s">
        <v>11</v>
      </c>
      <c r="B328" s="9">
        <f t="shared" si="60"/>
        <v>34</v>
      </c>
      <c r="C328" s="11"/>
      <c r="D328" s="8"/>
      <c r="E328" s="8">
        <v>5</v>
      </c>
      <c r="F328" s="8">
        <v>4</v>
      </c>
      <c r="G328" s="9">
        <f t="shared" si="61"/>
        <v>1</v>
      </c>
      <c r="H328" s="9">
        <f t="shared" si="62"/>
        <v>33</v>
      </c>
      <c r="I328" s="10">
        <f t="shared" si="63"/>
        <v>6</v>
      </c>
    </row>
    <row r="329" spans="1:9" ht="12.75">
      <c r="A329" s="8" t="s">
        <v>12</v>
      </c>
      <c r="B329" s="9">
        <f t="shared" si="60"/>
        <v>23</v>
      </c>
      <c r="C329" s="8"/>
      <c r="D329" s="8"/>
      <c r="E329" s="8">
        <v>5</v>
      </c>
      <c r="F329" s="8">
        <v>4</v>
      </c>
      <c r="G329" s="9">
        <f t="shared" si="61"/>
        <v>1</v>
      </c>
      <c r="H329" s="9">
        <f t="shared" si="62"/>
        <v>22</v>
      </c>
      <c r="I329" s="10">
        <f t="shared" si="63"/>
        <v>6</v>
      </c>
    </row>
    <row r="330" spans="1:9" ht="12.75">
      <c r="A330" s="8" t="s">
        <v>13</v>
      </c>
      <c r="B330" s="9">
        <f t="shared" si="60"/>
        <v>32</v>
      </c>
      <c r="C330" s="8"/>
      <c r="D330" s="8"/>
      <c r="E330" s="8">
        <v>6</v>
      </c>
      <c r="F330" s="8">
        <v>3</v>
      </c>
      <c r="G330" s="9">
        <f t="shared" si="61"/>
        <v>3</v>
      </c>
      <c r="H330" s="9">
        <f t="shared" si="62"/>
        <v>29</v>
      </c>
      <c r="I330" s="10">
        <f t="shared" si="63"/>
        <v>18</v>
      </c>
    </row>
    <row r="331" spans="1:9" ht="12.75">
      <c r="A331" s="8" t="s">
        <v>14</v>
      </c>
      <c r="B331" s="9">
        <f t="shared" si="60"/>
        <v>8</v>
      </c>
      <c r="C331" s="8"/>
      <c r="D331" s="8">
        <v>34</v>
      </c>
      <c r="E331" s="8">
        <v>4</v>
      </c>
      <c r="F331" s="8">
        <v>4</v>
      </c>
      <c r="G331" s="9">
        <f t="shared" si="61"/>
        <v>0</v>
      </c>
      <c r="H331" s="9">
        <f t="shared" si="62"/>
        <v>42</v>
      </c>
      <c r="I331" s="10">
        <f t="shared" si="63"/>
        <v>0</v>
      </c>
    </row>
    <row r="332" spans="1:9" ht="12.75">
      <c r="A332" s="8" t="s">
        <v>15</v>
      </c>
      <c r="B332" s="9">
        <f t="shared" si="60"/>
        <v>24</v>
      </c>
      <c r="C332" s="8"/>
      <c r="D332" s="8"/>
      <c r="E332" s="8">
        <v>6</v>
      </c>
      <c r="F332" s="8">
        <v>5</v>
      </c>
      <c r="G332" s="9">
        <f t="shared" si="61"/>
        <v>1</v>
      </c>
      <c r="H332" s="9">
        <f t="shared" si="62"/>
        <v>23</v>
      </c>
      <c r="I332" s="10">
        <f t="shared" si="63"/>
        <v>6</v>
      </c>
    </row>
    <row r="333" spans="1:9" ht="12.75">
      <c r="A333" s="8" t="s">
        <v>16</v>
      </c>
      <c r="B333" s="9">
        <f t="shared" si="60"/>
        <v>14</v>
      </c>
      <c r="C333" s="8"/>
      <c r="D333" s="8"/>
      <c r="E333" s="8">
        <v>4</v>
      </c>
      <c r="F333" s="8">
        <v>4</v>
      </c>
      <c r="G333" s="9">
        <f t="shared" si="61"/>
        <v>0</v>
      </c>
      <c r="H333" s="9">
        <f t="shared" si="62"/>
        <v>14</v>
      </c>
      <c r="I333" s="10">
        <f t="shared" si="63"/>
        <v>0</v>
      </c>
    </row>
    <row r="334" spans="1:9" ht="12.75">
      <c r="A334" s="8" t="s">
        <v>17</v>
      </c>
      <c r="B334" s="9">
        <f t="shared" si="60"/>
        <v>18</v>
      </c>
      <c r="C334" s="8"/>
      <c r="D334" s="8"/>
      <c r="E334" s="8">
        <v>4</v>
      </c>
      <c r="F334" s="8">
        <v>3</v>
      </c>
      <c r="G334" s="9">
        <f t="shared" si="61"/>
        <v>1</v>
      </c>
      <c r="H334" s="9">
        <f t="shared" si="62"/>
        <v>17</v>
      </c>
      <c r="I334" s="10">
        <f t="shared" si="63"/>
        <v>6</v>
      </c>
    </row>
    <row r="335" spans="1:9" ht="12.75">
      <c r="A335" s="8" t="s">
        <v>18</v>
      </c>
      <c r="B335" s="9">
        <f t="shared" si="60"/>
        <v>38</v>
      </c>
      <c r="C335" s="8"/>
      <c r="D335" s="8"/>
      <c r="E335" s="8">
        <v>6</v>
      </c>
      <c r="F335" s="8">
        <v>5</v>
      </c>
      <c r="G335" s="9">
        <f t="shared" si="61"/>
        <v>1</v>
      </c>
      <c r="H335" s="9">
        <f t="shared" si="62"/>
        <v>37</v>
      </c>
      <c r="I335" s="10">
        <f t="shared" si="63"/>
        <v>6</v>
      </c>
    </row>
    <row r="336" spans="1:9" ht="12.75">
      <c r="A336" s="8" t="s">
        <v>19</v>
      </c>
      <c r="B336" s="9">
        <f t="shared" si="60"/>
        <v>23</v>
      </c>
      <c r="C336" s="8"/>
      <c r="D336" s="8"/>
      <c r="E336" s="8">
        <v>5</v>
      </c>
      <c r="F336" s="8">
        <v>5</v>
      </c>
      <c r="G336" s="9">
        <f t="shared" si="61"/>
        <v>0</v>
      </c>
      <c r="H336" s="9">
        <f t="shared" si="62"/>
        <v>23</v>
      </c>
      <c r="I336" s="10">
        <f t="shared" si="63"/>
        <v>0</v>
      </c>
    </row>
    <row r="337" spans="1:9" ht="12.75">
      <c r="A337" s="8" t="s">
        <v>20</v>
      </c>
      <c r="B337" s="9">
        <f t="shared" si="60"/>
        <v>21</v>
      </c>
      <c r="C337" s="8"/>
      <c r="D337" s="8"/>
      <c r="E337" s="8">
        <v>5</v>
      </c>
      <c r="F337" s="8">
        <v>2</v>
      </c>
      <c r="G337" s="9">
        <f t="shared" si="61"/>
        <v>3</v>
      </c>
      <c r="H337" s="9">
        <f t="shared" si="62"/>
        <v>18</v>
      </c>
      <c r="I337" s="10">
        <f t="shared" si="63"/>
        <v>18</v>
      </c>
    </row>
    <row r="338" spans="1:9" ht="12.75">
      <c r="A338" s="8" t="s">
        <v>21</v>
      </c>
      <c r="B338" s="9">
        <f t="shared" si="60"/>
        <v>8</v>
      </c>
      <c r="C338" s="8"/>
      <c r="D338" s="8"/>
      <c r="E338" s="8">
        <v>2</v>
      </c>
      <c r="F338" s="8">
        <v>2</v>
      </c>
      <c r="G338" s="9">
        <f t="shared" si="61"/>
        <v>0</v>
      </c>
      <c r="H338" s="9">
        <f t="shared" si="62"/>
        <v>8</v>
      </c>
      <c r="I338" s="10">
        <f t="shared" si="63"/>
        <v>0</v>
      </c>
    </row>
    <row r="339" spans="1:9" ht="12.75">
      <c r="A339" s="8" t="s">
        <v>22</v>
      </c>
      <c r="B339" s="9">
        <f t="shared" si="60"/>
        <v>27</v>
      </c>
      <c r="C339" s="8"/>
      <c r="D339" s="8"/>
      <c r="E339" s="8">
        <v>4</v>
      </c>
      <c r="F339" s="8">
        <v>3</v>
      </c>
      <c r="G339" s="9">
        <f t="shared" si="61"/>
        <v>1</v>
      </c>
      <c r="H339" s="9">
        <f t="shared" si="62"/>
        <v>26</v>
      </c>
      <c r="I339" s="10">
        <f t="shared" si="63"/>
        <v>6</v>
      </c>
    </row>
    <row r="340" spans="1:9" ht="12.75">
      <c r="A340" s="8" t="s">
        <v>23</v>
      </c>
      <c r="B340" s="9">
        <f t="shared" si="60"/>
        <v>30</v>
      </c>
      <c r="C340" s="11"/>
      <c r="D340" s="8"/>
      <c r="E340" s="8">
        <v>6</v>
      </c>
      <c r="F340" s="8">
        <v>4</v>
      </c>
      <c r="G340" s="9">
        <f t="shared" si="61"/>
        <v>2</v>
      </c>
      <c r="H340" s="9">
        <f t="shared" si="62"/>
        <v>28</v>
      </c>
      <c r="I340" s="10">
        <f t="shared" si="63"/>
        <v>12</v>
      </c>
    </row>
    <row r="341" spans="1:9" ht="12.75">
      <c r="A341" s="8" t="s">
        <v>24</v>
      </c>
      <c r="B341" s="9">
        <f t="shared" si="60"/>
        <v>19</v>
      </c>
      <c r="C341" s="8"/>
      <c r="D341" s="8"/>
      <c r="E341" s="8">
        <v>3</v>
      </c>
      <c r="F341" s="8">
        <v>3</v>
      </c>
      <c r="G341" s="9">
        <f t="shared" si="61"/>
        <v>0</v>
      </c>
      <c r="H341" s="9">
        <f t="shared" si="62"/>
        <v>19</v>
      </c>
      <c r="I341" s="10">
        <f t="shared" si="63"/>
        <v>0</v>
      </c>
    </row>
    <row r="342" spans="1:9" ht="12.75">
      <c r="A342" s="8" t="s">
        <v>25</v>
      </c>
      <c r="B342" s="9">
        <f t="shared" si="60"/>
        <v>28</v>
      </c>
      <c r="C342" s="8"/>
      <c r="D342" s="8"/>
      <c r="E342" s="8">
        <v>10</v>
      </c>
      <c r="F342" s="8">
        <v>0</v>
      </c>
      <c r="G342" s="9">
        <f t="shared" si="61"/>
        <v>10</v>
      </c>
      <c r="H342" s="9">
        <f t="shared" si="62"/>
        <v>18</v>
      </c>
      <c r="I342" s="10">
        <f t="shared" si="63"/>
        <v>60</v>
      </c>
    </row>
    <row r="343" spans="1:9" ht="12.75">
      <c r="A343" s="8" t="s">
        <v>26</v>
      </c>
      <c r="B343" s="9">
        <f t="shared" si="60"/>
        <v>28</v>
      </c>
      <c r="C343" s="8"/>
      <c r="D343" s="8"/>
      <c r="E343" s="8">
        <v>5</v>
      </c>
      <c r="F343" s="8">
        <v>1</v>
      </c>
      <c r="G343" s="9">
        <f t="shared" si="61"/>
        <v>4</v>
      </c>
      <c r="H343" s="9">
        <f t="shared" si="62"/>
        <v>24</v>
      </c>
      <c r="I343" s="10">
        <f t="shared" si="63"/>
        <v>24</v>
      </c>
    </row>
    <row r="344" spans="1:9" ht="12.75">
      <c r="A344" s="8" t="s">
        <v>27</v>
      </c>
      <c r="B344" s="9">
        <f t="shared" si="60"/>
        <v>25</v>
      </c>
      <c r="C344" s="8"/>
      <c r="D344" s="8"/>
      <c r="E344" s="8">
        <v>3</v>
      </c>
      <c r="F344" s="8">
        <v>2</v>
      </c>
      <c r="G344" s="9">
        <f t="shared" si="61"/>
        <v>1</v>
      </c>
      <c r="H344" s="9">
        <f t="shared" si="62"/>
        <v>24</v>
      </c>
      <c r="I344" s="10">
        <f t="shared" si="63"/>
        <v>6</v>
      </c>
    </row>
    <row r="345" spans="1:9" ht="12.75">
      <c r="A345" s="8" t="s">
        <v>28</v>
      </c>
      <c r="B345" s="9">
        <f t="shared" si="60"/>
        <v>43</v>
      </c>
      <c r="C345" s="8"/>
      <c r="D345" s="8"/>
      <c r="E345" s="8">
        <v>8</v>
      </c>
      <c r="F345" s="8">
        <v>5</v>
      </c>
      <c r="G345" s="9">
        <f t="shared" si="61"/>
        <v>3</v>
      </c>
      <c r="H345" s="9">
        <f t="shared" si="62"/>
        <v>40</v>
      </c>
      <c r="I345" s="10">
        <f t="shared" si="63"/>
        <v>18</v>
      </c>
    </row>
    <row r="346" spans="1:9" ht="12.75">
      <c r="A346" s="8" t="s">
        <v>30</v>
      </c>
      <c r="B346" s="9">
        <f t="shared" si="60"/>
        <v>19</v>
      </c>
      <c r="C346" s="8"/>
      <c r="D346" s="8"/>
      <c r="E346" s="8">
        <v>3</v>
      </c>
      <c r="F346" s="8">
        <v>3</v>
      </c>
      <c r="G346" s="9">
        <f t="shared" si="61"/>
        <v>0</v>
      </c>
      <c r="H346" s="9">
        <f t="shared" si="62"/>
        <v>19</v>
      </c>
      <c r="I346" s="10">
        <f t="shared" si="63"/>
        <v>0</v>
      </c>
    </row>
    <row r="347" spans="1:9" ht="12.75">
      <c r="A347" s="13" t="s">
        <v>31</v>
      </c>
      <c r="B347" s="9">
        <f t="shared" si="60"/>
        <v>14</v>
      </c>
      <c r="C347" s="8"/>
      <c r="D347" s="8"/>
      <c r="E347" s="8">
        <v>2</v>
      </c>
      <c r="F347" s="8">
        <v>1</v>
      </c>
      <c r="G347" s="9">
        <f t="shared" si="61"/>
        <v>1</v>
      </c>
      <c r="H347" s="9">
        <f t="shared" si="62"/>
        <v>13</v>
      </c>
      <c r="I347" s="10">
        <f t="shared" si="63"/>
        <v>6</v>
      </c>
    </row>
    <row r="348" spans="1:9" ht="12.75">
      <c r="A348" s="13" t="s">
        <v>32</v>
      </c>
      <c r="B348" s="9">
        <f t="shared" si="60"/>
        <v>3</v>
      </c>
      <c r="C348" s="8"/>
      <c r="D348" s="8"/>
      <c r="E348" s="8">
        <v>2</v>
      </c>
      <c r="F348" s="8">
        <v>1</v>
      </c>
      <c r="G348" s="9">
        <f t="shared" si="61"/>
        <v>1</v>
      </c>
      <c r="H348" s="9">
        <f t="shared" si="62"/>
        <v>2</v>
      </c>
      <c r="I348" s="10">
        <f t="shared" si="63"/>
        <v>6</v>
      </c>
    </row>
    <row r="349" spans="1:9" ht="12.75">
      <c r="A349" s="14" t="s">
        <v>33</v>
      </c>
      <c r="B349" s="15">
        <f>SUM(B327:B348)</f>
        <v>508</v>
      </c>
      <c r="C349" s="14"/>
      <c r="D349" s="14"/>
      <c r="E349" s="15">
        <f t="shared" ref="E349:G349" si="64">SUM(E326:E348)</f>
        <v>104</v>
      </c>
      <c r="F349" s="15">
        <f t="shared" si="64"/>
        <v>64</v>
      </c>
      <c r="G349" s="15">
        <f t="shared" si="64"/>
        <v>40</v>
      </c>
      <c r="H349" s="15">
        <f>SUM(H327:H348)</f>
        <v>502</v>
      </c>
      <c r="I349" s="16">
        <f>SUM(I326:I348)</f>
        <v>240</v>
      </c>
    </row>
    <row r="350" spans="1:9" ht="12.75">
      <c r="A350" s="17"/>
      <c r="B350" s="17"/>
      <c r="C350" s="17"/>
      <c r="D350" s="17"/>
      <c r="E350" s="17"/>
      <c r="F350" s="134" t="s">
        <v>34</v>
      </c>
      <c r="G350" s="133"/>
      <c r="H350" s="18"/>
      <c r="I350" s="19"/>
    </row>
    <row r="352" spans="1:9">
      <c r="A352" s="1"/>
      <c r="B352" s="131" t="s">
        <v>75</v>
      </c>
      <c r="C352" s="132"/>
      <c r="D352" s="132"/>
      <c r="E352" s="132"/>
      <c r="F352" s="132"/>
      <c r="G352" s="132"/>
      <c r="H352" s="132"/>
      <c r="I352" s="133"/>
    </row>
    <row r="353" spans="1:9" ht="45">
      <c r="A353" s="2" t="s">
        <v>1</v>
      </c>
      <c r="B353" s="6" t="s">
        <v>2</v>
      </c>
      <c r="C353" s="4" t="s">
        <v>3</v>
      </c>
      <c r="D353" s="5" t="s">
        <v>4</v>
      </c>
      <c r="E353" s="2" t="s">
        <v>5</v>
      </c>
      <c r="F353" s="2" t="s">
        <v>6</v>
      </c>
      <c r="G353" s="2" t="s">
        <v>7</v>
      </c>
      <c r="H353" s="6" t="s">
        <v>8</v>
      </c>
      <c r="I353" s="7" t="s">
        <v>9</v>
      </c>
    </row>
    <row r="354" spans="1:9" ht="12.75">
      <c r="A354" s="8" t="s">
        <v>10</v>
      </c>
      <c r="B354" s="9">
        <f t="shared" ref="B354:B375" si="65">H327</f>
        <v>23</v>
      </c>
      <c r="C354" s="8">
        <v>1</v>
      </c>
      <c r="D354" s="8"/>
      <c r="E354" s="8">
        <v>7</v>
      </c>
      <c r="F354" s="8">
        <v>7</v>
      </c>
      <c r="G354" s="9">
        <f t="shared" ref="G354:G375" si="66">E354-F354</f>
        <v>0</v>
      </c>
      <c r="H354" s="9">
        <f t="shared" ref="H354:H375" si="67">B354-C354+D354-G354</f>
        <v>22</v>
      </c>
      <c r="I354" s="10">
        <f t="shared" ref="I354:I375" si="68">G354*6</f>
        <v>0</v>
      </c>
    </row>
    <row r="355" spans="1:9" ht="12.75">
      <c r="A355" s="8" t="s">
        <v>11</v>
      </c>
      <c r="B355" s="9">
        <f t="shared" si="65"/>
        <v>33</v>
      </c>
      <c r="C355" s="11"/>
      <c r="D355" s="8"/>
      <c r="E355" s="8">
        <v>5</v>
      </c>
      <c r="F355" s="8">
        <v>5</v>
      </c>
      <c r="G355" s="9">
        <f t="shared" si="66"/>
        <v>0</v>
      </c>
      <c r="H355" s="9">
        <f t="shared" si="67"/>
        <v>33</v>
      </c>
      <c r="I355" s="10">
        <f t="shared" si="68"/>
        <v>0</v>
      </c>
    </row>
    <row r="356" spans="1:9" ht="12.75">
      <c r="A356" s="8" t="s">
        <v>12</v>
      </c>
      <c r="B356" s="9">
        <f t="shared" si="65"/>
        <v>22</v>
      </c>
      <c r="C356" s="8"/>
      <c r="D356" s="8">
        <v>41</v>
      </c>
      <c r="E356" s="8">
        <v>2</v>
      </c>
      <c r="F356" s="8">
        <v>0</v>
      </c>
      <c r="G356" s="9">
        <f t="shared" si="66"/>
        <v>2</v>
      </c>
      <c r="H356" s="9">
        <f t="shared" si="67"/>
        <v>61</v>
      </c>
      <c r="I356" s="10">
        <f t="shared" si="68"/>
        <v>12</v>
      </c>
    </row>
    <row r="357" spans="1:9" ht="12.75">
      <c r="A357" s="8" t="s">
        <v>13</v>
      </c>
      <c r="B357" s="9">
        <f t="shared" si="65"/>
        <v>29</v>
      </c>
      <c r="C357" s="8"/>
      <c r="D357" s="8"/>
      <c r="E357" s="8">
        <v>6</v>
      </c>
      <c r="F357" s="8">
        <v>2</v>
      </c>
      <c r="G357" s="9">
        <f t="shared" si="66"/>
        <v>4</v>
      </c>
      <c r="H357" s="9">
        <f t="shared" si="67"/>
        <v>25</v>
      </c>
      <c r="I357" s="10">
        <f t="shared" si="68"/>
        <v>24</v>
      </c>
    </row>
    <row r="358" spans="1:9" ht="12.75">
      <c r="A358" s="8" t="s">
        <v>14</v>
      </c>
      <c r="B358" s="9">
        <f t="shared" si="65"/>
        <v>42</v>
      </c>
      <c r="C358" s="8"/>
      <c r="D358" s="8"/>
      <c r="E358" s="8">
        <v>4</v>
      </c>
      <c r="F358" s="8">
        <v>3</v>
      </c>
      <c r="G358" s="9">
        <f t="shared" si="66"/>
        <v>1</v>
      </c>
      <c r="H358" s="9">
        <f t="shared" si="67"/>
        <v>41</v>
      </c>
      <c r="I358" s="10">
        <f t="shared" si="68"/>
        <v>6</v>
      </c>
    </row>
    <row r="359" spans="1:9" ht="12.75">
      <c r="A359" s="8" t="s">
        <v>15</v>
      </c>
      <c r="B359" s="9">
        <f t="shared" si="65"/>
        <v>23</v>
      </c>
      <c r="C359" s="8"/>
      <c r="D359" s="8"/>
      <c r="E359" s="8">
        <v>6</v>
      </c>
      <c r="F359" s="8">
        <v>6</v>
      </c>
      <c r="G359" s="9">
        <f t="shared" si="66"/>
        <v>0</v>
      </c>
      <c r="H359" s="9">
        <f t="shared" si="67"/>
        <v>23</v>
      </c>
      <c r="I359" s="10">
        <f t="shared" si="68"/>
        <v>0</v>
      </c>
    </row>
    <row r="360" spans="1:9" ht="12.75">
      <c r="A360" s="8" t="s">
        <v>16</v>
      </c>
      <c r="B360" s="9">
        <f t="shared" si="65"/>
        <v>14</v>
      </c>
      <c r="C360" s="8"/>
      <c r="D360" s="8">
        <v>34</v>
      </c>
      <c r="E360" s="8">
        <v>4</v>
      </c>
      <c r="F360" s="8">
        <v>1</v>
      </c>
      <c r="G360" s="9">
        <f t="shared" si="66"/>
        <v>3</v>
      </c>
      <c r="H360" s="9">
        <f t="shared" si="67"/>
        <v>45</v>
      </c>
      <c r="I360" s="10">
        <f t="shared" si="68"/>
        <v>18</v>
      </c>
    </row>
    <row r="361" spans="1:9" ht="12.75">
      <c r="A361" s="8" t="s">
        <v>17</v>
      </c>
      <c r="B361" s="9">
        <f t="shared" si="65"/>
        <v>17</v>
      </c>
      <c r="C361" s="8"/>
      <c r="D361" s="8"/>
      <c r="E361" s="8">
        <v>4</v>
      </c>
      <c r="F361" s="8">
        <v>1</v>
      </c>
      <c r="G361" s="9">
        <f t="shared" si="66"/>
        <v>3</v>
      </c>
      <c r="H361" s="9">
        <f t="shared" si="67"/>
        <v>14</v>
      </c>
      <c r="I361" s="10">
        <f t="shared" si="68"/>
        <v>18</v>
      </c>
    </row>
    <row r="362" spans="1:9" ht="12.75">
      <c r="A362" s="8" t="s">
        <v>18</v>
      </c>
      <c r="B362" s="9">
        <f t="shared" si="65"/>
        <v>37</v>
      </c>
      <c r="C362" s="8"/>
      <c r="D362" s="8"/>
      <c r="E362" s="8">
        <v>6</v>
      </c>
      <c r="F362" s="8">
        <v>5</v>
      </c>
      <c r="G362" s="9">
        <f t="shared" si="66"/>
        <v>1</v>
      </c>
      <c r="H362" s="9">
        <f t="shared" si="67"/>
        <v>36</v>
      </c>
      <c r="I362" s="10">
        <f t="shared" si="68"/>
        <v>6</v>
      </c>
    </row>
    <row r="363" spans="1:9" ht="12.75">
      <c r="A363" s="8" t="s">
        <v>19</v>
      </c>
      <c r="B363" s="9">
        <f t="shared" si="65"/>
        <v>23</v>
      </c>
      <c r="C363" s="8"/>
      <c r="D363" s="8"/>
      <c r="E363" s="8">
        <v>6</v>
      </c>
      <c r="F363" s="8">
        <v>4</v>
      </c>
      <c r="G363" s="9">
        <f t="shared" si="66"/>
        <v>2</v>
      </c>
      <c r="H363" s="9">
        <f t="shared" si="67"/>
        <v>21</v>
      </c>
      <c r="I363" s="10">
        <f t="shared" si="68"/>
        <v>12</v>
      </c>
    </row>
    <row r="364" spans="1:9" ht="12.75">
      <c r="A364" s="8" t="s">
        <v>20</v>
      </c>
      <c r="B364" s="9">
        <f t="shared" si="65"/>
        <v>18</v>
      </c>
      <c r="C364" s="8"/>
      <c r="D364" s="8"/>
      <c r="E364" s="8">
        <v>6</v>
      </c>
      <c r="F364" s="8">
        <v>6</v>
      </c>
      <c r="G364" s="9">
        <f t="shared" si="66"/>
        <v>0</v>
      </c>
      <c r="H364" s="9">
        <f t="shared" si="67"/>
        <v>18</v>
      </c>
      <c r="I364" s="10">
        <f t="shared" si="68"/>
        <v>0</v>
      </c>
    </row>
    <row r="365" spans="1:9" ht="12.75">
      <c r="A365" s="8" t="s">
        <v>21</v>
      </c>
      <c r="B365" s="9">
        <f t="shared" si="65"/>
        <v>8</v>
      </c>
      <c r="C365" s="8"/>
      <c r="D365" s="8"/>
      <c r="E365" s="8">
        <v>2</v>
      </c>
      <c r="F365" s="8">
        <v>2</v>
      </c>
      <c r="G365" s="9">
        <f t="shared" si="66"/>
        <v>0</v>
      </c>
      <c r="H365" s="9">
        <f t="shared" si="67"/>
        <v>8</v>
      </c>
      <c r="I365" s="10">
        <f t="shared" si="68"/>
        <v>0</v>
      </c>
    </row>
    <row r="366" spans="1:9" ht="12.75">
      <c r="A366" s="8" t="s">
        <v>22</v>
      </c>
      <c r="B366" s="9">
        <f t="shared" si="65"/>
        <v>26</v>
      </c>
      <c r="C366" s="8"/>
      <c r="D366" s="8"/>
      <c r="E366" s="8">
        <v>4</v>
      </c>
      <c r="F366" s="8">
        <v>2</v>
      </c>
      <c r="G366" s="9">
        <f t="shared" si="66"/>
        <v>2</v>
      </c>
      <c r="H366" s="9">
        <f t="shared" si="67"/>
        <v>24</v>
      </c>
      <c r="I366" s="10">
        <f t="shared" si="68"/>
        <v>12</v>
      </c>
    </row>
    <row r="367" spans="1:9" ht="12.75">
      <c r="A367" s="8" t="s">
        <v>23</v>
      </c>
      <c r="B367" s="9">
        <f t="shared" si="65"/>
        <v>28</v>
      </c>
      <c r="C367" s="11"/>
      <c r="D367" s="8">
        <v>31</v>
      </c>
      <c r="E367" s="8">
        <v>8</v>
      </c>
      <c r="F367" s="8">
        <v>1</v>
      </c>
      <c r="G367" s="9">
        <f t="shared" si="66"/>
        <v>7</v>
      </c>
      <c r="H367" s="9">
        <f t="shared" si="67"/>
        <v>52</v>
      </c>
      <c r="I367" s="10">
        <f t="shared" si="68"/>
        <v>42</v>
      </c>
    </row>
    <row r="368" spans="1:9" ht="12.75">
      <c r="A368" s="8" t="s">
        <v>24</v>
      </c>
      <c r="B368" s="9">
        <f t="shared" si="65"/>
        <v>19</v>
      </c>
      <c r="C368" s="8"/>
      <c r="D368" s="8"/>
      <c r="E368" s="8">
        <v>3</v>
      </c>
      <c r="F368" s="8">
        <v>3</v>
      </c>
      <c r="G368" s="9">
        <f t="shared" si="66"/>
        <v>0</v>
      </c>
      <c r="H368" s="9">
        <f t="shared" si="67"/>
        <v>19</v>
      </c>
      <c r="I368" s="10">
        <f t="shared" si="68"/>
        <v>0</v>
      </c>
    </row>
    <row r="369" spans="1:9" ht="12.75">
      <c r="A369" s="8" t="s">
        <v>25</v>
      </c>
      <c r="B369" s="9">
        <f t="shared" si="65"/>
        <v>18</v>
      </c>
      <c r="C369" s="8">
        <v>1</v>
      </c>
      <c r="D369" s="8">
        <v>62</v>
      </c>
      <c r="E369" s="8">
        <v>10</v>
      </c>
      <c r="F369" s="8">
        <v>2</v>
      </c>
      <c r="G369" s="9">
        <f t="shared" si="66"/>
        <v>8</v>
      </c>
      <c r="H369" s="9">
        <f t="shared" si="67"/>
        <v>71</v>
      </c>
      <c r="I369" s="10">
        <f t="shared" si="68"/>
        <v>48</v>
      </c>
    </row>
    <row r="370" spans="1:9" ht="12.75">
      <c r="A370" s="8" t="s">
        <v>26</v>
      </c>
      <c r="B370" s="9">
        <f t="shared" si="65"/>
        <v>24</v>
      </c>
      <c r="C370" s="8"/>
      <c r="D370" s="8"/>
      <c r="E370" s="8">
        <v>5</v>
      </c>
      <c r="F370" s="8">
        <v>4</v>
      </c>
      <c r="G370" s="9">
        <f t="shared" si="66"/>
        <v>1</v>
      </c>
      <c r="H370" s="9">
        <f t="shared" si="67"/>
        <v>23</v>
      </c>
      <c r="I370" s="10">
        <f t="shared" si="68"/>
        <v>6</v>
      </c>
    </row>
    <row r="371" spans="1:9" ht="12.75">
      <c r="A371" s="8" t="s">
        <v>27</v>
      </c>
      <c r="B371" s="9">
        <f t="shared" si="65"/>
        <v>24</v>
      </c>
      <c r="C371" s="8"/>
      <c r="D371" s="8"/>
      <c r="E371" s="8">
        <v>3</v>
      </c>
      <c r="F371" s="8">
        <v>3</v>
      </c>
      <c r="G371" s="9">
        <f t="shared" si="66"/>
        <v>0</v>
      </c>
      <c r="H371" s="9">
        <f t="shared" si="67"/>
        <v>24</v>
      </c>
      <c r="I371" s="10">
        <f t="shared" si="68"/>
        <v>0</v>
      </c>
    </row>
    <row r="372" spans="1:9" ht="12.75">
      <c r="A372" s="8" t="s">
        <v>28</v>
      </c>
      <c r="B372" s="9">
        <f t="shared" si="65"/>
        <v>40</v>
      </c>
      <c r="C372" s="8"/>
      <c r="D372" s="8"/>
      <c r="E372" s="8">
        <v>8</v>
      </c>
      <c r="F372" s="8">
        <v>5</v>
      </c>
      <c r="G372" s="9">
        <f t="shared" si="66"/>
        <v>3</v>
      </c>
      <c r="H372" s="9">
        <f t="shared" si="67"/>
        <v>37</v>
      </c>
      <c r="I372" s="10">
        <f t="shared" si="68"/>
        <v>18</v>
      </c>
    </row>
    <row r="373" spans="1:9" ht="12.75">
      <c r="A373" s="8" t="s">
        <v>30</v>
      </c>
      <c r="B373" s="9">
        <f t="shared" si="65"/>
        <v>19</v>
      </c>
      <c r="C373" s="8"/>
      <c r="D373" s="8"/>
      <c r="E373" s="8">
        <v>3</v>
      </c>
      <c r="F373" s="8">
        <v>2</v>
      </c>
      <c r="G373" s="9">
        <f t="shared" si="66"/>
        <v>1</v>
      </c>
      <c r="H373" s="9">
        <f t="shared" si="67"/>
        <v>18</v>
      </c>
      <c r="I373" s="10">
        <f t="shared" si="68"/>
        <v>6</v>
      </c>
    </row>
    <row r="374" spans="1:9" ht="12.75">
      <c r="A374" s="13" t="s">
        <v>31</v>
      </c>
      <c r="B374" s="9">
        <f t="shared" si="65"/>
        <v>13</v>
      </c>
      <c r="C374" s="8"/>
      <c r="D374" s="8"/>
      <c r="E374" s="8">
        <v>2</v>
      </c>
      <c r="F374" s="8">
        <v>2</v>
      </c>
      <c r="G374" s="9">
        <f t="shared" si="66"/>
        <v>0</v>
      </c>
      <c r="H374" s="9">
        <f t="shared" si="67"/>
        <v>13</v>
      </c>
      <c r="I374" s="10">
        <f t="shared" si="68"/>
        <v>0</v>
      </c>
    </row>
    <row r="375" spans="1:9" ht="12.75">
      <c r="A375" s="13" t="s">
        <v>32</v>
      </c>
      <c r="B375" s="9">
        <f t="shared" si="65"/>
        <v>2</v>
      </c>
      <c r="C375" s="8"/>
      <c r="D375" s="8">
        <v>2</v>
      </c>
      <c r="E375" s="8">
        <v>2</v>
      </c>
      <c r="F375" s="8">
        <v>0</v>
      </c>
      <c r="G375" s="9">
        <f t="shared" si="66"/>
        <v>2</v>
      </c>
      <c r="H375" s="9">
        <f t="shared" si="67"/>
        <v>2</v>
      </c>
      <c r="I375" s="10">
        <f t="shared" si="68"/>
        <v>12</v>
      </c>
    </row>
    <row r="376" spans="1:9" ht="12.75">
      <c r="A376" s="14" t="s">
        <v>33</v>
      </c>
      <c r="B376" s="15">
        <f>SUM(B354:B375)</f>
        <v>502</v>
      </c>
      <c r="C376" s="14"/>
      <c r="D376" s="14"/>
      <c r="E376" s="15">
        <f t="shared" ref="E376:G376" si="69">SUM(E353:E375)</f>
        <v>106</v>
      </c>
      <c r="F376" s="15">
        <f t="shared" si="69"/>
        <v>66</v>
      </c>
      <c r="G376" s="15">
        <f t="shared" si="69"/>
        <v>40</v>
      </c>
      <c r="H376" s="15">
        <f>SUM(H354:H375)</f>
        <v>630</v>
      </c>
      <c r="I376" s="16">
        <f>SUM(I353:I375)</f>
        <v>240</v>
      </c>
    </row>
    <row r="377" spans="1:9" ht="12.75">
      <c r="A377" s="17"/>
      <c r="B377" s="17"/>
      <c r="C377" s="17"/>
      <c r="D377" s="17"/>
      <c r="E377" s="17"/>
      <c r="F377" s="134" t="s">
        <v>34</v>
      </c>
      <c r="G377" s="133"/>
      <c r="H377" s="18"/>
      <c r="I377" s="19"/>
    </row>
    <row r="379" spans="1:9">
      <c r="A379" s="1"/>
      <c r="B379" s="131" t="s">
        <v>76</v>
      </c>
      <c r="C379" s="132"/>
      <c r="D379" s="132"/>
      <c r="E379" s="132"/>
      <c r="F379" s="132"/>
      <c r="G379" s="132"/>
      <c r="H379" s="132"/>
      <c r="I379" s="133"/>
    </row>
    <row r="380" spans="1:9" ht="45">
      <c r="A380" s="2" t="s">
        <v>1</v>
      </c>
      <c r="B380" s="6" t="s">
        <v>2</v>
      </c>
      <c r="C380" s="4" t="s">
        <v>3</v>
      </c>
      <c r="D380" s="5" t="s">
        <v>4</v>
      </c>
      <c r="E380" s="2" t="s">
        <v>5</v>
      </c>
      <c r="F380" s="2" t="s">
        <v>6</v>
      </c>
      <c r="G380" s="2" t="s">
        <v>7</v>
      </c>
      <c r="H380" s="6" t="s">
        <v>8</v>
      </c>
      <c r="I380" s="7" t="s">
        <v>9</v>
      </c>
    </row>
    <row r="381" spans="1:9" ht="12.75">
      <c r="A381" s="8" t="s">
        <v>10</v>
      </c>
      <c r="B381" s="9">
        <f t="shared" ref="B381:B402" si="70">H354</f>
        <v>22</v>
      </c>
      <c r="C381" s="8"/>
      <c r="D381" s="8"/>
      <c r="E381" s="8"/>
      <c r="F381" s="8"/>
      <c r="G381" s="9">
        <f t="shared" ref="G381:G402" si="71">E381-F381</f>
        <v>0</v>
      </c>
      <c r="H381" s="9">
        <f t="shared" ref="H381:H402" si="72">B381-C381+D381-G381</f>
        <v>22</v>
      </c>
      <c r="I381" s="10">
        <f t="shared" ref="I381:I402" si="73">G381*4.8</f>
        <v>0</v>
      </c>
    </row>
    <row r="382" spans="1:9" ht="12.75">
      <c r="A382" s="8" t="s">
        <v>11</v>
      </c>
      <c r="B382" s="9">
        <f t="shared" si="70"/>
        <v>33</v>
      </c>
      <c r="C382" s="11"/>
      <c r="D382" s="8"/>
      <c r="E382" s="8"/>
      <c r="F382" s="8"/>
      <c r="G382" s="9">
        <f t="shared" si="71"/>
        <v>0</v>
      </c>
      <c r="H382" s="9">
        <f t="shared" si="72"/>
        <v>33</v>
      </c>
      <c r="I382" s="10">
        <f t="shared" si="73"/>
        <v>0</v>
      </c>
    </row>
    <row r="383" spans="1:9" ht="12.75">
      <c r="A383" s="8" t="s">
        <v>12</v>
      </c>
      <c r="B383" s="9">
        <f t="shared" si="70"/>
        <v>61</v>
      </c>
      <c r="C383" s="8"/>
      <c r="D383" s="8"/>
      <c r="E383" s="8">
        <v>20</v>
      </c>
      <c r="F383" s="8"/>
      <c r="G383" s="9">
        <f t="shared" si="71"/>
        <v>20</v>
      </c>
      <c r="H383" s="9">
        <f t="shared" si="72"/>
        <v>41</v>
      </c>
      <c r="I383" s="10">
        <f t="shared" si="73"/>
        <v>96</v>
      </c>
    </row>
    <row r="384" spans="1:9" ht="12.75">
      <c r="A384" s="8" t="s">
        <v>13</v>
      </c>
      <c r="B384" s="9">
        <f t="shared" si="70"/>
        <v>25</v>
      </c>
      <c r="C384" s="8"/>
      <c r="D384" s="8"/>
      <c r="E384" s="8"/>
      <c r="F384" s="8"/>
      <c r="G384" s="9">
        <f t="shared" si="71"/>
        <v>0</v>
      </c>
      <c r="H384" s="9">
        <f t="shared" si="72"/>
        <v>25</v>
      </c>
      <c r="I384" s="10">
        <f t="shared" si="73"/>
        <v>0</v>
      </c>
    </row>
    <row r="385" spans="1:9" ht="12.75">
      <c r="A385" s="8" t="s">
        <v>14</v>
      </c>
      <c r="B385" s="9">
        <f t="shared" si="70"/>
        <v>41</v>
      </c>
      <c r="C385" s="8"/>
      <c r="D385" s="8"/>
      <c r="E385" s="8">
        <v>10</v>
      </c>
      <c r="F385" s="8"/>
      <c r="G385" s="9">
        <f t="shared" si="71"/>
        <v>10</v>
      </c>
      <c r="H385" s="9">
        <f t="shared" si="72"/>
        <v>31</v>
      </c>
      <c r="I385" s="10">
        <f t="shared" si="73"/>
        <v>48</v>
      </c>
    </row>
    <row r="386" spans="1:9" ht="12.75">
      <c r="A386" s="8" t="s">
        <v>15</v>
      </c>
      <c r="B386" s="9">
        <f t="shared" si="70"/>
        <v>23</v>
      </c>
      <c r="C386" s="8"/>
      <c r="D386" s="8"/>
      <c r="E386" s="8"/>
      <c r="F386" s="8"/>
      <c r="G386" s="9">
        <f t="shared" si="71"/>
        <v>0</v>
      </c>
      <c r="H386" s="9">
        <f t="shared" si="72"/>
        <v>23</v>
      </c>
      <c r="I386" s="10">
        <f t="shared" si="73"/>
        <v>0</v>
      </c>
    </row>
    <row r="387" spans="1:9" ht="12.75">
      <c r="A387" s="8" t="s">
        <v>16</v>
      </c>
      <c r="B387" s="9">
        <f t="shared" si="70"/>
        <v>45</v>
      </c>
      <c r="C387" s="8"/>
      <c r="D387" s="8"/>
      <c r="E387" s="8">
        <v>20</v>
      </c>
      <c r="F387" s="8"/>
      <c r="G387" s="9">
        <f t="shared" si="71"/>
        <v>20</v>
      </c>
      <c r="H387" s="9">
        <f t="shared" si="72"/>
        <v>25</v>
      </c>
      <c r="I387" s="10">
        <f t="shared" si="73"/>
        <v>96</v>
      </c>
    </row>
    <row r="388" spans="1:9" ht="12.75">
      <c r="A388" s="8" t="s">
        <v>17</v>
      </c>
      <c r="B388" s="9">
        <f t="shared" si="70"/>
        <v>14</v>
      </c>
      <c r="C388" s="8"/>
      <c r="D388" s="8"/>
      <c r="E388" s="8"/>
      <c r="F388" s="8"/>
      <c r="G388" s="9">
        <f t="shared" si="71"/>
        <v>0</v>
      </c>
      <c r="H388" s="9">
        <f t="shared" si="72"/>
        <v>14</v>
      </c>
      <c r="I388" s="10">
        <f t="shared" si="73"/>
        <v>0</v>
      </c>
    </row>
    <row r="389" spans="1:9" ht="12.75">
      <c r="A389" s="8" t="s">
        <v>18</v>
      </c>
      <c r="B389" s="9">
        <f t="shared" si="70"/>
        <v>36</v>
      </c>
      <c r="C389" s="8"/>
      <c r="D389" s="8"/>
      <c r="E389" s="8"/>
      <c r="F389" s="8"/>
      <c r="G389" s="9">
        <f t="shared" si="71"/>
        <v>0</v>
      </c>
      <c r="H389" s="9">
        <f t="shared" si="72"/>
        <v>36</v>
      </c>
      <c r="I389" s="10">
        <f t="shared" si="73"/>
        <v>0</v>
      </c>
    </row>
    <row r="390" spans="1:9" ht="12.75">
      <c r="A390" s="8" t="s">
        <v>19</v>
      </c>
      <c r="B390" s="9">
        <f t="shared" si="70"/>
        <v>21</v>
      </c>
      <c r="C390" s="8"/>
      <c r="D390" s="8"/>
      <c r="E390" s="8">
        <v>10</v>
      </c>
      <c r="F390" s="8"/>
      <c r="G390" s="9">
        <f t="shared" si="71"/>
        <v>10</v>
      </c>
      <c r="H390" s="9">
        <f t="shared" si="72"/>
        <v>11</v>
      </c>
      <c r="I390" s="10">
        <f t="shared" si="73"/>
        <v>48</v>
      </c>
    </row>
    <row r="391" spans="1:9" ht="12.75">
      <c r="A391" s="8" t="s">
        <v>20</v>
      </c>
      <c r="B391" s="9">
        <f t="shared" si="70"/>
        <v>18</v>
      </c>
      <c r="C391" s="8"/>
      <c r="D391" s="8"/>
      <c r="E391" s="8"/>
      <c r="F391" s="8"/>
      <c r="G391" s="9">
        <f t="shared" si="71"/>
        <v>0</v>
      </c>
      <c r="H391" s="9">
        <f t="shared" si="72"/>
        <v>18</v>
      </c>
      <c r="I391" s="10">
        <f t="shared" si="73"/>
        <v>0</v>
      </c>
    </row>
    <row r="392" spans="1:9" ht="12.75">
      <c r="A392" s="8" t="s">
        <v>21</v>
      </c>
      <c r="B392" s="9">
        <f t="shared" si="70"/>
        <v>8</v>
      </c>
      <c r="C392" s="8"/>
      <c r="D392" s="8"/>
      <c r="E392" s="8"/>
      <c r="F392" s="8"/>
      <c r="G392" s="9">
        <f t="shared" si="71"/>
        <v>0</v>
      </c>
      <c r="H392" s="9">
        <f t="shared" si="72"/>
        <v>8</v>
      </c>
      <c r="I392" s="10">
        <f t="shared" si="73"/>
        <v>0</v>
      </c>
    </row>
    <row r="393" spans="1:9" ht="12.75">
      <c r="A393" s="8" t="s">
        <v>22</v>
      </c>
      <c r="B393" s="9">
        <f t="shared" si="70"/>
        <v>24</v>
      </c>
      <c r="C393" s="8"/>
      <c r="D393" s="8"/>
      <c r="E393" s="8">
        <v>10</v>
      </c>
      <c r="F393" s="8"/>
      <c r="G393" s="9">
        <f t="shared" si="71"/>
        <v>10</v>
      </c>
      <c r="H393" s="9">
        <f t="shared" si="72"/>
        <v>14</v>
      </c>
      <c r="I393" s="10">
        <f t="shared" si="73"/>
        <v>48</v>
      </c>
    </row>
    <row r="394" spans="1:9" ht="12.75">
      <c r="A394" s="8" t="s">
        <v>23</v>
      </c>
      <c r="B394" s="9">
        <f t="shared" si="70"/>
        <v>52</v>
      </c>
      <c r="C394" s="11"/>
      <c r="D394" s="8"/>
      <c r="E394" s="8">
        <v>30</v>
      </c>
      <c r="F394" s="8"/>
      <c r="G394" s="9">
        <f t="shared" si="71"/>
        <v>30</v>
      </c>
      <c r="H394" s="9">
        <f t="shared" si="72"/>
        <v>22</v>
      </c>
      <c r="I394" s="10">
        <f t="shared" si="73"/>
        <v>144</v>
      </c>
    </row>
    <row r="395" spans="1:9" ht="12.75">
      <c r="A395" s="8" t="s">
        <v>24</v>
      </c>
      <c r="B395" s="9">
        <f t="shared" si="70"/>
        <v>19</v>
      </c>
      <c r="C395" s="8"/>
      <c r="D395" s="8"/>
      <c r="E395" s="8"/>
      <c r="F395" s="8"/>
      <c r="G395" s="9">
        <f t="shared" si="71"/>
        <v>0</v>
      </c>
      <c r="H395" s="9">
        <f t="shared" si="72"/>
        <v>19</v>
      </c>
      <c r="I395" s="10">
        <f t="shared" si="73"/>
        <v>0</v>
      </c>
    </row>
    <row r="396" spans="1:9" ht="12.75">
      <c r="A396" s="8" t="s">
        <v>25</v>
      </c>
      <c r="B396" s="9">
        <f t="shared" si="70"/>
        <v>71</v>
      </c>
      <c r="C396" s="8"/>
      <c r="D396" s="8"/>
      <c r="E396" s="8">
        <v>40</v>
      </c>
      <c r="F396" s="8"/>
      <c r="G396" s="9">
        <f t="shared" si="71"/>
        <v>40</v>
      </c>
      <c r="H396" s="9">
        <f t="shared" si="72"/>
        <v>31</v>
      </c>
      <c r="I396" s="10">
        <f t="shared" si="73"/>
        <v>192</v>
      </c>
    </row>
    <row r="397" spans="1:9" ht="12.75">
      <c r="A397" s="8" t="s">
        <v>26</v>
      </c>
      <c r="B397" s="9">
        <f t="shared" si="70"/>
        <v>23</v>
      </c>
      <c r="C397" s="8"/>
      <c r="D397" s="8"/>
      <c r="E397" s="8"/>
      <c r="F397" s="8"/>
      <c r="G397" s="9">
        <f t="shared" si="71"/>
        <v>0</v>
      </c>
      <c r="H397" s="9">
        <f t="shared" si="72"/>
        <v>23</v>
      </c>
      <c r="I397" s="10">
        <f t="shared" si="73"/>
        <v>0</v>
      </c>
    </row>
    <row r="398" spans="1:9" ht="12.75">
      <c r="A398" s="8" t="s">
        <v>27</v>
      </c>
      <c r="B398" s="9">
        <f t="shared" si="70"/>
        <v>24</v>
      </c>
      <c r="C398" s="8"/>
      <c r="D398" s="8"/>
      <c r="E398" s="8"/>
      <c r="F398" s="8"/>
      <c r="G398" s="9">
        <f t="shared" si="71"/>
        <v>0</v>
      </c>
      <c r="H398" s="9">
        <f t="shared" si="72"/>
        <v>24</v>
      </c>
      <c r="I398" s="10">
        <f t="shared" si="73"/>
        <v>0</v>
      </c>
    </row>
    <row r="399" spans="1:9" ht="12.75">
      <c r="A399" s="8" t="s">
        <v>28</v>
      </c>
      <c r="B399" s="9">
        <f t="shared" si="70"/>
        <v>37</v>
      </c>
      <c r="C399" s="8"/>
      <c r="D399" s="8"/>
      <c r="E399" s="8">
        <v>10</v>
      </c>
      <c r="F399" s="8"/>
      <c r="G399" s="9">
        <f t="shared" si="71"/>
        <v>10</v>
      </c>
      <c r="H399" s="9">
        <f t="shared" si="72"/>
        <v>27</v>
      </c>
      <c r="I399" s="10">
        <f t="shared" si="73"/>
        <v>48</v>
      </c>
    </row>
    <row r="400" spans="1:9" ht="12.75">
      <c r="A400" s="8" t="s">
        <v>30</v>
      </c>
      <c r="B400" s="9">
        <f t="shared" si="70"/>
        <v>18</v>
      </c>
      <c r="C400" s="8"/>
      <c r="D400" s="8"/>
      <c r="E400" s="8"/>
      <c r="F400" s="8"/>
      <c r="G400" s="9">
        <f t="shared" si="71"/>
        <v>0</v>
      </c>
      <c r="H400" s="9">
        <f t="shared" si="72"/>
        <v>18</v>
      </c>
      <c r="I400" s="10">
        <f t="shared" si="73"/>
        <v>0</v>
      </c>
    </row>
    <row r="401" spans="1:9" ht="12.75">
      <c r="A401" s="13" t="s">
        <v>31</v>
      </c>
      <c r="B401" s="9">
        <f t="shared" si="70"/>
        <v>13</v>
      </c>
      <c r="C401" s="8"/>
      <c r="D401" s="8"/>
      <c r="E401" s="8"/>
      <c r="F401" s="8"/>
      <c r="G401" s="9">
        <f t="shared" si="71"/>
        <v>0</v>
      </c>
      <c r="H401" s="9">
        <f t="shared" si="72"/>
        <v>13</v>
      </c>
      <c r="I401" s="10">
        <f t="shared" si="73"/>
        <v>0</v>
      </c>
    </row>
    <row r="402" spans="1:9" ht="12.75">
      <c r="A402" s="13" t="s">
        <v>32</v>
      </c>
      <c r="B402" s="9">
        <f t="shared" si="70"/>
        <v>2</v>
      </c>
      <c r="C402" s="8"/>
      <c r="D402" s="8"/>
      <c r="E402" s="8"/>
      <c r="F402" s="8"/>
      <c r="G402" s="9">
        <f t="shared" si="71"/>
        <v>0</v>
      </c>
      <c r="H402" s="9">
        <f t="shared" si="72"/>
        <v>2</v>
      </c>
      <c r="I402" s="10">
        <f t="shared" si="73"/>
        <v>0</v>
      </c>
    </row>
    <row r="403" spans="1:9" ht="12.75">
      <c r="A403" s="14" t="s">
        <v>33</v>
      </c>
      <c r="B403" s="15">
        <f>SUM(B381:B402)</f>
        <v>630</v>
      </c>
      <c r="C403" s="14"/>
      <c r="D403" s="14"/>
      <c r="E403" s="15">
        <f t="shared" ref="E403:G403" si="74">SUM(E380:E402)</f>
        <v>150</v>
      </c>
      <c r="F403" s="15">
        <f t="shared" si="74"/>
        <v>0</v>
      </c>
      <c r="G403" s="15">
        <f t="shared" si="74"/>
        <v>150</v>
      </c>
      <c r="H403" s="15">
        <f>SUM(H381:H402)</f>
        <v>480</v>
      </c>
      <c r="I403" s="16">
        <f>SUM(I380:I402)</f>
        <v>720</v>
      </c>
    </row>
    <row r="404" spans="1:9" ht="12.75">
      <c r="A404" s="17"/>
      <c r="B404" s="17"/>
      <c r="C404" s="17"/>
      <c r="D404" s="17"/>
      <c r="E404" s="17"/>
      <c r="F404" s="134" t="s">
        <v>34</v>
      </c>
      <c r="G404" s="133"/>
      <c r="H404" s="18"/>
      <c r="I404" s="19"/>
    </row>
    <row r="406" spans="1:9">
      <c r="A406" s="1"/>
      <c r="B406" s="131" t="s">
        <v>77</v>
      </c>
      <c r="C406" s="132"/>
      <c r="D406" s="132"/>
      <c r="E406" s="132"/>
      <c r="F406" s="132"/>
      <c r="G406" s="132"/>
      <c r="H406" s="132"/>
      <c r="I406" s="133"/>
    </row>
    <row r="407" spans="1:9" ht="45">
      <c r="A407" s="2" t="s">
        <v>1</v>
      </c>
      <c r="B407" s="6" t="s">
        <v>2</v>
      </c>
      <c r="C407" s="4" t="s">
        <v>3</v>
      </c>
      <c r="D407" s="5" t="s">
        <v>4</v>
      </c>
      <c r="E407" s="2" t="s">
        <v>5</v>
      </c>
      <c r="F407" s="2" t="s">
        <v>6</v>
      </c>
      <c r="G407" s="2" t="s">
        <v>7</v>
      </c>
      <c r="H407" s="6" t="s">
        <v>8</v>
      </c>
      <c r="I407" s="7" t="s">
        <v>9</v>
      </c>
    </row>
    <row r="408" spans="1:9" ht="12.75">
      <c r="A408" s="8" t="s">
        <v>10</v>
      </c>
      <c r="B408" s="9">
        <f t="shared" ref="B408:B426" si="75">H381</f>
        <v>22</v>
      </c>
      <c r="C408" s="8"/>
      <c r="D408" s="8"/>
      <c r="E408" s="8">
        <v>6</v>
      </c>
      <c r="F408" s="8">
        <v>0</v>
      </c>
      <c r="G408" s="9">
        <f t="shared" ref="G408:G430" si="76">E408-F408</f>
        <v>6</v>
      </c>
      <c r="H408" s="9">
        <f t="shared" ref="H408:H430" si="77">B408-C408+D408-G408</f>
        <v>16</v>
      </c>
      <c r="I408" s="10">
        <f t="shared" ref="I408:I430" si="78">G408*6</f>
        <v>36</v>
      </c>
    </row>
    <row r="409" spans="1:9" ht="12.75">
      <c r="A409" s="8" t="s">
        <v>11</v>
      </c>
      <c r="B409" s="9">
        <f t="shared" si="75"/>
        <v>33</v>
      </c>
      <c r="C409" s="11"/>
      <c r="D409" s="8"/>
      <c r="E409" s="8">
        <v>4</v>
      </c>
      <c r="F409" s="8">
        <v>3</v>
      </c>
      <c r="G409" s="9">
        <f t="shared" si="76"/>
        <v>1</v>
      </c>
      <c r="H409" s="9">
        <f t="shared" si="77"/>
        <v>32</v>
      </c>
      <c r="I409" s="10">
        <f t="shared" si="78"/>
        <v>6</v>
      </c>
    </row>
    <row r="410" spans="1:9" ht="12.75">
      <c r="A410" s="8" t="s">
        <v>12</v>
      </c>
      <c r="B410" s="9">
        <f t="shared" si="75"/>
        <v>41</v>
      </c>
      <c r="C410" s="8"/>
      <c r="D410" s="8"/>
      <c r="E410" s="8">
        <v>5</v>
      </c>
      <c r="F410" s="8">
        <v>4</v>
      </c>
      <c r="G410" s="9">
        <f t="shared" si="76"/>
        <v>1</v>
      </c>
      <c r="H410" s="9">
        <f t="shared" si="77"/>
        <v>40</v>
      </c>
      <c r="I410" s="10">
        <f t="shared" si="78"/>
        <v>6</v>
      </c>
    </row>
    <row r="411" spans="1:9" ht="12.75">
      <c r="A411" s="8" t="s">
        <v>13</v>
      </c>
      <c r="B411" s="9">
        <f t="shared" si="75"/>
        <v>25</v>
      </c>
      <c r="C411" s="8">
        <v>1</v>
      </c>
      <c r="D411" s="8"/>
      <c r="E411" s="8">
        <v>6</v>
      </c>
      <c r="F411" s="8">
        <v>3</v>
      </c>
      <c r="G411" s="9">
        <f t="shared" si="76"/>
        <v>3</v>
      </c>
      <c r="H411" s="9">
        <f t="shared" si="77"/>
        <v>21</v>
      </c>
      <c r="I411" s="10">
        <f t="shared" si="78"/>
        <v>18</v>
      </c>
    </row>
    <row r="412" spans="1:9" ht="12.75">
      <c r="A412" s="8" t="s">
        <v>14</v>
      </c>
      <c r="B412" s="9">
        <f t="shared" si="75"/>
        <v>31</v>
      </c>
      <c r="C412" s="8"/>
      <c r="D412" s="8"/>
      <c r="E412" s="8">
        <v>4</v>
      </c>
      <c r="F412" s="8">
        <v>3</v>
      </c>
      <c r="G412" s="9">
        <f t="shared" si="76"/>
        <v>1</v>
      </c>
      <c r="H412" s="9">
        <f t="shared" si="77"/>
        <v>30</v>
      </c>
      <c r="I412" s="10">
        <f t="shared" si="78"/>
        <v>6</v>
      </c>
    </row>
    <row r="413" spans="1:9" ht="12.75">
      <c r="A413" s="8" t="s">
        <v>15</v>
      </c>
      <c r="B413" s="9">
        <f t="shared" si="75"/>
        <v>23</v>
      </c>
      <c r="C413" s="8"/>
      <c r="D413" s="8"/>
      <c r="E413" s="8">
        <v>6</v>
      </c>
      <c r="F413" s="8">
        <v>5</v>
      </c>
      <c r="G413" s="9">
        <f t="shared" si="76"/>
        <v>1</v>
      </c>
      <c r="H413" s="9">
        <f t="shared" si="77"/>
        <v>22</v>
      </c>
      <c r="I413" s="10">
        <f t="shared" si="78"/>
        <v>6</v>
      </c>
    </row>
    <row r="414" spans="1:9" ht="12.75">
      <c r="A414" s="8" t="s">
        <v>16</v>
      </c>
      <c r="B414" s="9">
        <f t="shared" si="75"/>
        <v>25</v>
      </c>
      <c r="C414" s="8"/>
      <c r="D414" s="8"/>
      <c r="E414" s="8">
        <v>4</v>
      </c>
      <c r="F414" s="8">
        <v>4</v>
      </c>
      <c r="G414" s="9">
        <f t="shared" si="76"/>
        <v>0</v>
      </c>
      <c r="H414" s="9">
        <f t="shared" si="77"/>
        <v>25</v>
      </c>
      <c r="I414" s="10">
        <f t="shared" si="78"/>
        <v>0</v>
      </c>
    </row>
    <row r="415" spans="1:9" ht="12.75">
      <c r="A415" s="8" t="s">
        <v>17</v>
      </c>
      <c r="B415" s="9">
        <f t="shared" si="75"/>
        <v>14</v>
      </c>
      <c r="C415" s="8"/>
      <c r="D415" s="8"/>
      <c r="E415" s="8">
        <v>4</v>
      </c>
      <c r="F415" s="8">
        <v>3</v>
      </c>
      <c r="G415" s="9">
        <f t="shared" si="76"/>
        <v>1</v>
      </c>
      <c r="H415" s="9">
        <f t="shared" si="77"/>
        <v>13</v>
      </c>
      <c r="I415" s="10">
        <f t="shared" si="78"/>
        <v>6</v>
      </c>
    </row>
    <row r="416" spans="1:9" ht="12.75">
      <c r="A416" s="8" t="s">
        <v>18</v>
      </c>
      <c r="B416" s="9">
        <f t="shared" si="75"/>
        <v>36</v>
      </c>
      <c r="C416" s="8">
        <v>1</v>
      </c>
      <c r="D416" s="8"/>
      <c r="E416" s="8">
        <v>5</v>
      </c>
      <c r="F416" s="8">
        <v>4</v>
      </c>
      <c r="G416" s="9">
        <f t="shared" si="76"/>
        <v>1</v>
      </c>
      <c r="H416" s="9">
        <f t="shared" si="77"/>
        <v>34</v>
      </c>
      <c r="I416" s="10">
        <f t="shared" si="78"/>
        <v>6</v>
      </c>
    </row>
    <row r="417" spans="1:9" ht="12.75">
      <c r="A417" s="8" t="s">
        <v>19</v>
      </c>
      <c r="B417" s="9">
        <f t="shared" si="75"/>
        <v>11</v>
      </c>
      <c r="C417" s="8"/>
      <c r="D417" s="8"/>
      <c r="E417" s="8">
        <v>5</v>
      </c>
      <c r="F417" s="8">
        <v>5</v>
      </c>
      <c r="G417" s="9">
        <f t="shared" si="76"/>
        <v>0</v>
      </c>
      <c r="H417" s="21">
        <f t="shared" si="77"/>
        <v>11</v>
      </c>
      <c r="I417" s="10">
        <f t="shared" si="78"/>
        <v>0</v>
      </c>
    </row>
    <row r="418" spans="1:9" ht="12.75">
      <c r="A418" s="8" t="s">
        <v>20</v>
      </c>
      <c r="B418" s="9">
        <f t="shared" si="75"/>
        <v>18</v>
      </c>
      <c r="C418" s="8"/>
      <c r="D418" s="8"/>
      <c r="E418" s="8">
        <v>5</v>
      </c>
      <c r="F418" s="8">
        <v>5</v>
      </c>
      <c r="G418" s="9">
        <f t="shared" si="76"/>
        <v>0</v>
      </c>
      <c r="H418" s="9">
        <f t="shared" si="77"/>
        <v>18</v>
      </c>
      <c r="I418" s="10">
        <f t="shared" si="78"/>
        <v>0</v>
      </c>
    </row>
    <row r="419" spans="1:9" ht="12.75">
      <c r="A419" s="8" t="s">
        <v>21</v>
      </c>
      <c r="B419" s="9">
        <f t="shared" si="75"/>
        <v>8</v>
      </c>
      <c r="C419" s="8"/>
      <c r="D419" s="8"/>
      <c r="E419" s="8">
        <v>2</v>
      </c>
      <c r="F419" s="8">
        <v>1</v>
      </c>
      <c r="G419" s="9">
        <f t="shared" si="76"/>
        <v>1</v>
      </c>
      <c r="H419" s="9">
        <f t="shared" si="77"/>
        <v>7</v>
      </c>
      <c r="I419" s="10">
        <f t="shared" si="78"/>
        <v>6</v>
      </c>
    </row>
    <row r="420" spans="1:9" ht="12.75">
      <c r="A420" s="8" t="s">
        <v>22</v>
      </c>
      <c r="B420" s="9">
        <f t="shared" si="75"/>
        <v>14</v>
      </c>
      <c r="C420" s="8"/>
      <c r="D420" s="8"/>
      <c r="E420" s="8">
        <v>4</v>
      </c>
      <c r="F420" s="8">
        <v>2</v>
      </c>
      <c r="G420" s="9">
        <f t="shared" si="76"/>
        <v>2</v>
      </c>
      <c r="H420" s="9">
        <f t="shared" si="77"/>
        <v>12</v>
      </c>
      <c r="I420" s="10">
        <f t="shared" si="78"/>
        <v>12</v>
      </c>
    </row>
    <row r="421" spans="1:9" ht="12.75">
      <c r="A421" s="8" t="s">
        <v>23</v>
      </c>
      <c r="B421" s="9">
        <f t="shared" si="75"/>
        <v>22</v>
      </c>
      <c r="C421" s="11"/>
      <c r="D421" s="8"/>
      <c r="E421" s="8">
        <v>6</v>
      </c>
      <c r="F421" s="8">
        <v>5</v>
      </c>
      <c r="G421" s="9">
        <f t="shared" si="76"/>
        <v>1</v>
      </c>
      <c r="H421" s="9">
        <f t="shared" si="77"/>
        <v>21</v>
      </c>
      <c r="I421" s="10">
        <f t="shared" si="78"/>
        <v>6</v>
      </c>
    </row>
    <row r="422" spans="1:9" ht="12.75">
      <c r="A422" s="8" t="s">
        <v>24</v>
      </c>
      <c r="B422" s="9">
        <f t="shared" si="75"/>
        <v>19</v>
      </c>
      <c r="C422" s="8"/>
      <c r="D422" s="8"/>
      <c r="E422" s="8">
        <v>3</v>
      </c>
      <c r="F422" s="8">
        <v>3</v>
      </c>
      <c r="G422" s="9">
        <f t="shared" si="76"/>
        <v>0</v>
      </c>
      <c r="H422" s="9">
        <f t="shared" si="77"/>
        <v>19</v>
      </c>
      <c r="I422" s="10">
        <f t="shared" si="78"/>
        <v>0</v>
      </c>
    </row>
    <row r="423" spans="1:9" ht="12.75">
      <c r="A423" s="8" t="s">
        <v>25</v>
      </c>
      <c r="B423" s="9">
        <f t="shared" si="75"/>
        <v>31</v>
      </c>
      <c r="C423" s="8">
        <v>1</v>
      </c>
      <c r="D423" s="8">
        <v>32</v>
      </c>
      <c r="E423" s="8">
        <v>10</v>
      </c>
      <c r="F423" s="8">
        <v>4</v>
      </c>
      <c r="G423" s="9">
        <f t="shared" si="76"/>
        <v>6</v>
      </c>
      <c r="H423" s="9">
        <f t="shared" si="77"/>
        <v>56</v>
      </c>
      <c r="I423" s="10">
        <f t="shared" si="78"/>
        <v>36</v>
      </c>
    </row>
    <row r="424" spans="1:9" ht="12.75">
      <c r="A424" s="8" t="s">
        <v>26</v>
      </c>
      <c r="B424" s="9">
        <f t="shared" si="75"/>
        <v>23</v>
      </c>
      <c r="C424" s="8"/>
      <c r="D424" s="8"/>
      <c r="E424" s="8">
        <v>5</v>
      </c>
      <c r="F424" s="8">
        <v>5</v>
      </c>
      <c r="G424" s="9">
        <f t="shared" si="76"/>
        <v>0</v>
      </c>
      <c r="H424" s="9">
        <f t="shared" si="77"/>
        <v>23</v>
      </c>
      <c r="I424" s="10">
        <f t="shared" si="78"/>
        <v>0</v>
      </c>
    </row>
    <row r="425" spans="1:9" ht="12.75">
      <c r="A425" s="8" t="s">
        <v>27</v>
      </c>
      <c r="B425" s="9">
        <f t="shared" si="75"/>
        <v>24</v>
      </c>
      <c r="C425" s="8"/>
      <c r="D425" s="8"/>
      <c r="E425" s="8">
        <v>3</v>
      </c>
      <c r="F425" s="8">
        <v>3</v>
      </c>
      <c r="G425" s="9">
        <f t="shared" si="76"/>
        <v>0</v>
      </c>
      <c r="H425" s="9">
        <f t="shared" si="77"/>
        <v>24</v>
      </c>
      <c r="I425" s="10">
        <f t="shared" si="78"/>
        <v>0</v>
      </c>
    </row>
    <row r="426" spans="1:9" ht="12.75">
      <c r="A426" s="8" t="s">
        <v>28</v>
      </c>
      <c r="B426" s="9">
        <f t="shared" si="75"/>
        <v>27</v>
      </c>
      <c r="C426" s="8"/>
      <c r="D426" s="8"/>
      <c r="E426" s="8">
        <v>8</v>
      </c>
      <c r="F426" s="8">
        <v>8</v>
      </c>
      <c r="G426" s="9">
        <f t="shared" si="76"/>
        <v>0</v>
      </c>
      <c r="H426" s="9">
        <f t="shared" si="77"/>
        <v>27</v>
      </c>
      <c r="I426" s="10">
        <f t="shared" si="78"/>
        <v>0</v>
      </c>
    </row>
    <row r="427" spans="1:9" ht="12.75">
      <c r="A427" s="8" t="s">
        <v>29</v>
      </c>
      <c r="B427" s="9">
        <v>0</v>
      </c>
      <c r="C427" s="8"/>
      <c r="D427" s="8">
        <v>28</v>
      </c>
      <c r="E427" s="8">
        <v>14</v>
      </c>
      <c r="F427" s="8">
        <v>1</v>
      </c>
      <c r="G427" s="9">
        <f t="shared" si="76"/>
        <v>13</v>
      </c>
      <c r="H427" s="9">
        <f t="shared" si="77"/>
        <v>15</v>
      </c>
      <c r="I427" s="10">
        <f t="shared" si="78"/>
        <v>78</v>
      </c>
    </row>
    <row r="428" spans="1:9" ht="12.75">
      <c r="A428" s="8" t="s">
        <v>30</v>
      </c>
      <c r="B428" s="9">
        <f t="shared" ref="B428:B430" si="79">H400</f>
        <v>18</v>
      </c>
      <c r="C428" s="8"/>
      <c r="D428" s="8"/>
      <c r="E428" s="20">
        <v>3</v>
      </c>
      <c r="F428" s="8">
        <v>3</v>
      </c>
      <c r="G428" s="9">
        <f t="shared" si="76"/>
        <v>0</v>
      </c>
      <c r="H428" s="9">
        <f t="shared" si="77"/>
        <v>18</v>
      </c>
      <c r="I428" s="10">
        <f t="shared" si="78"/>
        <v>0</v>
      </c>
    </row>
    <row r="429" spans="1:9" ht="12.75">
      <c r="A429" s="13" t="s">
        <v>31</v>
      </c>
      <c r="B429" s="9">
        <f t="shared" si="79"/>
        <v>13</v>
      </c>
      <c r="C429" s="8"/>
      <c r="D429" s="8"/>
      <c r="E429" s="8">
        <v>2</v>
      </c>
      <c r="F429" s="8">
        <v>1</v>
      </c>
      <c r="G429" s="9">
        <f t="shared" si="76"/>
        <v>1</v>
      </c>
      <c r="H429" s="9">
        <f t="shared" si="77"/>
        <v>12</v>
      </c>
      <c r="I429" s="10">
        <f t="shared" si="78"/>
        <v>6</v>
      </c>
    </row>
    <row r="430" spans="1:9" ht="12.75">
      <c r="A430" s="13" t="s">
        <v>32</v>
      </c>
      <c r="B430" s="9">
        <f t="shared" si="79"/>
        <v>2</v>
      </c>
      <c r="C430" s="8"/>
      <c r="D430" s="8"/>
      <c r="E430" s="8">
        <v>2</v>
      </c>
      <c r="F430" s="8">
        <v>2</v>
      </c>
      <c r="G430" s="9">
        <f t="shared" si="76"/>
        <v>0</v>
      </c>
      <c r="H430" s="9">
        <f t="shared" si="77"/>
        <v>2</v>
      </c>
      <c r="I430" s="10">
        <f t="shared" si="78"/>
        <v>0</v>
      </c>
    </row>
    <row r="431" spans="1:9" ht="12.75">
      <c r="A431" s="14" t="s">
        <v>33</v>
      </c>
      <c r="B431" s="15">
        <f>SUM(B408:B430)</f>
        <v>480</v>
      </c>
      <c r="C431" s="14"/>
      <c r="D431" s="14"/>
      <c r="E431" s="15">
        <f t="shared" ref="E431:G431" si="80">SUM(E407:E430)</f>
        <v>116</v>
      </c>
      <c r="F431" s="15">
        <f t="shared" si="80"/>
        <v>77</v>
      </c>
      <c r="G431" s="15">
        <f t="shared" si="80"/>
        <v>39</v>
      </c>
      <c r="H431" s="15">
        <f>SUM(H408:H430)</f>
        <v>498</v>
      </c>
      <c r="I431" s="16">
        <f>SUM(I407:I430)</f>
        <v>234</v>
      </c>
    </row>
    <row r="432" spans="1:9" ht="12.75">
      <c r="A432" s="17"/>
      <c r="B432" s="17"/>
      <c r="C432" s="17"/>
      <c r="D432" s="17"/>
      <c r="E432" s="17"/>
      <c r="F432" s="134" t="s">
        <v>34</v>
      </c>
      <c r="G432" s="133"/>
      <c r="H432" s="18"/>
      <c r="I432" s="19"/>
    </row>
    <row r="434" spans="1:9">
      <c r="A434" s="1"/>
      <c r="B434" s="131" t="s">
        <v>78</v>
      </c>
      <c r="C434" s="132"/>
      <c r="D434" s="132"/>
      <c r="E434" s="132"/>
      <c r="F434" s="132"/>
      <c r="G434" s="132"/>
      <c r="H434" s="132"/>
      <c r="I434" s="133"/>
    </row>
    <row r="435" spans="1:9" ht="45">
      <c r="A435" s="2" t="s">
        <v>1</v>
      </c>
      <c r="B435" s="6" t="s">
        <v>2</v>
      </c>
      <c r="C435" s="4" t="s">
        <v>3</v>
      </c>
      <c r="D435" s="5" t="s">
        <v>4</v>
      </c>
      <c r="E435" s="2" t="s">
        <v>5</v>
      </c>
      <c r="F435" s="2" t="s">
        <v>6</v>
      </c>
      <c r="G435" s="2" t="s">
        <v>7</v>
      </c>
      <c r="H435" s="6" t="s">
        <v>8</v>
      </c>
      <c r="I435" s="7" t="s">
        <v>9</v>
      </c>
    </row>
    <row r="436" spans="1:9" ht="12.75">
      <c r="A436" s="8" t="s">
        <v>10</v>
      </c>
      <c r="B436" s="9">
        <f t="shared" ref="B436:B458" si="81">H408</f>
        <v>16</v>
      </c>
      <c r="C436" s="8"/>
      <c r="D436" s="8"/>
      <c r="E436" s="8">
        <v>6</v>
      </c>
      <c r="F436" s="8">
        <v>4</v>
      </c>
      <c r="G436" s="9">
        <f t="shared" ref="G436:G458" si="82">E436-F436</f>
        <v>2</v>
      </c>
      <c r="H436" s="9">
        <f t="shared" ref="H436:H458" si="83">B436-C436+D436-G436</f>
        <v>14</v>
      </c>
      <c r="I436" s="10">
        <f t="shared" ref="I436:I458" si="84">G436*6</f>
        <v>12</v>
      </c>
    </row>
    <row r="437" spans="1:9" ht="12.75">
      <c r="A437" s="8" t="s">
        <v>11</v>
      </c>
      <c r="B437" s="9">
        <f t="shared" si="81"/>
        <v>32</v>
      </c>
      <c r="C437" s="11"/>
      <c r="D437" s="8"/>
      <c r="E437" s="8">
        <v>4</v>
      </c>
      <c r="F437" s="8">
        <v>3</v>
      </c>
      <c r="G437" s="9">
        <f t="shared" si="82"/>
        <v>1</v>
      </c>
      <c r="H437" s="9">
        <f t="shared" si="83"/>
        <v>31</v>
      </c>
      <c r="I437" s="10">
        <f t="shared" si="84"/>
        <v>6</v>
      </c>
    </row>
    <row r="438" spans="1:9" ht="12.75">
      <c r="A438" s="8" t="s">
        <v>12</v>
      </c>
      <c r="B438" s="9">
        <f t="shared" si="81"/>
        <v>40</v>
      </c>
      <c r="C438" s="8"/>
      <c r="D438" s="8"/>
      <c r="E438" s="8">
        <v>4</v>
      </c>
      <c r="F438" s="8">
        <v>3</v>
      </c>
      <c r="G438" s="9">
        <f t="shared" si="82"/>
        <v>1</v>
      </c>
      <c r="H438" s="9">
        <f t="shared" si="83"/>
        <v>39</v>
      </c>
      <c r="I438" s="10">
        <f t="shared" si="84"/>
        <v>6</v>
      </c>
    </row>
    <row r="439" spans="1:9" ht="12.75">
      <c r="A439" s="8" t="s">
        <v>13</v>
      </c>
      <c r="B439" s="9">
        <f t="shared" si="81"/>
        <v>21</v>
      </c>
      <c r="C439" s="8"/>
      <c r="D439" s="8"/>
      <c r="E439" s="8">
        <v>6</v>
      </c>
      <c r="F439" s="8">
        <v>3</v>
      </c>
      <c r="G439" s="9">
        <f t="shared" si="82"/>
        <v>3</v>
      </c>
      <c r="H439" s="9">
        <f t="shared" si="83"/>
        <v>18</v>
      </c>
      <c r="I439" s="10">
        <f t="shared" si="84"/>
        <v>18</v>
      </c>
    </row>
    <row r="440" spans="1:9" ht="12.75">
      <c r="A440" s="8" t="s">
        <v>14</v>
      </c>
      <c r="B440" s="9">
        <f t="shared" si="81"/>
        <v>30</v>
      </c>
      <c r="C440" s="8"/>
      <c r="D440" s="8"/>
      <c r="E440" s="8">
        <v>4</v>
      </c>
      <c r="F440" s="8">
        <v>0</v>
      </c>
      <c r="G440" s="9">
        <f t="shared" si="82"/>
        <v>4</v>
      </c>
      <c r="H440" s="9">
        <f t="shared" si="83"/>
        <v>26</v>
      </c>
      <c r="I440" s="10">
        <f t="shared" si="84"/>
        <v>24</v>
      </c>
    </row>
    <row r="441" spans="1:9" ht="12.75">
      <c r="A441" s="8" t="s">
        <v>15</v>
      </c>
      <c r="B441" s="9">
        <f t="shared" si="81"/>
        <v>22</v>
      </c>
      <c r="C441" s="8"/>
      <c r="D441" s="8"/>
      <c r="E441" s="8">
        <v>5</v>
      </c>
      <c r="F441" s="8">
        <v>0</v>
      </c>
      <c r="G441" s="9">
        <f t="shared" si="82"/>
        <v>5</v>
      </c>
      <c r="H441" s="9">
        <f t="shared" si="83"/>
        <v>17</v>
      </c>
      <c r="I441" s="10">
        <f t="shared" si="84"/>
        <v>30</v>
      </c>
    </row>
    <row r="442" spans="1:9" ht="12.75">
      <c r="A442" s="8" t="s">
        <v>16</v>
      </c>
      <c r="B442" s="9">
        <f t="shared" si="81"/>
        <v>25</v>
      </c>
      <c r="C442" s="8"/>
      <c r="D442" s="8"/>
      <c r="E442" s="8">
        <v>4</v>
      </c>
      <c r="F442" s="8">
        <v>4</v>
      </c>
      <c r="G442" s="9">
        <f t="shared" si="82"/>
        <v>0</v>
      </c>
      <c r="H442" s="9">
        <f t="shared" si="83"/>
        <v>25</v>
      </c>
      <c r="I442" s="10">
        <f t="shared" si="84"/>
        <v>0</v>
      </c>
    </row>
    <row r="443" spans="1:9" ht="12.75">
      <c r="A443" s="8" t="s">
        <v>17</v>
      </c>
      <c r="B443" s="9">
        <f t="shared" si="81"/>
        <v>13</v>
      </c>
      <c r="C443" s="8"/>
      <c r="D443" s="8"/>
      <c r="E443" s="8">
        <v>4</v>
      </c>
      <c r="F443" s="8">
        <v>4</v>
      </c>
      <c r="G443" s="9">
        <f t="shared" si="82"/>
        <v>0</v>
      </c>
      <c r="H443" s="9">
        <f t="shared" si="83"/>
        <v>13</v>
      </c>
      <c r="I443" s="10">
        <f t="shared" si="84"/>
        <v>0</v>
      </c>
    </row>
    <row r="444" spans="1:9" ht="12.75">
      <c r="A444" s="8" t="s">
        <v>18</v>
      </c>
      <c r="B444" s="9">
        <f t="shared" si="81"/>
        <v>34</v>
      </c>
      <c r="C444" s="8"/>
      <c r="D444" s="8"/>
      <c r="E444" s="8">
        <v>5</v>
      </c>
      <c r="F444" s="8">
        <v>5</v>
      </c>
      <c r="G444" s="9">
        <f t="shared" si="82"/>
        <v>0</v>
      </c>
      <c r="H444" s="9">
        <f t="shared" si="83"/>
        <v>34</v>
      </c>
      <c r="I444" s="10">
        <f t="shared" si="84"/>
        <v>0</v>
      </c>
    </row>
    <row r="445" spans="1:9" ht="12.75">
      <c r="A445" s="8" t="s">
        <v>19</v>
      </c>
      <c r="B445" s="9">
        <f t="shared" si="81"/>
        <v>11</v>
      </c>
      <c r="C445" s="8"/>
      <c r="D445" s="8"/>
      <c r="E445" s="8">
        <v>5</v>
      </c>
      <c r="F445" s="8">
        <v>5</v>
      </c>
      <c r="G445" s="9">
        <f t="shared" si="82"/>
        <v>0</v>
      </c>
      <c r="H445" s="9">
        <f t="shared" si="83"/>
        <v>11</v>
      </c>
      <c r="I445" s="10">
        <f t="shared" si="84"/>
        <v>0</v>
      </c>
    </row>
    <row r="446" spans="1:9" ht="12.75">
      <c r="A446" s="8" t="s">
        <v>20</v>
      </c>
      <c r="B446" s="9">
        <f t="shared" si="81"/>
        <v>18</v>
      </c>
      <c r="C446" s="8"/>
      <c r="D446" s="8"/>
      <c r="E446" s="8">
        <v>5</v>
      </c>
      <c r="F446" s="8">
        <v>3</v>
      </c>
      <c r="G446" s="9">
        <f t="shared" si="82"/>
        <v>2</v>
      </c>
      <c r="H446" s="9">
        <f t="shared" si="83"/>
        <v>16</v>
      </c>
      <c r="I446" s="10">
        <f t="shared" si="84"/>
        <v>12</v>
      </c>
    </row>
    <row r="447" spans="1:9" ht="12.75">
      <c r="A447" s="8" t="s">
        <v>21</v>
      </c>
      <c r="B447" s="9">
        <f t="shared" si="81"/>
        <v>7</v>
      </c>
      <c r="C447" s="8"/>
      <c r="D447" s="8"/>
      <c r="E447" s="8">
        <v>2</v>
      </c>
      <c r="F447" s="8">
        <v>2</v>
      </c>
      <c r="G447" s="9">
        <f t="shared" si="82"/>
        <v>0</v>
      </c>
      <c r="H447" s="9">
        <f t="shared" si="83"/>
        <v>7</v>
      </c>
      <c r="I447" s="10">
        <f t="shared" si="84"/>
        <v>0</v>
      </c>
    </row>
    <row r="448" spans="1:9" ht="12.75">
      <c r="A448" s="8" t="s">
        <v>22</v>
      </c>
      <c r="B448" s="9">
        <f t="shared" si="81"/>
        <v>12</v>
      </c>
      <c r="C448" s="8"/>
      <c r="D448" s="8"/>
      <c r="E448" s="8">
        <v>4</v>
      </c>
      <c r="F448" s="8">
        <v>3</v>
      </c>
      <c r="G448" s="9">
        <f t="shared" si="82"/>
        <v>1</v>
      </c>
      <c r="H448" s="9">
        <f t="shared" si="83"/>
        <v>11</v>
      </c>
      <c r="I448" s="10">
        <f t="shared" si="84"/>
        <v>6</v>
      </c>
    </row>
    <row r="449" spans="1:9" ht="12.75">
      <c r="A449" s="8" t="s">
        <v>23</v>
      </c>
      <c r="B449" s="9">
        <f t="shared" si="81"/>
        <v>21</v>
      </c>
      <c r="C449" s="11"/>
      <c r="D449" s="8">
        <v>30</v>
      </c>
      <c r="E449" s="8">
        <v>6</v>
      </c>
      <c r="F449" s="8">
        <v>5</v>
      </c>
      <c r="G449" s="9">
        <f t="shared" si="82"/>
        <v>1</v>
      </c>
      <c r="H449" s="9">
        <f t="shared" si="83"/>
        <v>50</v>
      </c>
      <c r="I449" s="10">
        <f t="shared" si="84"/>
        <v>6</v>
      </c>
    </row>
    <row r="450" spans="1:9" ht="12.75">
      <c r="A450" s="8" t="s">
        <v>24</v>
      </c>
      <c r="B450" s="9">
        <f t="shared" si="81"/>
        <v>19</v>
      </c>
      <c r="C450" s="8"/>
      <c r="D450" s="8"/>
      <c r="E450" s="8">
        <v>3</v>
      </c>
      <c r="F450" s="8">
        <v>3</v>
      </c>
      <c r="G450" s="9">
        <f t="shared" si="82"/>
        <v>0</v>
      </c>
      <c r="H450" s="9">
        <f t="shared" si="83"/>
        <v>19</v>
      </c>
      <c r="I450" s="10">
        <f t="shared" si="84"/>
        <v>0</v>
      </c>
    </row>
    <row r="451" spans="1:9" ht="12.75">
      <c r="A451" s="8" t="s">
        <v>25</v>
      </c>
      <c r="B451" s="9">
        <f t="shared" si="81"/>
        <v>56</v>
      </c>
      <c r="C451" s="8"/>
      <c r="D451" s="8"/>
      <c r="E451" s="8">
        <v>8</v>
      </c>
      <c r="F451" s="8">
        <v>3</v>
      </c>
      <c r="G451" s="9">
        <f t="shared" si="82"/>
        <v>5</v>
      </c>
      <c r="H451" s="9">
        <f t="shared" si="83"/>
        <v>51</v>
      </c>
      <c r="I451" s="10">
        <f t="shared" si="84"/>
        <v>30</v>
      </c>
    </row>
    <row r="452" spans="1:9" ht="12.75">
      <c r="A452" s="8" t="s">
        <v>26</v>
      </c>
      <c r="B452" s="9">
        <f t="shared" si="81"/>
        <v>23</v>
      </c>
      <c r="C452" s="8"/>
      <c r="D452" s="8"/>
      <c r="E452" s="8">
        <v>5</v>
      </c>
      <c r="F452" s="8">
        <v>1</v>
      </c>
      <c r="G452" s="9">
        <f t="shared" si="82"/>
        <v>4</v>
      </c>
      <c r="H452" s="9">
        <f t="shared" si="83"/>
        <v>19</v>
      </c>
      <c r="I452" s="10">
        <f t="shared" si="84"/>
        <v>24</v>
      </c>
    </row>
    <row r="453" spans="1:9" ht="12.75">
      <c r="A453" s="8" t="s">
        <v>27</v>
      </c>
      <c r="B453" s="9">
        <f t="shared" si="81"/>
        <v>24</v>
      </c>
      <c r="C453" s="8"/>
      <c r="D453" s="8"/>
      <c r="E453" s="8">
        <v>3</v>
      </c>
      <c r="F453" s="8">
        <v>0</v>
      </c>
      <c r="G453" s="9">
        <f t="shared" si="82"/>
        <v>3</v>
      </c>
      <c r="H453" s="9">
        <f t="shared" si="83"/>
        <v>21</v>
      </c>
      <c r="I453" s="10">
        <f t="shared" si="84"/>
        <v>18</v>
      </c>
    </row>
    <row r="454" spans="1:9" ht="12.75">
      <c r="A454" s="8" t="s">
        <v>79</v>
      </c>
      <c r="B454" s="9">
        <f t="shared" si="81"/>
        <v>27</v>
      </c>
      <c r="C454" s="8"/>
      <c r="D454" s="8"/>
      <c r="E454" s="8">
        <v>8</v>
      </c>
      <c r="F454" s="8">
        <v>3</v>
      </c>
      <c r="G454" s="9">
        <f t="shared" si="82"/>
        <v>5</v>
      </c>
      <c r="H454" s="9">
        <f t="shared" si="83"/>
        <v>22</v>
      </c>
      <c r="I454" s="10">
        <f t="shared" si="84"/>
        <v>30</v>
      </c>
    </row>
    <row r="455" spans="1:9" ht="12.75">
      <c r="A455" s="8" t="s">
        <v>29</v>
      </c>
      <c r="B455" s="9">
        <f t="shared" si="81"/>
        <v>15</v>
      </c>
      <c r="C455" s="8"/>
      <c r="D455" s="8">
        <v>27</v>
      </c>
      <c r="E455" s="8">
        <v>15</v>
      </c>
      <c r="F455" s="8">
        <v>0</v>
      </c>
      <c r="G455" s="9">
        <f t="shared" si="82"/>
        <v>15</v>
      </c>
      <c r="H455" s="9">
        <f t="shared" si="83"/>
        <v>27</v>
      </c>
      <c r="I455" s="10">
        <f t="shared" si="84"/>
        <v>90</v>
      </c>
    </row>
    <row r="456" spans="1:9" ht="12.75">
      <c r="A456" s="8" t="s">
        <v>30</v>
      </c>
      <c r="B456" s="9">
        <f t="shared" si="81"/>
        <v>18</v>
      </c>
      <c r="C456" s="8"/>
      <c r="D456" s="8"/>
      <c r="E456" s="8">
        <v>3</v>
      </c>
      <c r="F456" s="8">
        <v>3</v>
      </c>
      <c r="G456" s="9">
        <f t="shared" si="82"/>
        <v>0</v>
      </c>
      <c r="H456" s="9">
        <f t="shared" si="83"/>
        <v>18</v>
      </c>
      <c r="I456" s="10">
        <f t="shared" si="84"/>
        <v>0</v>
      </c>
    </row>
    <row r="457" spans="1:9" ht="12.75">
      <c r="A457" s="13" t="s">
        <v>31</v>
      </c>
      <c r="B457" s="9">
        <f t="shared" si="81"/>
        <v>12</v>
      </c>
      <c r="C457" s="8"/>
      <c r="D457" s="8"/>
      <c r="E457" s="8">
        <v>2</v>
      </c>
      <c r="F457" s="8">
        <v>2</v>
      </c>
      <c r="G457" s="9">
        <f t="shared" si="82"/>
        <v>0</v>
      </c>
      <c r="H457" s="9">
        <f t="shared" si="83"/>
        <v>12</v>
      </c>
      <c r="I457" s="10">
        <f t="shared" si="84"/>
        <v>0</v>
      </c>
    </row>
    <row r="458" spans="1:9" ht="12.75">
      <c r="A458" s="13" t="s">
        <v>32</v>
      </c>
      <c r="B458" s="9">
        <f t="shared" si="81"/>
        <v>2</v>
      </c>
      <c r="C458" s="8"/>
      <c r="D458" s="8"/>
      <c r="E458" s="8">
        <v>2</v>
      </c>
      <c r="F458" s="8">
        <v>2</v>
      </c>
      <c r="G458" s="9">
        <f t="shared" si="82"/>
        <v>0</v>
      </c>
      <c r="H458" s="9">
        <f t="shared" si="83"/>
        <v>2</v>
      </c>
      <c r="I458" s="10">
        <f t="shared" si="84"/>
        <v>0</v>
      </c>
    </row>
    <row r="459" spans="1:9" ht="12.75">
      <c r="A459" s="14" t="s">
        <v>33</v>
      </c>
      <c r="B459" s="15">
        <f>SUM(B436:B458)</f>
        <v>498</v>
      </c>
      <c r="C459" s="14"/>
      <c r="D459" s="14"/>
      <c r="E459" s="15">
        <f t="shared" ref="E459:G459" si="85">SUM(E435:E458)</f>
        <v>113</v>
      </c>
      <c r="F459" s="15">
        <f t="shared" si="85"/>
        <v>61</v>
      </c>
      <c r="G459" s="15">
        <f t="shared" si="85"/>
        <v>52</v>
      </c>
      <c r="H459" s="15">
        <f>SUM(H436:H458)</f>
        <v>503</v>
      </c>
      <c r="I459" s="16">
        <f>SUM(I435:I458)</f>
        <v>312</v>
      </c>
    </row>
    <row r="460" spans="1:9" ht="12.75">
      <c r="A460" s="17"/>
      <c r="B460" s="17"/>
      <c r="C460" s="17"/>
      <c r="D460" s="17"/>
      <c r="E460" s="17"/>
      <c r="F460" s="134" t="s">
        <v>34</v>
      </c>
      <c r="G460" s="133"/>
      <c r="H460" s="18"/>
      <c r="I460" s="19"/>
    </row>
    <row r="462" spans="1:9">
      <c r="A462" s="1"/>
      <c r="B462" s="131" t="s">
        <v>80</v>
      </c>
      <c r="C462" s="132"/>
      <c r="D462" s="132"/>
      <c r="E462" s="132"/>
      <c r="F462" s="132"/>
      <c r="G462" s="132"/>
      <c r="H462" s="132"/>
      <c r="I462" s="133"/>
    </row>
    <row r="463" spans="1:9" ht="45">
      <c r="A463" s="2" t="s">
        <v>1</v>
      </c>
      <c r="B463" s="6" t="s">
        <v>2</v>
      </c>
      <c r="C463" s="4" t="s">
        <v>3</v>
      </c>
      <c r="D463" s="5" t="s">
        <v>4</v>
      </c>
      <c r="E463" s="2" t="s">
        <v>5</v>
      </c>
      <c r="F463" s="2" t="s">
        <v>6</v>
      </c>
      <c r="G463" s="2" t="s">
        <v>7</v>
      </c>
      <c r="H463" s="6" t="s">
        <v>8</v>
      </c>
      <c r="I463" s="7" t="s">
        <v>9</v>
      </c>
    </row>
    <row r="464" spans="1:9" ht="12.75">
      <c r="A464" s="8" t="s">
        <v>10</v>
      </c>
      <c r="B464" s="9">
        <f t="shared" ref="B464:B486" si="86">H436</f>
        <v>14</v>
      </c>
      <c r="C464" s="8"/>
      <c r="D464" s="8"/>
      <c r="E464" s="8">
        <v>6</v>
      </c>
      <c r="F464" s="8">
        <v>3</v>
      </c>
      <c r="G464" s="9">
        <f t="shared" ref="G464:G486" si="87">E464-F464</f>
        <v>3</v>
      </c>
      <c r="H464" s="9">
        <f t="shared" ref="H464:H486" si="88">B464-C464+D464-G464</f>
        <v>11</v>
      </c>
      <c r="I464" s="10">
        <f t="shared" ref="I464:I486" si="89">G464*6</f>
        <v>18</v>
      </c>
    </row>
    <row r="465" spans="1:9" ht="12.75">
      <c r="A465" s="8" t="s">
        <v>11</v>
      </c>
      <c r="B465" s="9">
        <f t="shared" si="86"/>
        <v>31</v>
      </c>
      <c r="C465" s="11"/>
      <c r="D465" s="8"/>
      <c r="E465" s="8">
        <v>5</v>
      </c>
      <c r="F465" s="8">
        <v>5</v>
      </c>
      <c r="G465" s="9">
        <f t="shared" si="87"/>
        <v>0</v>
      </c>
      <c r="H465" s="9">
        <f t="shared" si="88"/>
        <v>31</v>
      </c>
      <c r="I465" s="10">
        <f t="shared" si="89"/>
        <v>0</v>
      </c>
    </row>
    <row r="466" spans="1:9" ht="12.75">
      <c r="A466" s="8" t="s">
        <v>12</v>
      </c>
      <c r="B466" s="9">
        <f t="shared" si="86"/>
        <v>39</v>
      </c>
      <c r="C466" s="8"/>
      <c r="D466" s="8"/>
      <c r="E466" s="8">
        <v>5</v>
      </c>
      <c r="F466" s="8">
        <v>3</v>
      </c>
      <c r="G466" s="9">
        <f t="shared" si="87"/>
        <v>2</v>
      </c>
      <c r="H466" s="9">
        <f t="shared" si="88"/>
        <v>37</v>
      </c>
      <c r="I466" s="10">
        <f t="shared" si="89"/>
        <v>12</v>
      </c>
    </row>
    <row r="467" spans="1:9" ht="12.75">
      <c r="A467" s="8" t="s">
        <v>13</v>
      </c>
      <c r="B467" s="9">
        <f t="shared" si="86"/>
        <v>18</v>
      </c>
      <c r="C467" s="8"/>
      <c r="D467" s="8"/>
      <c r="E467" s="8">
        <v>6</v>
      </c>
      <c r="F467" s="8">
        <v>1</v>
      </c>
      <c r="G467" s="9">
        <f t="shared" si="87"/>
        <v>5</v>
      </c>
      <c r="H467" s="9">
        <f t="shared" si="88"/>
        <v>13</v>
      </c>
      <c r="I467" s="10">
        <f t="shared" si="89"/>
        <v>30</v>
      </c>
    </row>
    <row r="468" spans="1:9" ht="12.75">
      <c r="A468" s="8" t="s">
        <v>14</v>
      </c>
      <c r="B468" s="9">
        <f t="shared" si="86"/>
        <v>26</v>
      </c>
      <c r="C468" s="8"/>
      <c r="D468" s="8"/>
      <c r="E468" s="8">
        <v>4</v>
      </c>
      <c r="F468" s="8">
        <v>3</v>
      </c>
      <c r="G468" s="9">
        <f t="shared" si="87"/>
        <v>1</v>
      </c>
      <c r="H468" s="9">
        <f t="shared" si="88"/>
        <v>25</v>
      </c>
      <c r="I468" s="10">
        <f t="shared" si="89"/>
        <v>6</v>
      </c>
    </row>
    <row r="469" spans="1:9" ht="12.75">
      <c r="A469" s="8" t="s">
        <v>15</v>
      </c>
      <c r="B469" s="9">
        <f t="shared" si="86"/>
        <v>17</v>
      </c>
      <c r="C469" s="8"/>
      <c r="D469" s="8"/>
      <c r="E469" s="8">
        <v>7</v>
      </c>
      <c r="F469" s="8">
        <v>6</v>
      </c>
      <c r="G469" s="9">
        <f t="shared" si="87"/>
        <v>1</v>
      </c>
      <c r="H469" s="9">
        <f t="shared" si="88"/>
        <v>16</v>
      </c>
      <c r="I469" s="10">
        <f t="shared" si="89"/>
        <v>6</v>
      </c>
    </row>
    <row r="470" spans="1:9" ht="12.75">
      <c r="A470" s="8" t="s">
        <v>16</v>
      </c>
      <c r="B470" s="9">
        <f t="shared" si="86"/>
        <v>25</v>
      </c>
      <c r="C470" s="8"/>
      <c r="D470" s="8"/>
      <c r="E470" s="8">
        <v>4</v>
      </c>
      <c r="F470" s="8">
        <v>4</v>
      </c>
      <c r="G470" s="9">
        <f t="shared" si="87"/>
        <v>0</v>
      </c>
      <c r="H470" s="9">
        <f t="shared" si="88"/>
        <v>25</v>
      </c>
      <c r="I470" s="10">
        <f t="shared" si="89"/>
        <v>0</v>
      </c>
    </row>
    <row r="471" spans="1:9" ht="12.75">
      <c r="A471" s="8" t="s">
        <v>17</v>
      </c>
      <c r="B471" s="9">
        <f t="shared" si="86"/>
        <v>13</v>
      </c>
      <c r="C471" s="8"/>
      <c r="D471" s="8"/>
      <c r="E471" s="8">
        <v>4</v>
      </c>
      <c r="F471" s="8">
        <v>3</v>
      </c>
      <c r="G471" s="9">
        <f t="shared" si="87"/>
        <v>1</v>
      </c>
      <c r="H471" s="9">
        <f t="shared" si="88"/>
        <v>12</v>
      </c>
      <c r="I471" s="10">
        <f t="shared" si="89"/>
        <v>6</v>
      </c>
    </row>
    <row r="472" spans="1:9" ht="12.75">
      <c r="A472" s="8" t="s">
        <v>18</v>
      </c>
      <c r="B472" s="9">
        <f t="shared" si="86"/>
        <v>34</v>
      </c>
      <c r="C472" s="8"/>
      <c r="D472" s="8"/>
      <c r="E472" s="8">
        <v>5</v>
      </c>
      <c r="F472" s="8">
        <v>4</v>
      </c>
      <c r="G472" s="9">
        <f t="shared" si="87"/>
        <v>1</v>
      </c>
      <c r="H472" s="9">
        <f t="shared" si="88"/>
        <v>33</v>
      </c>
      <c r="I472" s="10">
        <f t="shared" si="89"/>
        <v>6</v>
      </c>
    </row>
    <row r="473" spans="1:9" ht="12.75">
      <c r="A473" s="8" t="s">
        <v>19</v>
      </c>
      <c r="B473" s="9">
        <f t="shared" si="86"/>
        <v>11</v>
      </c>
      <c r="C473" s="8"/>
      <c r="D473" s="8">
        <v>30</v>
      </c>
      <c r="E473" s="8">
        <v>5</v>
      </c>
      <c r="F473" s="8">
        <v>3</v>
      </c>
      <c r="G473" s="9">
        <f t="shared" si="87"/>
        <v>2</v>
      </c>
      <c r="H473" s="9">
        <f t="shared" si="88"/>
        <v>39</v>
      </c>
      <c r="I473" s="10">
        <f t="shared" si="89"/>
        <v>12</v>
      </c>
    </row>
    <row r="474" spans="1:9" ht="12.75">
      <c r="A474" s="8" t="s">
        <v>20</v>
      </c>
      <c r="B474" s="9">
        <f t="shared" si="86"/>
        <v>16</v>
      </c>
      <c r="C474" s="8"/>
      <c r="D474" s="8"/>
      <c r="E474" s="8">
        <v>5</v>
      </c>
      <c r="F474" s="8">
        <v>5</v>
      </c>
      <c r="G474" s="9">
        <f t="shared" si="87"/>
        <v>0</v>
      </c>
      <c r="H474" s="9">
        <f t="shared" si="88"/>
        <v>16</v>
      </c>
      <c r="I474" s="10">
        <f t="shared" si="89"/>
        <v>0</v>
      </c>
    </row>
    <row r="475" spans="1:9" ht="12.75">
      <c r="A475" s="8" t="s">
        <v>21</v>
      </c>
      <c r="B475" s="9">
        <f t="shared" si="86"/>
        <v>7</v>
      </c>
      <c r="C475" s="8"/>
      <c r="D475" s="8"/>
      <c r="E475" s="8">
        <v>2</v>
      </c>
      <c r="F475" s="8">
        <v>1</v>
      </c>
      <c r="G475" s="9">
        <f t="shared" si="87"/>
        <v>1</v>
      </c>
      <c r="H475" s="9">
        <f t="shared" si="88"/>
        <v>6</v>
      </c>
      <c r="I475" s="10">
        <f t="shared" si="89"/>
        <v>6</v>
      </c>
    </row>
    <row r="476" spans="1:9" ht="12.75">
      <c r="A476" s="8" t="s">
        <v>22</v>
      </c>
      <c r="B476" s="9">
        <f t="shared" si="86"/>
        <v>11</v>
      </c>
      <c r="C476" s="8"/>
      <c r="D476" s="8"/>
      <c r="E476" s="8">
        <v>4</v>
      </c>
      <c r="F476" s="8">
        <v>2</v>
      </c>
      <c r="G476" s="9">
        <f t="shared" si="87"/>
        <v>2</v>
      </c>
      <c r="H476" s="9">
        <f t="shared" si="88"/>
        <v>9</v>
      </c>
      <c r="I476" s="10">
        <f t="shared" si="89"/>
        <v>12</v>
      </c>
    </row>
    <row r="477" spans="1:9" ht="12.75">
      <c r="A477" s="8" t="s">
        <v>23</v>
      </c>
      <c r="B477" s="9">
        <f t="shared" si="86"/>
        <v>50</v>
      </c>
      <c r="C477" s="11"/>
      <c r="D477" s="8"/>
      <c r="E477" s="8">
        <v>6</v>
      </c>
      <c r="F477" s="8">
        <v>3</v>
      </c>
      <c r="G477" s="9">
        <f t="shared" si="87"/>
        <v>3</v>
      </c>
      <c r="H477" s="9">
        <f t="shared" si="88"/>
        <v>47</v>
      </c>
      <c r="I477" s="10">
        <f t="shared" si="89"/>
        <v>18</v>
      </c>
    </row>
    <row r="478" spans="1:9" ht="12.75">
      <c r="A478" s="8" t="s">
        <v>24</v>
      </c>
      <c r="B478" s="9">
        <f t="shared" si="86"/>
        <v>19</v>
      </c>
      <c r="C478" s="8"/>
      <c r="D478" s="8"/>
      <c r="E478" s="8">
        <v>3</v>
      </c>
      <c r="F478" s="8">
        <v>3</v>
      </c>
      <c r="G478" s="9">
        <f t="shared" si="87"/>
        <v>0</v>
      </c>
      <c r="H478" s="9">
        <f t="shared" si="88"/>
        <v>19</v>
      </c>
      <c r="I478" s="10">
        <f t="shared" si="89"/>
        <v>0</v>
      </c>
    </row>
    <row r="479" spans="1:9" ht="12.75">
      <c r="A479" s="8" t="s">
        <v>25</v>
      </c>
      <c r="B479" s="9">
        <f t="shared" si="86"/>
        <v>51</v>
      </c>
      <c r="C479" s="8"/>
      <c r="D479" s="8"/>
      <c r="E479" s="8">
        <v>8</v>
      </c>
      <c r="F479" s="8">
        <v>5</v>
      </c>
      <c r="G479" s="9">
        <f t="shared" si="87"/>
        <v>3</v>
      </c>
      <c r="H479" s="9">
        <f t="shared" si="88"/>
        <v>48</v>
      </c>
      <c r="I479" s="10">
        <f t="shared" si="89"/>
        <v>18</v>
      </c>
    </row>
    <row r="480" spans="1:9" ht="12.75">
      <c r="A480" s="8" t="s">
        <v>26</v>
      </c>
      <c r="B480" s="9">
        <f t="shared" si="86"/>
        <v>19</v>
      </c>
      <c r="C480" s="8"/>
      <c r="D480" s="8"/>
      <c r="E480" s="8">
        <v>5</v>
      </c>
      <c r="F480" s="8">
        <v>4</v>
      </c>
      <c r="G480" s="9">
        <f t="shared" si="87"/>
        <v>1</v>
      </c>
      <c r="H480" s="9">
        <f t="shared" si="88"/>
        <v>18</v>
      </c>
      <c r="I480" s="10">
        <f t="shared" si="89"/>
        <v>6</v>
      </c>
    </row>
    <row r="481" spans="1:9" ht="12.75">
      <c r="A481" s="8" t="s">
        <v>27</v>
      </c>
      <c r="B481" s="9">
        <f t="shared" si="86"/>
        <v>21</v>
      </c>
      <c r="C481" s="8"/>
      <c r="D481" s="8"/>
      <c r="E481" s="8">
        <v>4</v>
      </c>
      <c r="F481" s="8">
        <v>3</v>
      </c>
      <c r="G481" s="9">
        <f t="shared" si="87"/>
        <v>1</v>
      </c>
      <c r="H481" s="9">
        <f t="shared" si="88"/>
        <v>20</v>
      </c>
      <c r="I481" s="10">
        <f t="shared" si="89"/>
        <v>6</v>
      </c>
    </row>
    <row r="482" spans="1:9" ht="12.75">
      <c r="A482" s="8" t="s">
        <v>28</v>
      </c>
      <c r="B482" s="9">
        <f t="shared" si="86"/>
        <v>22</v>
      </c>
      <c r="C482" s="8"/>
      <c r="D482" s="8"/>
      <c r="E482" s="8">
        <v>8</v>
      </c>
      <c r="F482" s="8">
        <v>4</v>
      </c>
      <c r="G482" s="9">
        <f t="shared" si="87"/>
        <v>4</v>
      </c>
      <c r="H482" s="9">
        <f t="shared" si="88"/>
        <v>18</v>
      </c>
      <c r="I482" s="10">
        <f t="shared" si="89"/>
        <v>24</v>
      </c>
    </row>
    <row r="483" spans="1:9" ht="12.75">
      <c r="A483" s="8" t="s">
        <v>29</v>
      </c>
      <c r="B483" s="9">
        <f t="shared" si="86"/>
        <v>27</v>
      </c>
      <c r="C483" s="8"/>
      <c r="D483" s="8">
        <v>36</v>
      </c>
      <c r="E483" s="8">
        <v>20</v>
      </c>
      <c r="F483" s="8">
        <v>0</v>
      </c>
      <c r="G483" s="9">
        <f t="shared" si="87"/>
        <v>20</v>
      </c>
      <c r="H483" s="9">
        <f t="shared" si="88"/>
        <v>43</v>
      </c>
      <c r="I483" s="10">
        <f t="shared" si="89"/>
        <v>120</v>
      </c>
    </row>
    <row r="484" spans="1:9" ht="12.75">
      <c r="A484" s="8" t="s">
        <v>30</v>
      </c>
      <c r="B484" s="9">
        <f t="shared" si="86"/>
        <v>18</v>
      </c>
      <c r="C484" s="8"/>
      <c r="D484" s="8"/>
      <c r="E484" s="8">
        <v>3</v>
      </c>
      <c r="F484" s="8">
        <v>2</v>
      </c>
      <c r="G484" s="9">
        <f t="shared" si="87"/>
        <v>1</v>
      </c>
      <c r="H484" s="9">
        <f t="shared" si="88"/>
        <v>17</v>
      </c>
      <c r="I484" s="10">
        <f t="shared" si="89"/>
        <v>6</v>
      </c>
    </row>
    <row r="485" spans="1:9" ht="12.75">
      <c r="A485" s="13" t="s">
        <v>31</v>
      </c>
      <c r="B485" s="9">
        <f t="shared" si="86"/>
        <v>12</v>
      </c>
      <c r="C485" s="8"/>
      <c r="D485" s="8"/>
      <c r="E485" s="8">
        <v>2</v>
      </c>
      <c r="F485" s="8">
        <v>1</v>
      </c>
      <c r="G485" s="9">
        <f t="shared" si="87"/>
        <v>1</v>
      </c>
      <c r="H485" s="9">
        <f t="shared" si="88"/>
        <v>11</v>
      </c>
      <c r="I485" s="10">
        <f t="shared" si="89"/>
        <v>6</v>
      </c>
    </row>
    <row r="486" spans="1:9" ht="12.75">
      <c r="A486" s="13" t="s">
        <v>32</v>
      </c>
      <c r="B486" s="9">
        <f t="shared" si="86"/>
        <v>2</v>
      </c>
      <c r="C486" s="8"/>
      <c r="D486" s="8"/>
      <c r="E486" s="8">
        <v>2</v>
      </c>
      <c r="F486" s="8">
        <v>1</v>
      </c>
      <c r="G486" s="9">
        <f t="shared" si="87"/>
        <v>1</v>
      </c>
      <c r="H486" s="9">
        <f t="shared" si="88"/>
        <v>1</v>
      </c>
      <c r="I486" s="10">
        <f t="shared" si="89"/>
        <v>6</v>
      </c>
    </row>
    <row r="487" spans="1:9" ht="12.75">
      <c r="A487" s="14" t="s">
        <v>33</v>
      </c>
      <c r="B487" s="15">
        <f>SUM(B464:B486)</f>
        <v>503</v>
      </c>
      <c r="C487" s="14"/>
      <c r="D487" s="14"/>
      <c r="E487" s="15">
        <f t="shared" ref="E487:G487" si="90">SUM(E463:E486)</f>
        <v>123</v>
      </c>
      <c r="F487" s="15">
        <f t="shared" si="90"/>
        <v>69</v>
      </c>
      <c r="G487" s="15">
        <f t="shared" si="90"/>
        <v>54</v>
      </c>
      <c r="H487" s="15">
        <f>SUM(H464:H486)</f>
        <v>515</v>
      </c>
      <c r="I487" s="16">
        <f>SUM(I463:I486)</f>
        <v>324</v>
      </c>
    </row>
    <row r="488" spans="1:9" ht="12.75">
      <c r="A488" s="17"/>
      <c r="B488" s="17"/>
      <c r="C488" s="17"/>
      <c r="D488" s="17"/>
      <c r="E488" s="17"/>
      <c r="F488" s="134" t="s">
        <v>34</v>
      </c>
      <c r="G488" s="133"/>
      <c r="H488" s="18"/>
      <c r="I488" s="19"/>
    </row>
    <row r="490" spans="1:9">
      <c r="A490" s="1"/>
      <c r="B490" s="131" t="s">
        <v>81</v>
      </c>
      <c r="C490" s="132"/>
      <c r="D490" s="132"/>
      <c r="E490" s="132"/>
      <c r="F490" s="132"/>
      <c r="G490" s="132"/>
      <c r="H490" s="132"/>
      <c r="I490" s="133"/>
    </row>
    <row r="491" spans="1:9" ht="45">
      <c r="A491" s="2" t="s">
        <v>1</v>
      </c>
      <c r="B491" s="6" t="s">
        <v>2</v>
      </c>
      <c r="C491" s="4" t="s">
        <v>3</v>
      </c>
      <c r="D491" s="5" t="s">
        <v>4</v>
      </c>
      <c r="E491" s="2" t="s">
        <v>5</v>
      </c>
      <c r="F491" s="2" t="s">
        <v>6</v>
      </c>
      <c r="G491" s="2" t="s">
        <v>7</v>
      </c>
      <c r="H491" s="6" t="s">
        <v>8</v>
      </c>
      <c r="I491" s="7" t="s">
        <v>9</v>
      </c>
    </row>
    <row r="492" spans="1:9" ht="12.75">
      <c r="A492" s="8" t="s">
        <v>10</v>
      </c>
      <c r="B492" s="9">
        <f t="shared" ref="B492:B514" si="91">H464</f>
        <v>11</v>
      </c>
      <c r="C492" s="8"/>
      <c r="D492" s="8"/>
      <c r="E492" s="8">
        <v>6</v>
      </c>
      <c r="F492" s="8">
        <v>4</v>
      </c>
      <c r="G492" s="9">
        <f t="shared" ref="G492:G514" si="92">E492-F492</f>
        <v>2</v>
      </c>
      <c r="H492" s="9">
        <f t="shared" ref="H492:H514" si="93">B492-C492+D492-G492</f>
        <v>9</v>
      </c>
      <c r="I492" s="10">
        <f t="shared" ref="I492:I514" si="94">G492*6</f>
        <v>12</v>
      </c>
    </row>
    <row r="493" spans="1:9" ht="12.75">
      <c r="A493" s="8" t="s">
        <v>11</v>
      </c>
      <c r="B493" s="9">
        <f t="shared" si="91"/>
        <v>31</v>
      </c>
      <c r="C493" s="11"/>
      <c r="D493" s="8"/>
      <c r="E493" s="8">
        <v>5</v>
      </c>
      <c r="F493" s="8">
        <v>5</v>
      </c>
      <c r="G493" s="9">
        <f t="shared" si="92"/>
        <v>0</v>
      </c>
      <c r="H493" s="9">
        <f t="shared" si="93"/>
        <v>31</v>
      </c>
      <c r="I493" s="10">
        <f t="shared" si="94"/>
        <v>0</v>
      </c>
    </row>
    <row r="494" spans="1:9" ht="12.75">
      <c r="A494" s="8" t="s">
        <v>12</v>
      </c>
      <c r="B494" s="9">
        <f t="shared" si="91"/>
        <v>37</v>
      </c>
      <c r="C494" s="8"/>
      <c r="D494" s="8"/>
      <c r="E494" s="8">
        <v>4</v>
      </c>
      <c r="F494" s="8">
        <v>0</v>
      </c>
      <c r="G494" s="9">
        <f t="shared" si="92"/>
        <v>4</v>
      </c>
      <c r="H494" s="9">
        <f t="shared" si="93"/>
        <v>33</v>
      </c>
      <c r="I494" s="10">
        <f t="shared" si="94"/>
        <v>24</v>
      </c>
    </row>
    <row r="495" spans="1:9" ht="12.75">
      <c r="A495" s="8" t="s">
        <v>13</v>
      </c>
      <c r="B495" s="9">
        <f t="shared" si="91"/>
        <v>13</v>
      </c>
      <c r="C495" s="8"/>
      <c r="D495" s="8"/>
      <c r="E495" s="8">
        <v>6</v>
      </c>
      <c r="F495" s="8">
        <v>6</v>
      </c>
      <c r="G495" s="9">
        <f t="shared" si="92"/>
        <v>0</v>
      </c>
      <c r="H495" s="9">
        <f t="shared" si="93"/>
        <v>13</v>
      </c>
      <c r="I495" s="10">
        <f t="shared" si="94"/>
        <v>0</v>
      </c>
    </row>
    <row r="496" spans="1:9" ht="12.75">
      <c r="A496" s="8" t="s">
        <v>14</v>
      </c>
      <c r="B496" s="9">
        <f t="shared" si="91"/>
        <v>25</v>
      </c>
      <c r="C496" s="8"/>
      <c r="D496" s="8"/>
      <c r="E496" s="8">
        <v>4</v>
      </c>
      <c r="F496" s="8">
        <v>4</v>
      </c>
      <c r="G496" s="9">
        <f t="shared" si="92"/>
        <v>0</v>
      </c>
      <c r="H496" s="9">
        <f t="shared" si="93"/>
        <v>25</v>
      </c>
      <c r="I496" s="10">
        <f t="shared" si="94"/>
        <v>0</v>
      </c>
    </row>
    <row r="497" spans="1:9" ht="12.75">
      <c r="A497" s="8" t="s">
        <v>15</v>
      </c>
      <c r="B497" s="9">
        <f t="shared" si="91"/>
        <v>16</v>
      </c>
      <c r="C497" s="8"/>
      <c r="D497" s="8"/>
      <c r="E497" s="8">
        <v>7</v>
      </c>
      <c r="F497" s="8">
        <v>7</v>
      </c>
      <c r="G497" s="9">
        <f t="shared" si="92"/>
        <v>0</v>
      </c>
      <c r="H497" s="9">
        <f t="shared" si="93"/>
        <v>16</v>
      </c>
      <c r="I497" s="10">
        <f t="shared" si="94"/>
        <v>0</v>
      </c>
    </row>
    <row r="498" spans="1:9" ht="12.75">
      <c r="A498" s="8" t="s">
        <v>16</v>
      </c>
      <c r="B498" s="9">
        <f t="shared" si="91"/>
        <v>25</v>
      </c>
      <c r="C498" s="8"/>
      <c r="D498" s="8"/>
      <c r="E498" s="8">
        <v>4</v>
      </c>
      <c r="F498" s="8">
        <v>4</v>
      </c>
      <c r="G498" s="9">
        <f t="shared" si="92"/>
        <v>0</v>
      </c>
      <c r="H498" s="9">
        <f t="shared" si="93"/>
        <v>25</v>
      </c>
      <c r="I498" s="10">
        <f t="shared" si="94"/>
        <v>0</v>
      </c>
    </row>
    <row r="499" spans="1:9" ht="12.75">
      <c r="A499" s="8" t="s">
        <v>17</v>
      </c>
      <c r="B499" s="9">
        <f t="shared" si="91"/>
        <v>12</v>
      </c>
      <c r="C499" s="8"/>
      <c r="D499" s="8"/>
      <c r="E499" s="8">
        <v>3</v>
      </c>
      <c r="F499" s="8">
        <v>2</v>
      </c>
      <c r="G499" s="9">
        <f t="shared" si="92"/>
        <v>1</v>
      </c>
      <c r="H499" s="9">
        <f t="shared" si="93"/>
        <v>11</v>
      </c>
      <c r="I499" s="10">
        <f t="shared" si="94"/>
        <v>6</v>
      </c>
    </row>
    <row r="500" spans="1:9" ht="12.75">
      <c r="A500" s="8" t="s">
        <v>18</v>
      </c>
      <c r="B500" s="9">
        <f t="shared" si="91"/>
        <v>33</v>
      </c>
      <c r="C500" s="8"/>
      <c r="D500" s="8"/>
      <c r="E500" s="8">
        <v>4</v>
      </c>
      <c r="F500" s="8">
        <v>2</v>
      </c>
      <c r="G500" s="9">
        <f t="shared" si="92"/>
        <v>2</v>
      </c>
      <c r="H500" s="9">
        <f t="shared" si="93"/>
        <v>31</v>
      </c>
      <c r="I500" s="10">
        <f t="shared" si="94"/>
        <v>12</v>
      </c>
    </row>
    <row r="501" spans="1:9" ht="12.75">
      <c r="A501" s="8" t="s">
        <v>19</v>
      </c>
      <c r="B501" s="9">
        <f t="shared" si="91"/>
        <v>39</v>
      </c>
      <c r="C501" s="8"/>
      <c r="D501" s="8"/>
      <c r="E501" s="8">
        <v>5</v>
      </c>
      <c r="F501" s="8">
        <v>0</v>
      </c>
      <c r="G501" s="9">
        <f t="shared" si="92"/>
        <v>5</v>
      </c>
      <c r="H501" s="9">
        <f t="shared" si="93"/>
        <v>34</v>
      </c>
      <c r="I501" s="10">
        <f t="shared" si="94"/>
        <v>30</v>
      </c>
    </row>
    <row r="502" spans="1:9" ht="12.75">
      <c r="A502" s="8" t="s">
        <v>20</v>
      </c>
      <c r="B502" s="9">
        <f t="shared" si="91"/>
        <v>16</v>
      </c>
      <c r="C502" s="8"/>
      <c r="D502" s="8"/>
      <c r="E502" s="8">
        <v>6</v>
      </c>
      <c r="F502" s="8">
        <v>6</v>
      </c>
      <c r="G502" s="9">
        <f t="shared" si="92"/>
        <v>0</v>
      </c>
      <c r="H502" s="9">
        <f t="shared" si="93"/>
        <v>16</v>
      </c>
      <c r="I502" s="10">
        <f t="shared" si="94"/>
        <v>0</v>
      </c>
    </row>
    <row r="503" spans="1:9" ht="12.75">
      <c r="A503" s="8" t="s">
        <v>21</v>
      </c>
      <c r="B503" s="9">
        <f t="shared" si="91"/>
        <v>6</v>
      </c>
      <c r="C503" s="8"/>
      <c r="D503" s="8"/>
      <c r="E503" s="8">
        <v>1</v>
      </c>
      <c r="F503" s="8">
        <v>1</v>
      </c>
      <c r="G503" s="9">
        <f t="shared" si="92"/>
        <v>0</v>
      </c>
      <c r="H503" s="9">
        <f t="shared" si="93"/>
        <v>6</v>
      </c>
      <c r="I503" s="10">
        <f t="shared" si="94"/>
        <v>0</v>
      </c>
    </row>
    <row r="504" spans="1:9" ht="12.75">
      <c r="A504" s="8" t="s">
        <v>22</v>
      </c>
      <c r="B504" s="9">
        <f t="shared" si="91"/>
        <v>9</v>
      </c>
      <c r="C504" s="8"/>
      <c r="D504" s="8"/>
      <c r="E504" s="8">
        <v>4</v>
      </c>
      <c r="F504" s="8">
        <v>4</v>
      </c>
      <c r="G504" s="9">
        <f t="shared" si="92"/>
        <v>0</v>
      </c>
      <c r="H504" s="9">
        <f t="shared" si="93"/>
        <v>9</v>
      </c>
      <c r="I504" s="10">
        <f t="shared" si="94"/>
        <v>0</v>
      </c>
    </row>
    <row r="505" spans="1:9" ht="12.75">
      <c r="A505" s="8" t="s">
        <v>23</v>
      </c>
      <c r="B505" s="9">
        <f t="shared" si="91"/>
        <v>47</v>
      </c>
      <c r="C505" s="11"/>
      <c r="D505" s="8"/>
      <c r="E505" s="8">
        <v>6</v>
      </c>
      <c r="F505" s="8">
        <v>4</v>
      </c>
      <c r="G505" s="9">
        <f t="shared" si="92"/>
        <v>2</v>
      </c>
      <c r="H505" s="9">
        <f t="shared" si="93"/>
        <v>45</v>
      </c>
      <c r="I505" s="10">
        <f t="shared" si="94"/>
        <v>12</v>
      </c>
    </row>
    <row r="506" spans="1:9" ht="12.75">
      <c r="A506" s="8" t="s">
        <v>24</v>
      </c>
      <c r="B506" s="9">
        <f t="shared" si="91"/>
        <v>19</v>
      </c>
      <c r="C506" s="8"/>
      <c r="D506" s="8"/>
      <c r="E506" s="8">
        <v>3</v>
      </c>
      <c r="F506" s="8">
        <v>2</v>
      </c>
      <c r="G506" s="9">
        <f t="shared" si="92"/>
        <v>1</v>
      </c>
      <c r="H506" s="9">
        <f t="shared" si="93"/>
        <v>18</v>
      </c>
      <c r="I506" s="10">
        <f t="shared" si="94"/>
        <v>6</v>
      </c>
    </row>
    <row r="507" spans="1:9" ht="12.75">
      <c r="A507" s="8" t="s">
        <v>25</v>
      </c>
      <c r="B507" s="9">
        <f t="shared" si="91"/>
        <v>48</v>
      </c>
      <c r="C507" s="8">
        <v>1</v>
      </c>
      <c r="D507" s="8"/>
      <c r="E507" s="8">
        <v>10</v>
      </c>
      <c r="F507" s="8">
        <v>8</v>
      </c>
      <c r="G507" s="9">
        <f t="shared" si="92"/>
        <v>2</v>
      </c>
      <c r="H507" s="9">
        <f t="shared" si="93"/>
        <v>45</v>
      </c>
      <c r="I507" s="10">
        <f t="shared" si="94"/>
        <v>12</v>
      </c>
    </row>
    <row r="508" spans="1:9" ht="12.75">
      <c r="A508" s="8" t="s">
        <v>26</v>
      </c>
      <c r="B508" s="9">
        <f t="shared" si="91"/>
        <v>18</v>
      </c>
      <c r="C508" s="8"/>
      <c r="D508" s="8"/>
      <c r="E508" s="8">
        <v>5</v>
      </c>
      <c r="F508" s="8">
        <v>5</v>
      </c>
      <c r="G508" s="9">
        <f t="shared" si="92"/>
        <v>0</v>
      </c>
      <c r="H508" s="9">
        <f t="shared" si="93"/>
        <v>18</v>
      </c>
      <c r="I508" s="10">
        <f t="shared" si="94"/>
        <v>0</v>
      </c>
    </row>
    <row r="509" spans="1:9" ht="12.75">
      <c r="A509" s="8" t="s">
        <v>27</v>
      </c>
      <c r="B509" s="9">
        <f t="shared" si="91"/>
        <v>20</v>
      </c>
      <c r="C509" s="8"/>
      <c r="D509" s="8"/>
      <c r="E509" s="8">
        <v>4</v>
      </c>
      <c r="F509" s="8">
        <v>3</v>
      </c>
      <c r="G509" s="9">
        <f t="shared" si="92"/>
        <v>1</v>
      </c>
      <c r="H509" s="9">
        <f t="shared" si="93"/>
        <v>19</v>
      </c>
      <c r="I509" s="10">
        <f t="shared" si="94"/>
        <v>6</v>
      </c>
    </row>
    <row r="510" spans="1:9" ht="12.75">
      <c r="A510" s="8" t="s">
        <v>28</v>
      </c>
      <c r="B510" s="9">
        <f t="shared" si="91"/>
        <v>18</v>
      </c>
      <c r="C510" s="8"/>
      <c r="D510" s="8"/>
      <c r="E510" s="8">
        <v>8</v>
      </c>
      <c r="F510" s="8">
        <v>4</v>
      </c>
      <c r="G510" s="9">
        <f t="shared" si="92"/>
        <v>4</v>
      </c>
      <c r="H510" s="9">
        <f t="shared" si="93"/>
        <v>14</v>
      </c>
      <c r="I510" s="10">
        <f t="shared" si="94"/>
        <v>24</v>
      </c>
    </row>
    <row r="511" spans="1:9" ht="12.75">
      <c r="A511" s="8" t="s">
        <v>29</v>
      </c>
      <c r="B511" s="9">
        <f t="shared" si="91"/>
        <v>43</v>
      </c>
      <c r="C511" s="8">
        <v>1</v>
      </c>
      <c r="D511" s="8">
        <v>32</v>
      </c>
      <c r="E511" s="8">
        <v>25</v>
      </c>
      <c r="F511" s="8">
        <v>2</v>
      </c>
      <c r="G511" s="9">
        <f t="shared" si="92"/>
        <v>23</v>
      </c>
      <c r="H511" s="9">
        <f t="shared" si="93"/>
        <v>51</v>
      </c>
      <c r="I511" s="10">
        <f t="shared" si="94"/>
        <v>138</v>
      </c>
    </row>
    <row r="512" spans="1:9" ht="12.75">
      <c r="A512" s="8" t="s">
        <v>30</v>
      </c>
      <c r="B512" s="9">
        <f t="shared" si="91"/>
        <v>17</v>
      </c>
      <c r="C512" s="8"/>
      <c r="D512" s="8"/>
      <c r="E512" s="8">
        <v>2</v>
      </c>
      <c r="F512" s="8">
        <v>2</v>
      </c>
      <c r="G512" s="9">
        <f t="shared" si="92"/>
        <v>0</v>
      </c>
      <c r="H512" s="9">
        <f t="shared" si="93"/>
        <v>17</v>
      </c>
      <c r="I512" s="10">
        <f t="shared" si="94"/>
        <v>0</v>
      </c>
    </row>
    <row r="513" spans="1:9" ht="12.75">
      <c r="A513" s="13" t="s">
        <v>31</v>
      </c>
      <c r="B513" s="9">
        <f t="shared" si="91"/>
        <v>11</v>
      </c>
      <c r="C513" s="8"/>
      <c r="D513" s="8"/>
      <c r="E513" s="8">
        <v>2</v>
      </c>
      <c r="F513" s="8">
        <v>2</v>
      </c>
      <c r="G513" s="9">
        <f t="shared" si="92"/>
        <v>0</v>
      </c>
      <c r="H513" s="9">
        <f t="shared" si="93"/>
        <v>11</v>
      </c>
      <c r="I513" s="10">
        <f t="shared" si="94"/>
        <v>0</v>
      </c>
    </row>
    <row r="514" spans="1:9" ht="12.75">
      <c r="A514" s="13" t="s">
        <v>32</v>
      </c>
      <c r="B514" s="9">
        <f t="shared" si="91"/>
        <v>1</v>
      </c>
      <c r="C514" s="8"/>
      <c r="D514" s="8"/>
      <c r="E514" s="8">
        <v>1</v>
      </c>
      <c r="F514" s="8">
        <v>1</v>
      </c>
      <c r="G514" s="9">
        <f t="shared" si="92"/>
        <v>0</v>
      </c>
      <c r="H514" s="9">
        <f t="shared" si="93"/>
        <v>1</v>
      </c>
      <c r="I514" s="10">
        <f t="shared" si="94"/>
        <v>0</v>
      </c>
    </row>
    <row r="515" spans="1:9" ht="12.75">
      <c r="A515" s="14" t="s">
        <v>33</v>
      </c>
      <c r="B515" s="15">
        <f>SUM(B492:B514)</f>
        <v>515</v>
      </c>
      <c r="C515" s="14"/>
      <c r="D515" s="14"/>
      <c r="E515" s="15">
        <f t="shared" ref="E515:G515" si="95">SUM(E491:E514)</f>
        <v>125</v>
      </c>
      <c r="F515" s="15">
        <f t="shared" si="95"/>
        <v>78</v>
      </c>
      <c r="G515" s="15">
        <f t="shared" si="95"/>
        <v>47</v>
      </c>
      <c r="H515" s="15">
        <f>SUM(H492:H514)</f>
        <v>498</v>
      </c>
      <c r="I515" s="16">
        <f>SUM(I491:I514)</f>
        <v>282</v>
      </c>
    </row>
    <row r="516" spans="1:9" ht="12.75">
      <c r="A516" s="17"/>
      <c r="B516" s="17"/>
      <c r="C516" s="17"/>
      <c r="D516" s="17"/>
      <c r="E516" s="17"/>
      <c r="F516" s="134" t="s">
        <v>34</v>
      </c>
      <c r="G516" s="133"/>
      <c r="H516" s="18"/>
      <c r="I516" s="19"/>
    </row>
    <row r="518" spans="1:9">
      <c r="A518" s="1"/>
      <c r="B518" s="131" t="s">
        <v>82</v>
      </c>
      <c r="C518" s="132"/>
      <c r="D518" s="132"/>
      <c r="E518" s="132"/>
      <c r="F518" s="132"/>
      <c r="G518" s="132"/>
      <c r="H518" s="132"/>
      <c r="I518" s="133"/>
    </row>
    <row r="519" spans="1:9" ht="45">
      <c r="A519" s="2" t="s">
        <v>1</v>
      </c>
      <c r="B519" s="6" t="s">
        <v>2</v>
      </c>
      <c r="C519" s="4" t="s">
        <v>3</v>
      </c>
      <c r="D519" s="5" t="s">
        <v>4</v>
      </c>
      <c r="E519" s="2" t="s">
        <v>5</v>
      </c>
      <c r="F519" s="2" t="s">
        <v>6</v>
      </c>
      <c r="G519" s="2" t="s">
        <v>7</v>
      </c>
      <c r="H519" s="6" t="s">
        <v>8</v>
      </c>
      <c r="I519" s="7" t="s">
        <v>9</v>
      </c>
    </row>
    <row r="520" spans="1:9" ht="12.75">
      <c r="A520" s="8" t="s">
        <v>10</v>
      </c>
      <c r="B520" s="9">
        <f t="shared" ref="B520:B542" si="96">H492</f>
        <v>9</v>
      </c>
      <c r="C520" s="8"/>
      <c r="D520" s="8">
        <v>37</v>
      </c>
      <c r="E520" s="8">
        <v>9</v>
      </c>
      <c r="F520" s="8">
        <v>2</v>
      </c>
      <c r="G520" s="9">
        <f t="shared" ref="G520:G542" si="97">E520-F520</f>
        <v>7</v>
      </c>
      <c r="H520" s="9">
        <f t="shared" ref="H520:H542" si="98">B520-C520+D520-G520</f>
        <v>39</v>
      </c>
      <c r="I520" s="10">
        <f t="shared" ref="I520:I542" si="99">G520*6</f>
        <v>42</v>
      </c>
    </row>
    <row r="521" spans="1:9" ht="12.75">
      <c r="A521" s="8" t="s">
        <v>11</v>
      </c>
      <c r="B521" s="9">
        <f t="shared" si="96"/>
        <v>31</v>
      </c>
      <c r="C521" s="11">
        <v>3</v>
      </c>
      <c r="D521" s="8"/>
      <c r="E521" s="8">
        <v>4</v>
      </c>
      <c r="F521" s="8">
        <v>4</v>
      </c>
      <c r="G521" s="9">
        <f t="shared" si="97"/>
        <v>0</v>
      </c>
      <c r="H521" s="9">
        <f t="shared" si="98"/>
        <v>28</v>
      </c>
      <c r="I521" s="10">
        <f t="shared" si="99"/>
        <v>0</v>
      </c>
    </row>
    <row r="522" spans="1:9" ht="12.75">
      <c r="A522" s="8" t="s">
        <v>12</v>
      </c>
      <c r="B522" s="9">
        <f t="shared" si="96"/>
        <v>33</v>
      </c>
      <c r="C522" s="8"/>
      <c r="D522" s="8"/>
      <c r="E522" s="8">
        <v>11</v>
      </c>
      <c r="F522" s="8">
        <v>5</v>
      </c>
      <c r="G522" s="9">
        <f t="shared" si="97"/>
        <v>6</v>
      </c>
      <c r="H522" s="9">
        <f t="shared" si="98"/>
        <v>27</v>
      </c>
      <c r="I522" s="10">
        <f t="shared" si="99"/>
        <v>36</v>
      </c>
    </row>
    <row r="523" spans="1:9" ht="12.75">
      <c r="A523" s="8" t="s">
        <v>13</v>
      </c>
      <c r="B523" s="9">
        <f t="shared" si="96"/>
        <v>13</v>
      </c>
      <c r="C523" s="8">
        <v>1</v>
      </c>
      <c r="D523" s="8">
        <v>29</v>
      </c>
      <c r="E523" s="8">
        <v>6</v>
      </c>
      <c r="F523" s="8">
        <v>0</v>
      </c>
      <c r="G523" s="9">
        <f t="shared" si="97"/>
        <v>6</v>
      </c>
      <c r="H523" s="9">
        <f t="shared" si="98"/>
        <v>35</v>
      </c>
      <c r="I523" s="10">
        <f t="shared" si="99"/>
        <v>36</v>
      </c>
    </row>
    <row r="524" spans="1:9" ht="12.75">
      <c r="A524" s="8" t="s">
        <v>14</v>
      </c>
      <c r="B524" s="9">
        <f t="shared" si="96"/>
        <v>25</v>
      </c>
      <c r="C524" s="8"/>
      <c r="D524" s="8"/>
      <c r="E524" s="8">
        <v>4</v>
      </c>
      <c r="F524" s="8">
        <v>4</v>
      </c>
      <c r="G524" s="9">
        <f t="shared" si="97"/>
        <v>0</v>
      </c>
      <c r="H524" s="9">
        <f t="shared" si="98"/>
        <v>25</v>
      </c>
      <c r="I524" s="10">
        <f t="shared" si="99"/>
        <v>0</v>
      </c>
    </row>
    <row r="525" spans="1:9" ht="12.75">
      <c r="A525" s="8" t="s">
        <v>15</v>
      </c>
      <c r="B525" s="9">
        <f t="shared" si="96"/>
        <v>16</v>
      </c>
      <c r="C525" s="8"/>
      <c r="D525" s="8"/>
      <c r="E525" s="8">
        <v>5</v>
      </c>
      <c r="F525" s="8">
        <v>4</v>
      </c>
      <c r="G525" s="9">
        <f t="shared" si="97"/>
        <v>1</v>
      </c>
      <c r="H525" s="9">
        <f t="shared" si="98"/>
        <v>15</v>
      </c>
      <c r="I525" s="10">
        <f t="shared" si="99"/>
        <v>6</v>
      </c>
    </row>
    <row r="526" spans="1:9" ht="12.75">
      <c r="A526" s="8" t="s">
        <v>16</v>
      </c>
      <c r="B526" s="9">
        <f t="shared" si="96"/>
        <v>25</v>
      </c>
      <c r="C526" s="8"/>
      <c r="D526" s="8"/>
      <c r="E526" s="8">
        <v>8</v>
      </c>
      <c r="F526" s="8">
        <v>4</v>
      </c>
      <c r="G526" s="9">
        <f t="shared" si="97"/>
        <v>4</v>
      </c>
      <c r="H526" s="9">
        <f t="shared" si="98"/>
        <v>21</v>
      </c>
      <c r="I526" s="10">
        <f t="shared" si="99"/>
        <v>24</v>
      </c>
    </row>
    <row r="527" spans="1:9" ht="12.75">
      <c r="A527" s="8" t="s">
        <v>17</v>
      </c>
      <c r="B527" s="9">
        <f t="shared" si="96"/>
        <v>11</v>
      </c>
      <c r="C527" s="8"/>
      <c r="D527" s="8"/>
      <c r="E527" s="8">
        <v>4</v>
      </c>
      <c r="F527" s="8">
        <v>4</v>
      </c>
      <c r="G527" s="9">
        <f t="shared" si="97"/>
        <v>0</v>
      </c>
      <c r="H527" s="9">
        <f t="shared" si="98"/>
        <v>11</v>
      </c>
      <c r="I527" s="10">
        <f t="shared" si="99"/>
        <v>0</v>
      </c>
    </row>
    <row r="528" spans="1:9" ht="12.75">
      <c r="A528" s="8" t="s">
        <v>18</v>
      </c>
      <c r="B528" s="9">
        <f t="shared" si="96"/>
        <v>31</v>
      </c>
      <c r="C528" s="8"/>
      <c r="D528" s="8"/>
      <c r="E528" s="8">
        <v>6</v>
      </c>
      <c r="F528" s="8">
        <v>3</v>
      </c>
      <c r="G528" s="9">
        <f t="shared" si="97"/>
        <v>3</v>
      </c>
      <c r="H528" s="9">
        <f t="shared" si="98"/>
        <v>28</v>
      </c>
      <c r="I528" s="10">
        <f t="shared" si="99"/>
        <v>18</v>
      </c>
    </row>
    <row r="529" spans="1:9" ht="12.75">
      <c r="A529" s="8" t="s">
        <v>19</v>
      </c>
      <c r="B529" s="9">
        <f t="shared" si="96"/>
        <v>34</v>
      </c>
      <c r="C529" s="8"/>
      <c r="D529" s="8"/>
      <c r="E529" s="8">
        <v>7</v>
      </c>
      <c r="F529" s="8">
        <v>3</v>
      </c>
      <c r="G529" s="9">
        <f t="shared" si="97"/>
        <v>4</v>
      </c>
      <c r="H529" s="9">
        <f t="shared" si="98"/>
        <v>30</v>
      </c>
      <c r="I529" s="10">
        <f t="shared" si="99"/>
        <v>24</v>
      </c>
    </row>
    <row r="530" spans="1:9" ht="12.75">
      <c r="A530" s="8" t="s">
        <v>20</v>
      </c>
      <c r="B530" s="9">
        <f t="shared" si="96"/>
        <v>16</v>
      </c>
      <c r="C530" s="8"/>
      <c r="D530" s="8"/>
      <c r="E530" s="8">
        <v>6</v>
      </c>
      <c r="F530" s="8">
        <v>5</v>
      </c>
      <c r="G530" s="9">
        <f t="shared" si="97"/>
        <v>1</v>
      </c>
      <c r="H530" s="9">
        <f t="shared" si="98"/>
        <v>15</v>
      </c>
      <c r="I530" s="10">
        <f t="shared" si="99"/>
        <v>6</v>
      </c>
    </row>
    <row r="531" spans="1:9" ht="12.75">
      <c r="A531" s="8" t="s">
        <v>21</v>
      </c>
      <c r="B531" s="9">
        <f t="shared" si="96"/>
        <v>6</v>
      </c>
      <c r="C531" s="8"/>
      <c r="D531" s="8"/>
      <c r="E531" s="8">
        <v>2</v>
      </c>
      <c r="F531" s="8">
        <v>1</v>
      </c>
      <c r="G531" s="9">
        <f t="shared" si="97"/>
        <v>1</v>
      </c>
      <c r="H531" s="9">
        <f t="shared" si="98"/>
        <v>5</v>
      </c>
      <c r="I531" s="10">
        <f t="shared" si="99"/>
        <v>6</v>
      </c>
    </row>
    <row r="532" spans="1:9" ht="12.75">
      <c r="A532" s="8" t="s">
        <v>22</v>
      </c>
      <c r="B532" s="9">
        <f t="shared" si="96"/>
        <v>9</v>
      </c>
      <c r="C532" s="8"/>
      <c r="D532" s="8"/>
      <c r="E532" s="8">
        <v>4</v>
      </c>
      <c r="F532" s="8">
        <v>3</v>
      </c>
      <c r="G532" s="9">
        <f t="shared" si="97"/>
        <v>1</v>
      </c>
      <c r="H532" s="9">
        <f t="shared" si="98"/>
        <v>8</v>
      </c>
      <c r="I532" s="10">
        <f t="shared" si="99"/>
        <v>6</v>
      </c>
    </row>
    <row r="533" spans="1:9" ht="12.75">
      <c r="A533" s="8" t="s">
        <v>23</v>
      </c>
      <c r="B533" s="9">
        <f t="shared" si="96"/>
        <v>45</v>
      </c>
      <c r="C533" s="11">
        <v>1</v>
      </c>
      <c r="D533" s="8"/>
      <c r="E533" s="8">
        <v>6</v>
      </c>
      <c r="F533" s="8">
        <v>2</v>
      </c>
      <c r="G533" s="9">
        <f t="shared" si="97"/>
        <v>4</v>
      </c>
      <c r="H533" s="9">
        <f t="shared" si="98"/>
        <v>40</v>
      </c>
      <c r="I533" s="10">
        <f t="shared" si="99"/>
        <v>24</v>
      </c>
    </row>
    <row r="534" spans="1:9" ht="12.75">
      <c r="A534" s="8" t="s">
        <v>24</v>
      </c>
      <c r="B534" s="9">
        <f t="shared" si="96"/>
        <v>18</v>
      </c>
      <c r="C534" s="8"/>
      <c r="D534" s="8"/>
      <c r="E534" s="8">
        <v>3</v>
      </c>
      <c r="F534" s="8">
        <v>3</v>
      </c>
      <c r="G534" s="9">
        <f t="shared" si="97"/>
        <v>0</v>
      </c>
      <c r="H534" s="9">
        <f t="shared" si="98"/>
        <v>18</v>
      </c>
      <c r="I534" s="10">
        <f t="shared" si="99"/>
        <v>0</v>
      </c>
    </row>
    <row r="535" spans="1:9" ht="12.75">
      <c r="A535" s="8" t="s">
        <v>25</v>
      </c>
      <c r="B535" s="9">
        <f t="shared" si="96"/>
        <v>45</v>
      </c>
      <c r="C535" s="8">
        <v>1</v>
      </c>
      <c r="D535" s="8"/>
      <c r="E535" s="8">
        <v>10</v>
      </c>
      <c r="F535" s="8">
        <v>4</v>
      </c>
      <c r="G535" s="9">
        <f t="shared" si="97"/>
        <v>6</v>
      </c>
      <c r="H535" s="9">
        <f t="shared" si="98"/>
        <v>38</v>
      </c>
      <c r="I535" s="10">
        <f t="shared" si="99"/>
        <v>36</v>
      </c>
    </row>
    <row r="536" spans="1:9" ht="12.75">
      <c r="A536" s="8" t="s">
        <v>26</v>
      </c>
      <c r="B536" s="9">
        <f t="shared" si="96"/>
        <v>18</v>
      </c>
      <c r="C536" s="8"/>
      <c r="D536" s="8"/>
      <c r="E536" s="8">
        <v>5</v>
      </c>
      <c r="F536" s="8">
        <v>4</v>
      </c>
      <c r="G536" s="9">
        <f t="shared" si="97"/>
        <v>1</v>
      </c>
      <c r="H536" s="9">
        <f t="shared" si="98"/>
        <v>17</v>
      </c>
      <c r="I536" s="10">
        <f t="shared" si="99"/>
        <v>6</v>
      </c>
    </row>
    <row r="537" spans="1:9" ht="12.75">
      <c r="A537" s="8" t="s">
        <v>27</v>
      </c>
      <c r="B537" s="9">
        <f t="shared" si="96"/>
        <v>19</v>
      </c>
      <c r="C537" s="8"/>
      <c r="D537" s="8"/>
      <c r="E537" s="8">
        <v>4</v>
      </c>
      <c r="F537" s="8">
        <v>2</v>
      </c>
      <c r="G537" s="9">
        <f t="shared" si="97"/>
        <v>2</v>
      </c>
      <c r="H537" s="9">
        <f t="shared" si="98"/>
        <v>17</v>
      </c>
      <c r="I537" s="10">
        <f t="shared" si="99"/>
        <v>12</v>
      </c>
    </row>
    <row r="538" spans="1:9" ht="12.75">
      <c r="A538" s="8" t="s">
        <v>28</v>
      </c>
      <c r="B538" s="21">
        <f t="shared" si="96"/>
        <v>14</v>
      </c>
      <c r="C538" s="8"/>
      <c r="D538" s="8"/>
      <c r="E538" s="8">
        <v>8</v>
      </c>
      <c r="F538" s="8">
        <v>5</v>
      </c>
      <c r="G538" s="9">
        <f t="shared" si="97"/>
        <v>3</v>
      </c>
      <c r="H538" s="9">
        <f t="shared" si="98"/>
        <v>11</v>
      </c>
      <c r="I538" s="10">
        <f t="shared" si="99"/>
        <v>18</v>
      </c>
    </row>
    <row r="539" spans="1:9" ht="12.75">
      <c r="A539" s="8" t="s">
        <v>29</v>
      </c>
      <c r="B539" s="21">
        <f t="shared" si="96"/>
        <v>51</v>
      </c>
      <c r="C539" s="8">
        <v>3</v>
      </c>
      <c r="D539" s="8">
        <v>33</v>
      </c>
      <c r="E539" s="8">
        <v>41</v>
      </c>
      <c r="F539" s="8">
        <v>18</v>
      </c>
      <c r="G539" s="9">
        <f t="shared" si="97"/>
        <v>23</v>
      </c>
      <c r="H539" s="9">
        <f t="shared" si="98"/>
        <v>58</v>
      </c>
      <c r="I539" s="10">
        <f t="shared" si="99"/>
        <v>138</v>
      </c>
    </row>
    <row r="540" spans="1:9" ht="12.75">
      <c r="A540" s="8" t="s">
        <v>30</v>
      </c>
      <c r="B540" s="9">
        <f t="shared" si="96"/>
        <v>17</v>
      </c>
      <c r="C540" s="8">
        <v>1</v>
      </c>
      <c r="D540" s="8"/>
      <c r="E540" s="8">
        <v>3</v>
      </c>
      <c r="F540" s="8">
        <v>2</v>
      </c>
      <c r="G540" s="9">
        <f t="shared" si="97"/>
        <v>1</v>
      </c>
      <c r="H540" s="9">
        <f t="shared" si="98"/>
        <v>15</v>
      </c>
      <c r="I540" s="10">
        <f t="shared" si="99"/>
        <v>6</v>
      </c>
    </row>
    <row r="541" spans="1:9" ht="12.75">
      <c r="A541" s="13" t="s">
        <v>31</v>
      </c>
      <c r="B541" s="9">
        <f t="shared" si="96"/>
        <v>11</v>
      </c>
      <c r="C541" s="8"/>
      <c r="D541" s="8">
        <v>10</v>
      </c>
      <c r="E541" s="8">
        <v>2</v>
      </c>
      <c r="F541" s="8">
        <v>1</v>
      </c>
      <c r="G541" s="9">
        <f t="shared" si="97"/>
        <v>1</v>
      </c>
      <c r="H541" s="9">
        <f t="shared" si="98"/>
        <v>20</v>
      </c>
      <c r="I541" s="10">
        <f t="shared" si="99"/>
        <v>6</v>
      </c>
    </row>
    <row r="542" spans="1:9" ht="12.75">
      <c r="A542" s="13" t="s">
        <v>32</v>
      </c>
      <c r="B542" s="9">
        <f t="shared" si="96"/>
        <v>1</v>
      </c>
      <c r="C542" s="8"/>
      <c r="D542" s="8">
        <v>18</v>
      </c>
      <c r="E542" s="8">
        <v>1</v>
      </c>
      <c r="F542" s="8">
        <v>1</v>
      </c>
      <c r="G542" s="9">
        <f t="shared" si="97"/>
        <v>0</v>
      </c>
      <c r="H542" s="9">
        <f t="shared" si="98"/>
        <v>19</v>
      </c>
      <c r="I542" s="10">
        <f t="shared" si="99"/>
        <v>0</v>
      </c>
    </row>
    <row r="543" spans="1:9" ht="12.75">
      <c r="A543" s="14" t="s">
        <v>33</v>
      </c>
      <c r="B543" s="15">
        <f>SUM(B520:B542)</f>
        <v>498</v>
      </c>
      <c r="C543" s="14"/>
      <c r="D543" s="14"/>
      <c r="E543" s="15">
        <f t="shared" ref="E543:G543" si="100">SUM(E519:E542)</f>
        <v>159</v>
      </c>
      <c r="F543" s="15">
        <f t="shared" si="100"/>
        <v>84</v>
      </c>
      <c r="G543" s="15">
        <f t="shared" si="100"/>
        <v>75</v>
      </c>
      <c r="H543" s="15">
        <f>SUM(H520:H542)</f>
        <v>540</v>
      </c>
      <c r="I543" s="16">
        <f>SUM(I519:I542)</f>
        <v>450</v>
      </c>
    </row>
    <row r="544" spans="1:9" ht="12.75">
      <c r="A544" s="17"/>
      <c r="B544" s="17"/>
      <c r="C544" s="17"/>
      <c r="D544" s="17"/>
      <c r="E544" s="17"/>
      <c r="F544" s="134" t="s">
        <v>34</v>
      </c>
      <c r="G544" s="133"/>
      <c r="H544" s="18"/>
      <c r="I544" s="19"/>
    </row>
    <row r="546" spans="1:9">
      <c r="A546" s="1"/>
      <c r="B546" s="131" t="s">
        <v>83</v>
      </c>
      <c r="C546" s="132"/>
      <c r="D546" s="132"/>
      <c r="E546" s="132"/>
      <c r="F546" s="132"/>
      <c r="G546" s="132"/>
      <c r="H546" s="132"/>
      <c r="I546" s="133"/>
    </row>
    <row r="547" spans="1:9" ht="45">
      <c r="A547" s="2" t="s">
        <v>1</v>
      </c>
      <c r="B547" s="6" t="s">
        <v>2</v>
      </c>
      <c r="C547" s="4" t="s">
        <v>3</v>
      </c>
      <c r="D547" s="5" t="s">
        <v>4</v>
      </c>
      <c r="E547" s="2" t="s">
        <v>5</v>
      </c>
      <c r="F547" s="2" t="s">
        <v>6</v>
      </c>
      <c r="G547" s="2" t="s">
        <v>7</v>
      </c>
      <c r="H547" s="6" t="s">
        <v>8</v>
      </c>
      <c r="I547" s="7" t="s">
        <v>9</v>
      </c>
    </row>
    <row r="548" spans="1:9" ht="12.75">
      <c r="A548" s="8" t="s">
        <v>10</v>
      </c>
      <c r="B548" s="9">
        <f t="shared" ref="B548:B570" si="101">H520</f>
        <v>39</v>
      </c>
      <c r="C548" s="8"/>
      <c r="D548" s="8"/>
      <c r="E548" s="8">
        <v>6</v>
      </c>
      <c r="F548" s="8">
        <v>5</v>
      </c>
      <c r="G548" s="9">
        <f t="shared" ref="G548:G570" si="102">E548-F548</f>
        <v>1</v>
      </c>
      <c r="H548" s="9">
        <f t="shared" ref="H548:H570" si="103">B548-C548+D548-G548</f>
        <v>38</v>
      </c>
      <c r="I548" s="10">
        <f t="shared" ref="I548:I570" si="104">G548*6</f>
        <v>6</v>
      </c>
    </row>
    <row r="549" spans="1:9" ht="12.75">
      <c r="A549" s="8" t="s">
        <v>11</v>
      </c>
      <c r="B549" s="9">
        <f t="shared" si="101"/>
        <v>28</v>
      </c>
      <c r="C549" s="11"/>
      <c r="D549" s="8"/>
      <c r="E549" s="8">
        <v>5</v>
      </c>
      <c r="F549" s="8">
        <v>5</v>
      </c>
      <c r="G549" s="9">
        <f t="shared" si="102"/>
        <v>0</v>
      </c>
      <c r="H549" s="9">
        <f t="shared" si="103"/>
        <v>28</v>
      </c>
      <c r="I549" s="10">
        <f t="shared" si="104"/>
        <v>0</v>
      </c>
    </row>
    <row r="550" spans="1:9" ht="12.75">
      <c r="A550" s="8" t="s">
        <v>12</v>
      </c>
      <c r="B550" s="9">
        <f t="shared" si="101"/>
        <v>27</v>
      </c>
      <c r="C550" s="8"/>
      <c r="D550" s="8"/>
      <c r="E550" s="8">
        <v>4</v>
      </c>
      <c r="F550" s="8">
        <v>4</v>
      </c>
      <c r="G550" s="9">
        <f t="shared" si="102"/>
        <v>0</v>
      </c>
      <c r="H550" s="9">
        <f t="shared" si="103"/>
        <v>27</v>
      </c>
      <c r="I550" s="10">
        <f t="shared" si="104"/>
        <v>0</v>
      </c>
    </row>
    <row r="551" spans="1:9" ht="12.75">
      <c r="A551" s="8" t="s">
        <v>13</v>
      </c>
      <c r="B551" s="9">
        <f t="shared" si="101"/>
        <v>35</v>
      </c>
      <c r="C551" s="8">
        <v>1</v>
      </c>
      <c r="D551" s="8"/>
      <c r="E551" s="8">
        <v>6</v>
      </c>
      <c r="F551" s="8">
        <v>5</v>
      </c>
      <c r="G551" s="9">
        <f t="shared" si="102"/>
        <v>1</v>
      </c>
      <c r="H551" s="9">
        <f t="shared" si="103"/>
        <v>33</v>
      </c>
      <c r="I551" s="10">
        <f t="shared" si="104"/>
        <v>6</v>
      </c>
    </row>
    <row r="552" spans="1:9" ht="12.75">
      <c r="A552" s="8" t="s">
        <v>14</v>
      </c>
      <c r="B552" s="9">
        <f t="shared" si="101"/>
        <v>25</v>
      </c>
      <c r="C552" s="8"/>
      <c r="D552" s="8"/>
      <c r="E552" s="8">
        <v>4</v>
      </c>
      <c r="F552" s="8">
        <v>3</v>
      </c>
      <c r="G552" s="9">
        <f t="shared" si="102"/>
        <v>1</v>
      </c>
      <c r="H552" s="9">
        <f t="shared" si="103"/>
        <v>24</v>
      </c>
      <c r="I552" s="10">
        <f t="shared" si="104"/>
        <v>6</v>
      </c>
    </row>
    <row r="553" spans="1:9" ht="12.75">
      <c r="A553" s="8" t="s">
        <v>15</v>
      </c>
      <c r="B553" s="9">
        <f t="shared" si="101"/>
        <v>15</v>
      </c>
      <c r="C553" s="8"/>
      <c r="D553" s="8"/>
      <c r="E553" s="8">
        <v>5</v>
      </c>
      <c r="F553" s="8">
        <v>3</v>
      </c>
      <c r="G553" s="9">
        <f t="shared" si="102"/>
        <v>2</v>
      </c>
      <c r="H553" s="9">
        <f t="shared" si="103"/>
        <v>13</v>
      </c>
      <c r="I553" s="10">
        <f t="shared" si="104"/>
        <v>12</v>
      </c>
    </row>
    <row r="554" spans="1:9" ht="12.75">
      <c r="A554" s="8" t="s">
        <v>16</v>
      </c>
      <c r="B554" s="9">
        <f t="shared" si="101"/>
        <v>21</v>
      </c>
      <c r="C554" s="8">
        <v>1</v>
      </c>
      <c r="D554" s="8"/>
      <c r="E554" s="8">
        <v>4</v>
      </c>
      <c r="F554" s="8">
        <v>4</v>
      </c>
      <c r="G554" s="9">
        <f t="shared" si="102"/>
        <v>0</v>
      </c>
      <c r="H554" s="9">
        <f t="shared" si="103"/>
        <v>20</v>
      </c>
      <c r="I554" s="10">
        <f t="shared" si="104"/>
        <v>0</v>
      </c>
    </row>
    <row r="555" spans="1:9" ht="12.75">
      <c r="A555" s="8" t="s">
        <v>17</v>
      </c>
      <c r="B555" s="9">
        <f t="shared" si="101"/>
        <v>11</v>
      </c>
      <c r="C555" s="8"/>
      <c r="D555" s="8"/>
      <c r="E555" s="8">
        <v>3</v>
      </c>
      <c r="F555" s="8">
        <v>3</v>
      </c>
      <c r="G555" s="9">
        <f t="shared" si="102"/>
        <v>0</v>
      </c>
      <c r="H555" s="9">
        <f t="shared" si="103"/>
        <v>11</v>
      </c>
      <c r="I555" s="10">
        <f t="shared" si="104"/>
        <v>0</v>
      </c>
    </row>
    <row r="556" spans="1:9" ht="12.75">
      <c r="A556" s="8" t="s">
        <v>18</v>
      </c>
      <c r="B556" s="9">
        <f t="shared" si="101"/>
        <v>28</v>
      </c>
      <c r="C556" s="8"/>
      <c r="D556" s="8"/>
      <c r="E556" s="8">
        <v>5</v>
      </c>
      <c r="F556" s="8">
        <v>4</v>
      </c>
      <c r="G556" s="9">
        <f t="shared" si="102"/>
        <v>1</v>
      </c>
      <c r="H556" s="9">
        <f t="shared" si="103"/>
        <v>27</v>
      </c>
      <c r="I556" s="10">
        <f t="shared" si="104"/>
        <v>6</v>
      </c>
    </row>
    <row r="557" spans="1:9" ht="12.75">
      <c r="A557" s="8" t="s">
        <v>19</v>
      </c>
      <c r="B557" s="9">
        <f t="shared" si="101"/>
        <v>30</v>
      </c>
      <c r="C557" s="8"/>
      <c r="D557" s="8"/>
      <c r="E557" s="8">
        <v>5</v>
      </c>
      <c r="F557" s="8">
        <v>3</v>
      </c>
      <c r="G557" s="9">
        <f t="shared" si="102"/>
        <v>2</v>
      </c>
      <c r="H557" s="9">
        <f t="shared" si="103"/>
        <v>28</v>
      </c>
      <c r="I557" s="10">
        <f t="shared" si="104"/>
        <v>12</v>
      </c>
    </row>
    <row r="558" spans="1:9" ht="12.75">
      <c r="A558" s="8" t="s">
        <v>20</v>
      </c>
      <c r="B558" s="9">
        <f t="shared" si="101"/>
        <v>15</v>
      </c>
      <c r="C558" s="8">
        <v>1</v>
      </c>
      <c r="D558" s="8"/>
      <c r="E558" s="8">
        <v>5</v>
      </c>
      <c r="F558" s="8">
        <v>4</v>
      </c>
      <c r="G558" s="9">
        <f t="shared" si="102"/>
        <v>1</v>
      </c>
      <c r="H558" s="9">
        <f t="shared" si="103"/>
        <v>13</v>
      </c>
      <c r="I558" s="10">
        <f t="shared" si="104"/>
        <v>6</v>
      </c>
    </row>
    <row r="559" spans="1:9" ht="12.75">
      <c r="A559" s="8" t="s">
        <v>21</v>
      </c>
      <c r="B559" s="9">
        <f t="shared" si="101"/>
        <v>5</v>
      </c>
      <c r="C559" s="8"/>
      <c r="D559" s="8"/>
      <c r="E559" s="8">
        <v>2</v>
      </c>
      <c r="F559" s="8">
        <v>2</v>
      </c>
      <c r="G559" s="9">
        <f t="shared" si="102"/>
        <v>0</v>
      </c>
      <c r="H559" s="9">
        <f t="shared" si="103"/>
        <v>5</v>
      </c>
      <c r="I559" s="10">
        <f t="shared" si="104"/>
        <v>0</v>
      </c>
    </row>
    <row r="560" spans="1:9" ht="12.75">
      <c r="A560" s="8" t="s">
        <v>22</v>
      </c>
      <c r="B560" s="9">
        <f t="shared" si="101"/>
        <v>8</v>
      </c>
      <c r="C560" s="8"/>
      <c r="D560" s="8"/>
      <c r="E560" s="8">
        <v>3</v>
      </c>
      <c r="F560" s="8">
        <v>3</v>
      </c>
      <c r="G560" s="9">
        <f t="shared" si="102"/>
        <v>0</v>
      </c>
      <c r="H560" s="9">
        <f t="shared" si="103"/>
        <v>8</v>
      </c>
      <c r="I560" s="10">
        <f t="shared" si="104"/>
        <v>0</v>
      </c>
    </row>
    <row r="561" spans="1:9" ht="12.75">
      <c r="A561" s="8" t="s">
        <v>23</v>
      </c>
      <c r="B561" s="9">
        <f t="shared" si="101"/>
        <v>40</v>
      </c>
      <c r="C561" s="11">
        <v>1</v>
      </c>
      <c r="D561" s="8"/>
      <c r="E561" s="8">
        <v>6</v>
      </c>
      <c r="F561" s="8">
        <v>3</v>
      </c>
      <c r="G561" s="9">
        <f t="shared" si="102"/>
        <v>3</v>
      </c>
      <c r="H561" s="9">
        <f t="shared" si="103"/>
        <v>36</v>
      </c>
      <c r="I561" s="10">
        <f t="shared" si="104"/>
        <v>18</v>
      </c>
    </row>
    <row r="562" spans="1:9" ht="12.75">
      <c r="A562" s="8" t="s">
        <v>24</v>
      </c>
      <c r="B562" s="9">
        <f t="shared" si="101"/>
        <v>18</v>
      </c>
      <c r="C562" s="8">
        <v>1</v>
      </c>
      <c r="D562" s="8"/>
      <c r="E562" s="8">
        <v>2</v>
      </c>
      <c r="F562" s="8">
        <v>2</v>
      </c>
      <c r="G562" s="9">
        <f t="shared" si="102"/>
        <v>0</v>
      </c>
      <c r="H562" s="9">
        <f t="shared" si="103"/>
        <v>17</v>
      </c>
      <c r="I562" s="10">
        <f t="shared" si="104"/>
        <v>0</v>
      </c>
    </row>
    <row r="563" spans="1:9" ht="12.75">
      <c r="A563" s="8" t="s">
        <v>25</v>
      </c>
      <c r="B563" s="9">
        <f t="shared" si="101"/>
        <v>38</v>
      </c>
      <c r="C563" s="8"/>
      <c r="D563" s="8"/>
      <c r="E563" s="8">
        <v>8</v>
      </c>
      <c r="F563" s="8">
        <v>6</v>
      </c>
      <c r="G563" s="9">
        <f t="shared" si="102"/>
        <v>2</v>
      </c>
      <c r="H563" s="9">
        <f t="shared" si="103"/>
        <v>36</v>
      </c>
      <c r="I563" s="10">
        <f t="shared" si="104"/>
        <v>12</v>
      </c>
    </row>
    <row r="564" spans="1:9" ht="12.75">
      <c r="A564" s="8" t="s">
        <v>26</v>
      </c>
      <c r="B564" s="9">
        <f t="shared" si="101"/>
        <v>17</v>
      </c>
      <c r="C564" s="8"/>
      <c r="D564" s="8"/>
      <c r="E564" s="8">
        <v>5</v>
      </c>
      <c r="F564" s="8">
        <v>4</v>
      </c>
      <c r="G564" s="9">
        <f t="shared" si="102"/>
        <v>1</v>
      </c>
      <c r="H564" s="9">
        <f t="shared" si="103"/>
        <v>16</v>
      </c>
      <c r="I564" s="10">
        <f t="shared" si="104"/>
        <v>6</v>
      </c>
    </row>
    <row r="565" spans="1:9" ht="12.75">
      <c r="A565" s="8" t="s">
        <v>27</v>
      </c>
      <c r="B565" s="9">
        <f t="shared" si="101"/>
        <v>17</v>
      </c>
      <c r="C565" s="8"/>
      <c r="D565" s="8"/>
      <c r="E565" s="8">
        <v>3</v>
      </c>
      <c r="F565" s="8">
        <v>3</v>
      </c>
      <c r="G565" s="9">
        <f t="shared" si="102"/>
        <v>0</v>
      </c>
      <c r="H565" s="9">
        <f t="shared" si="103"/>
        <v>17</v>
      </c>
      <c r="I565" s="10">
        <f t="shared" si="104"/>
        <v>0</v>
      </c>
    </row>
    <row r="566" spans="1:9" ht="12.75">
      <c r="A566" s="8" t="s">
        <v>28</v>
      </c>
      <c r="B566" s="9">
        <f t="shared" si="101"/>
        <v>11</v>
      </c>
      <c r="C566" s="8"/>
      <c r="D566" s="8">
        <v>36</v>
      </c>
      <c r="E566" s="8">
        <v>8</v>
      </c>
      <c r="F566" s="8">
        <v>5</v>
      </c>
      <c r="G566" s="9">
        <f t="shared" si="102"/>
        <v>3</v>
      </c>
      <c r="H566" s="9">
        <f t="shared" si="103"/>
        <v>44</v>
      </c>
      <c r="I566" s="10">
        <f t="shared" si="104"/>
        <v>18</v>
      </c>
    </row>
    <row r="567" spans="1:9" ht="12.75">
      <c r="A567" s="8" t="s">
        <v>29</v>
      </c>
      <c r="B567" s="9">
        <f t="shared" si="101"/>
        <v>58</v>
      </c>
      <c r="C567" s="8"/>
      <c r="D567" s="8"/>
      <c r="E567" s="8">
        <v>27</v>
      </c>
      <c r="F567" s="8">
        <v>0</v>
      </c>
      <c r="G567" s="9">
        <f t="shared" si="102"/>
        <v>27</v>
      </c>
      <c r="H567" s="9">
        <f t="shared" si="103"/>
        <v>31</v>
      </c>
      <c r="I567" s="10">
        <f t="shared" si="104"/>
        <v>162</v>
      </c>
    </row>
    <row r="568" spans="1:9" ht="12.75">
      <c r="A568" s="8" t="s">
        <v>30</v>
      </c>
      <c r="B568" s="9">
        <f t="shared" si="101"/>
        <v>15</v>
      </c>
      <c r="C568" s="8">
        <v>1</v>
      </c>
      <c r="D568" s="8"/>
      <c r="E568" s="8">
        <v>3</v>
      </c>
      <c r="F568" s="8">
        <v>3</v>
      </c>
      <c r="G568" s="9">
        <f t="shared" si="102"/>
        <v>0</v>
      </c>
      <c r="H568" s="9">
        <f t="shared" si="103"/>
        <v>14</v>
      </c>
      <c r="I568" s="10">
        <f t="shared" si="104"/>
        <v>0</v>
      </c>
    </row>
    <row r="569" spans="1:9" ht="12.75">
      <c r="A569" s="13" t="s">
        <v>31</v>
      </c>
      <c r="B569" s="9">
        <f t="shared" si="101"/>
        <v>20</v>
      </c>
      <c r="C569" s="8"/>
      <c r="D569" s="8"/>
      <c r="E569" s="8">
        <v>2</v>
      </c>
      <c r="F569" s="8">
        <v>2</v>
      </c>
      <c r="G569" s="9">
        <f t="shared" si="102"/>
        <v>0</v>
      </c>
      <c r="H569" s="9">
        <f t="shared" si="103"/>
        <v>20</v>
      </c>
      <c r="I569" s="10">
        <f t="shared" si="104"/>
        <v>0</v>
      </c>
    </row>
    <row r="570" spans="1:9" ht="12.75">
      <c r="A570" s="13" t="s">
        <v>32</v>
      </c>
      <c r="B570" s="9">
        <f t="shared" si="101"/>
        <v>19</v>
      </c>
      <c r="C570" s="8"/>
      <c r="D570" s="8"/>
      <c r="E570" s="8">
        <v>2</v>
      </c>
      <c r="F570" s="8">
        <v>2</v>
      </c>
      <c r="G570" s="9">
        <f t="shared" si="102"/>
        <v>0</v>
      </c>
      <c r="H570" s="9">
        <f t="shared" si="103"/>
        <v>19</v>
      </c>
      <c r="I570" s="10">
        <f t="shared" si="104"/>
        <v>0</v>
      </c>
    </row>
    <row r="571" spans="1:9" ht="12.75">
      <c r="A571" s="14" t="s">
        <v>33</v>
      </c>
      <c r="B571" s="15">
        <f>SUM(B548:B570)</f>
        <v>540</v>
      </c>
      <c r="C571" s="14"/>
      <c r="D571" s="14"/>
      <c r="E571" s="15">
        <f t="shared" ref="E571:G571" si="105">SUM(E547:E570)</f>
        <v>123</v>
      </c>
      <c r="F571" s="15">
        <f t="shared" si="105"/>
        <v>78</v>
      </c>
      <c r="G571" s="15">
        <f t="shared" si="105"/>
        <v>45</v>
      </c>
      <c r="H571" s="15">
        <f>SUM(H548:H570)</f>
        <v>525</v>
      </c>
      <c r="I571" s="16">
        <f>SUM(I547:I570)</f>
        <v>270</v>
      </c>
    </row>
    <row r="572" spans="1:9" ht="12.75">
      <c r="A572" s="17"/>
      <c r="B572" s="17"/>
      <c r="C572" s="17"/>
      <c r="D572" s="17"/>
      <c r="E572" s="17"/>
      <c r="F572" s="134" t="s">
        <v>34</v>
      </c>
      <c r="G572" s="133"/>
      <c r="H572" s="18"/>
      <c r="I572" s="19"/>
    </row>
    <row r="574" spans="1:9">
      <c r="A574" s="1"/>
      <c r="B574" s="131" t="s">
        <v>84</v>
      </c>
      <c r="C574" s="132"/>
      <c r="D574" s="132"/>
      <c r="E574" s="132"/>
      <c r="F574" s="132"/>
      <c r="G574" s="132"/>
      <c r="H574" s="132"/>
      <c r="I574" s="133"/>
    </row>
    <row r="575" spans="1:9" ht="45">
      <c r="A575" s="2" t="s">
        <v>1</v>
      </c>
      <c r="B575" s="6" t="s">
        <v>2</v>
      </c>
      <c r="C575" s="4" t="s">
        <v>3</v>
      </c>
      <c r="D575" s="5" t="s">
        <v>4</v>
      </c>
      <c r="E575" s="2" t="s">
        <v>5</v>
      </c>
      <c r="F575" s="2" t="s">
        <v>6</v>
      </c>
      <c r="G575" s="2" t="s">
        <v>7</v>
      </c>
      <c r="H575" s="6" t="s">
        <v>8</v>
      </c>
      <c r="I575" s="7" t="s">
        <v>9</v>
      </c>
    </row>
    <row r="576" spans="1:9" ht="12.75">
      <c r="A576" s="8" t="s">
        <v>10</v>
      </c>
      <c r="B576" s="9">
        <f t="shared" ref="B576:B598" si="106">H548</f>
        <v>38</v>
      </c>
      <c r="C576" s="8"/>
      <c r="D576" s="8"/>
      <c r="E576" s="8">
        <v>6</v>
      </c>
      <c r="F576" s="8">
        <v>4</v>
      </c>
      <c r="G576" s="9">
        <f t="shared" ref="G576:G598" si="107">E576-F576</f>
        <v>2</v>
      </c>
      <c r="H576" s="9">
        <f t="shared" ref="H576:H598" si="108">B576-C576+D576-G576</f>
        <v>36</v>
      </c>
      <c r="I576" s="10">
        <f t="shared" ref="I576:I598" si="109">G576*6</f>
        <v>12</v>
      </c>
    </row>
    <row r="577" spans="1:9" ht="12.75">
      <c r="A577" s="8" t="s">
        <v>11</v>
      </c>
      <c r="B577" s="9">
        <f t="shared" si="106"/>
        <v>28</v>
      </c>
      <c r="C577" s="11"/>
      <c r="D577" s="8"/>
      <c r="E577" s="8">
        <v>4</v>
      </c>
      <c r="F577" s="8">
        <v>3</v>
      </c>
      <c r="G577" s="9">
        <f t="shared" si="107"/>
        <v>1</v>
      </c>
      <c r="H577" s="9">
        <f t="shared" si="108"/>
        <v>27</v>
      </c>
      <c r="I577" s="10">
        <f t="shared" si="109"/>
        <v>6</v>
      </c>
    </row>
    <row r="578" spans="1:9" ht="12.75">
      <c r="A578" s="8" t="s">
        <v>12</v>
      </c>
      <c r="B578" s="9">
        <f t="shared" si="106"/>
        <v>27</v>
      </c>
      <c r="C578" s="8"/>
      <c r="D578" s="8"/>
      <c r="E578" s="8">
        <v>5</v>
      </c>
      <c r="F578" s="8">
        <v>4</v>
      </c>
      <c r="G578" s="9">
        <f t="shared" si="107"/>
        <v>1</v>
      </c>
      <c r="H578" s="9">
        <f t="shared" si="108"/>
        <v>26</v>
      </c>
      <c r="I578" s="10">
        <f t="shared" si="109"/>
        <v>6</v>
      </c>
    </row>
    <row r="579" spans="1:9" ht="12.75">
      <c r="A579" s="8" t="s">
        <v>13</v>
      </c>
      <c r="B579" s="9">
        <f t="shared" si="106"/>
        <v>33</v>
      </c>
      <c r="C579" s="8"/>
      <c r="D579" s="8"/>
      <c r="E579" s="8">
        <v>6</v>
      </c>
      <c r="F579" s="8">
        <v>6</v>
      </c>
      <c r="G579" s="9">
        <f t="shared" si="107"/>
        <v>0</v>
      </c>
      <c r="H579" s="9">
        <f t="shared" si="108"/>
        <v>33</v>
      </c>
      <c r="I579" s="10">
        <f t="shared" si="109"/>
        <v>0</v>
      </c>
    </row>
    <row r="580" spans="1:9" ht="12.75">
      <c r="A580" s="8" t="s">
        <v>14</v>
      </c>
      <c r="B580" s="9">
        <f t="shared" si="106"/>
        <v>24</v>
      </c>
      <c r="C580" s="8"/>
      <c r="D580" s="8"/>
      <c r="E580" s="8">
        <v>4</v>
      </c>
      <c r="F580" s="8">
        <v>3</v>
      </c>
      <c r="G580" s="9">
        <f t="shared" si="107"/>
        <v>1</v>
      </c>
      <c r="H580" s="9">
        <f t="shared" si="108"/>
        <v>23</v>
      </c>
      <c r="I580" s="10">
        <f t="shared" si="109"/>
        <v>6</v>
      </c>
    </row>
    <row r="581" spans="1:9" ht="12.75">
      <c r="A581" s="8" t="s">
        <v>15</v>
      </c>
      <c r="B581" s="9">
        <f t="shared" si="106"/>
        <v>13</v>
      </c>
      <c r="C581" s="8"/>
      <c r="D581" s="8"/>
      <c r="E581" s="8">
        <v>5</v>
      </c>
      <c r="F581" s="8">
        <v>5</v>
      </c>
      <c r="G581" s="9">
        <f t="shared" si="107"/>
        <v>0</v>
      </c>
      <c r="H581" s="9">
        <f t="shared" si="108"/>
        <v>13</v>
      </c>
      <c r="I581" s="10">
        <f t="shared" si="109"/>
        <v>0</v>
      </c>
    </row>
    <row r="582" spans="1:9" ht="12.75">
      <c r="A582" s="8" t="s">
        <v>16</v>
      </c>
      <c r="B582" s="9">
        <f t="shared" si="106"/>
        <v>20</v>
      </c>
      <c r="C582" s="8"/>
      <c r="D582" s="8"/>
      <c r="E582" s="8">
        <v>3</v>
      </c>
      <c r="F582" s="8">
        <v>1</v>
      </c>
      <c r="G582" s="9">
        <f t="shared" si="107"/>
        <v>2</v>
      </c>
      <c r="H582" s="9">
        <f t="shared" si="108"/>
        <v>18</v>
      </c>
      <c r="I582" s="10">
        <f t="shared" si="109"/>
        <v>12</v>
      </c>
    </row>
    <row r="583" spans="1:9" ht="12.75">
      <c r="A583" s="8" t="s">
        <v>17</v>
      </c>
      <c r="B583" s="9">
        <f t="shared" si="106"/>
        <v>11</v>
      </c>
      <c r="C583" s="8"/>
      <c r="D583" s="8"/>
      <c r="E583" s="8">
        <v>3</v>
      </c>
      <c r="F583" s="8">
        <v>2</v>
      </c>
      <c r="G583" s="9">
        <f t="shared" si="107"/>
        <v>1</v>
      </c>
      <c r="H583" s="9">
        <f t="shared" si="108"/>
        <v>10</v>
      </c>
      <c r="I583" s="10">
        <f t="shared" si="109"/>
        <v>6</v>
      </c>
    </row>
    <row r="584" spans="1:9" ht="12.75">
      <c r="A584" s="8" t="s">
        <v>18</v>
      </c>
      <c r="B584" s="9">
        <f t="shared" si="106"/>
        <v>27</v>
      </c>
      <c r="C584" s="8"/>
      <c r="D584" s="8"/>
      <c r="E584" s="8">
        <v>4</v>
      </c>
      <c r="F584" s="8">
        <v>4</v>
      </c>
      <c r="G584" s="9">
        <f t="shared" si="107"/>
        <v>0</v>
      </c>
      <c r="H584" s="9">
        <f t="shared" si="108"/>
        <v>27</v>
      </c>
      <c r="I584" s="10">
        <f t="shared" si="109"/>
        <v>0</v>
      </c>
    </row>
    <row r="585" spans="1:9" ht="12.75">
      <c r="A585" s="8" t="s">
        <v>19</v>
      </c>
      <c r="B585" s="9">
        <f t="shared" si="106"/>
        <v>28</v>
      </c>
      <c r="C585" s="8"/>
      <c r="D585" s="8"/>
      <c r="E585" s="8">
        <v>5</v>
      </c>
      <c r="F585" s="8">
        <v>5</v>
      </c>
      <c r="G585" s="9">
        <f t="shared" si="107"/>
        <v>0</v>
      </c>
      <c r="H585" s="9">
        <f t="shared" si="108"/>
        <v>28</v>
      </c>
      <c r="I585" s="10">
        <f t="shared" si="109"/>
        <v>0</v>
      </c>
    </row>
    <row r="586" spans="1:9" ht="12.75">
      <c r="A586" s="8" t="s">
        <v>20</v>
      </c>
      <c r="B586" s="9">
        <f t="shared" si="106"/>
        <v>13</v>
      </c>
      <c r="C586" s="8"/>
      <c r="D586" s="8"/>
      <c r="E586" s="8">
        <v>5</v>
      </c>
      <c r="F586" s="8">
        <v>5</v>
      </c>
      <c r="G586" s="9">
        <f t="shared" si="107"/>
        <v>0</v>
      </c>
      <c r="H586" s="9">
        <f t="shared" si="108"/>
        <v>13</v>
      </c>
      <c r="I586" s="10">
        <f t="shared" si="109"/>
        <v>0</v>
      </c>
    </row>
    <row r="587" spans="1:9" ht="12.75">
      <c r="A587" s="8" t="s">
        <v>21</v>
      </c>
      <c r="B587" s="9">
        <f t="shared" si="106"/>
        <v>5</v>
      </c>
      <c r="C587" s="8"/>
      <c r="D587" s="8"/>
      <c r="E587" s="8">
        <v>2</v>
      </c>
      <c r="F587" s="8">
        <v>2</v>
      </c>
      <c r="G587" s="9">
        <f t="shared" si="107"/>
        <v>0</v>
      </c>
      <c r="H587" s="9">
        <f t="shared" si="108"/>
        <v>5</v>
      </c>
      <c r="I587" s="10">
        <f t="shared" si="109"/>
        <v>0</v>
      </c>
    </row>
    <row r="588" spans="1:9" ht="12.75">
      <c r="A588" s="8" t="s">
        <v>22</v>
      </c>
      <c r="B588" s="9">
        <f t="shared" si="106"/>
        <v>8</v>
      </c>
      <c r="C588" s="8"/>
      <c r="D588" s="8"/>
      <c r="E588" s="8">
        <v>3</v>
      </c>
      <c r="F588" s="8">
        <v>2</v>
      </c>
      <c r="G588" s="9">
        <f t="shared" si="107"/>
        <v>1</v>
      </c>
      <c r="H588" s="9">
        <f t="shared" si="108"/>
        <v>7</v>
      </c>
      <c r="I588" s="10">
        <f t="shared" si="109"/>
        <v>6</v>
      </c>
    </row>
    <row r="589" spans="1:9" ht="12.75">
      <c r="A589" s="8" t="s">
        <v>23</v>
      </c>
      <c r="B589" s="9">
        <f t="shared" si="106"/>
        <v>36</v>
      </c>
      <c r="C589" s="11"/>
      <c r="D589" s="8"/>
      <c r="E589" s="8">
        <v>6</v>
      </c>
      <c r="F589" s="8">
        <v>6</v>
      </c>
      <c r="G589" s="9">
        <f t="shared" si="107"/>
        <v>0</v>
      </c>
      <c r="H589" s="9">
        <f t="shared" si="108"/>
        <v>36</v>
      </c>
      <c r="I589" s="10">
        <f t="shared" si="109"/>
        <v>0</v>
      </c>
    </row>
    <row r="590" spans="1:9" ht="12.75">
      <c r="A590" s="8" t="s">
        <v>24</v>
      </c>
      <c r="B590" s="9">
        <f t="shared" si="106"/>
        <v>17</v>
      </c>
      <c r="C590" s="8"/>
      <c r="D590" s="8"/>
      <c r="E590" s="8">
        <v>2</v>
      </c>
      <c r="F590" s="8">
        <v>1</v>
      </c>
      <c r="G590" s="9">
        <f t="shared" si="107"/>
        <v>1</v>
      </c>
      <c r="H590" s="9">
        <f t="shared" si="108"/>
        <v>16</v>
      </c>
      <c r="I590" s="10">
        <f t="shared" si="109"/>
        <v>6</v>
      </c>
    </row>
    <row r="591" spans="1:9" ht="12.75">
      <c r="A591" s="8" t="s">
        <v>25</v>
      </c>
      <c r="B591" s="9">
        <f t="shared" si="106"/>
        <v>36</v>
      </c>
      <c r="C591" s="8"/>
      <c r="D591" s="8"/>
      <c r="E591" s="8">
        <v>8</v>
      </c>
      <c r="F591" s="8">
        <v>5</v>
      </c>
      <c r="G591" s="9">
        <f t="shared" si="107"/>
        <v>3</v>
      </c>
      <c r="H591" s="9">
        <f t="shared" si="108"/>
        <v>33</v>
      </c>
      <c r="I591" s="10">
        <f t="shared" si="109"/>
        <v>18</v>
      </c>
    </row>
    <row r="592" spans="1:9" ht="12.75">
      <c r="A592" s="8" t="s">
        <v>26</v>
      </c>
      <c r="B592" s="9">
        <f t="shared" si="106"/>
        <v>16</v>
      </c>
      <c r="C592" s="8"/>
      <c r="D592" s="8"/>
      <c r="E592" s="8">
        <v>5</v>
      </c>
      <c r="F592" s="8">
        <v>4</v>
      </c>
      <c r="G592" s="9">
        <f t="shared" si="107"/>
        <v>1</v>
      </c>
      <c r="H592" s="9">
        <f t="shared" si="108"/>
        <v>15</v>
      </c>
      <c r="I592" s="10">
        <f t="shared" si="109"/>
        <v>6</v>
      </c>
    </row>
    <row r="593" spans="1:11" ht="12.75">
      <c r="A593" s="8" t="s">
        <v>27</v>
      </c>
      <c r="B593" s="9">
        <f t="shared" si="106"/>
        <v>17</v>
      </c>
      <c r="C593" s="8"/>
      <c r="D593" s="8"/>
      <c r="E593" s="8">
        <v>3</v>
      </c>
      <c r="F593" s="8">
        <v>3</v>
      </c>
      <c r="G593" s="9">
        <f t="shared" si="107"/>
        <v>0</v>
      </c>
      <c r="H593" s="9">
        <f t="shared" si="108"/>
        <v>17</v>
      </c>
      <c r="I593" s="10">
        <f t="shared" si="109"/>
        <v>0</v>
      </c>
    </row>
    <row r="594" spans="1:11" ht="12.75">
      <c r="A594" s="8" t="s">
        <v>28</v>
      </c>
      <c r="B594" s="9">
        <f t="shared" si="106"/>
        <v>44</v>
      </c>
      <c r="C594" s="8"/>
      <c r="D594" s="8"/>
      <c r="E594" s="8">
        <v>8</v>
      </c>
      <c r="F594" s="8">
        <v>8</v>
      </c>
      <c r="G594" s="9">
        <f t="shared" si="107"/>
        <v>0</v>
      </c>
      <c r="H594" s="9">
        <f t="shared" si="108"/>
        <v>44</v>
      </c>
      <c r="I594" s="10">
        <f t="shared" si="109"/>
        <v>0</v>
      </c>
      <c r="K594" s="22"/>
    </row>
    <row r="595" spans="1:11" ht="12.75">
      <c r="A595" s="8" t="s">
        <v>29</v>
      </c>
      <c r="B595" s="9">
        <f t="shared" si="106"/>
        <v>31</v>
      </c>
      <c r="C595" s="8"/>
      <c r="D595" s="8">
        <v>31</v>
      </c>
      <c r="E595" s="8">
        <v>31</v>
      </c>
      <c r="F595" s="8">
        <v>17</v>
      </c>
      <c r="G595" s="9">
        <f t="shared" si="107"/>
        <v>14</v>
      </c>
      <c r="H595" s="9">
        <f t="shared" si="108"/>
        <v>48</v>
      </c>
      <c r="I595" s="10">
        <f t="shared" si="109"/>
        <v>84</v>
      </c>
    </row>
    <row r="596" spans="1:11" ht="12.75">
      <c r="A596" s="8" t="s">
        <v>30</v>
      </c>
      <c r="B596" s="9">
        <f t="shared" si="106"/>
        <v>14</v>
      </c>
      <c r="C596" s="8"/>
      <c r="D596" s="8"/>
      <c r="E596" s="8">
        <v>2</v>
      </c>
      <c r="F596" s="8">
        <v>2</v>
      </c>
      <c r="G596" s="9">
        <f t="shared" si="107"/>
        <v>0</v>
      </c>
      <c r="H596" s="9">
        <f t="shared" si="108"/>
        <v>14</v>
      </c>
      <c r="I596" s="10">
        <f t="shared" si="109"/>
        <v>0</v>
      </c>
    </row>
    <row r="597" spans="1:11" ht="12.75">
      <c r="A597" s="13" t="s">
        <v>31</v>
      </c>
      <c r="B597" s="9">
        <f t="shared" si="106"/>
        <v>20</v>
      </c>
      <c r="C597" s="8"/>
      <c r="D597" s="8"/>
      <c r="E597" s="8">
        <v>2</v>
      </c>
      <c r="F597" s="8">
        <v>2</v>
      </c>
      <c r="G597" s="9">
        <f t="shared" si="107"/>
        <v>0</v>
      </c>
      <c r="H597" s="9">
        <f t="shared" si="108"/>
        <v>20</v>
      </c>
      <c r="I597" s="10">
        <f t="shared" si="109"/>
        <v>0</v>
      </c>
    </row>
    <row r="598" spans="1:11" ht="12.75">
      <c r="A598" s="13" t="s">
        <v>32</v>
      </c>
      <c r="B598" s="9">
        <f t="shared" si="106"/>
        <v>19</v>
      </c>
      <c r="C598" s="8"/>
      <c r="D598" s="8"/>
      <c r="E598" s="8">
        <v>2</v>
      </c>
      <c r="F598" s="8">
        <v>2</v>
      </c>
      <c r="G598" s="9">
        <f t="shared" si="107"/>
        <v>0</v>
      </c>
      <c r="H598" s="9">
        <f t="shared" si="108"/>
        <v>19</v>
      </c>
      <c r="I598" s="10">
        <f t="shared" si="109"/>
        <v>0</v>
      </c>
    </row>
    <row r="599" spans="1:11" ht="12.75">
      <c r="A599" s="14" t="s">
        <v>33</v>
      </c>
      <c r="B599" s="15">
        <f>SUM(B576:B598)</f>
        <v>525</v>
      </c>
      <c r="C599" s="14"/>
      <c r="D599" s="14"/>
      <c r="E599" s="15">
        <f t="shared" ref="E599:G599" si="110">SUM(E575:E598)</f>
        <v>124</v>
      </c>
      <c r="F599" s="15">
        <f t="shared" si="110"/>
        <v>96</v>
      </c>
      <c r="G599" s="15">
        <f t="shared" si="110"/>
        <v>28</v>
      </c>
      <c r="H599" s="15">
        <f>SUM(H576:H598)</f>
        <v>528</v>
      </c>
      <c r="I599" s="16">
        <f>SUM(I575:I598)</f>
        <v>168</v>
      </c>
    </row>
    <row r="600" spans="1:11" ht="12.75">
      <c r="A600" s="17"/>
      <c r="B600" s="17"/>
      <c r="C600" s="17"/>
      <c r="D600" s="17"/>
      <c r="E600" s="17"/>
      <c r="F600" s="134" t="s">
        <v>34</v>
      </c>
      <c r="G600" s="133"/>
      <c r="H600" s="18"/>
      <c r="I600" s="19"/>
    </row>
  </sheetData>
  <mergeCells count="44">
    <mergeCell ref="F572:G572"/>
    <mergeCell ref="F600:G600"/>
    <mergeCell ref="F488:G488"/>
    <mergeCell ref="B490:I490"/>
    <mergeCell ref="F516:G516"/>
    <mergeCell ref="B518:I518"/>
    <mergeCell ref="F544:G544"/>
    <mergeCell ref="B546:I546"/>
    <mergeCell ref="B574:I574"/>
    <mergeCell ref="B406:I406"/>
    <mergeCell ref="F432:G432"/>
    <mergeCell ref="B434:I434"/>
    <mergeCell ref="F460:G460"/>
    <mergeCell ref="B462:I462"/>
    <mergeCell ref="F350:G350"/>
    <mergeCell ref="B352:I352"/>
    <mergeCell ref="B379:I379"/>
    <mergeCell ref="F377:G377"/>
    <mergeCell ref="F404:G404"/>
    <mergeCell ref="B271:I271"/>
    <mergeCell ref="F296:G296"/>
    <mergeCell ref="B298:I298"/>
    <mergeCell ref="F323:G323"/>
    <mergeCell ref="B325:I325"/>
    <mergeCell ref="F215:G215"/>
    <mergeCell ref="B217:I217"/>
    <mergeCell ref="F242:G242"/>
    <mergeCell ref="B244:I244"/>
    <mergeCell ref="F269:G269"/>
    <mergeCell ref="B136:I136"/>
    <mergeCell ref="F161:G161"/>
    <mergeCell ref="B163:I163"/>
    <mergeCell ref="B190:I190"/>
    <mergeCell ref="F188:G188"/>
    <mergeCell ref="F80:G80"/>
    <mergeCell ref="B82:I82"/>
    <mergeCell ref="F107:G107"/>
    <mergeCell ref="B109:I109"/>
    <mergeCell ref="F134:G134"/>
    <mergeCell ref="B1:I1"/>
    <mergeCell ref="F26:G26"/>
    <mergeCell ref="B28:I28"/>
    <mergeCell ref="F53:G53"/>
    <mergeCell ref="B55:I5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527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16.85546875" customWidth="1"/>
  </cols>
  <sheetData>
    <row r="1" spans="1:12" ht="15.75" customHeight="1">
      <c r="A1" s="1"/>
      <c r="B1" s="131" t="s">
        <v>85</v>
      </c>
      <c r="C1" s="132"/>
      <c r="D1" s="132"/>
      <c r="E1" s="132"/>
      <c r="F1" s="132"/>
      <c r="G1" s="132"/>
      <c r="H1" s="132"/>
      <c r="I1" s="133"/>
    </row>
    <row r="2" spans="1:12" ht="15.75" customHeight="1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6" t="s">
        <v>8</v>
      </c>
      <c r="I2" s="7" t="s">
        <v>9</v>
      </c>
    </row>
    <row r="3" spans="1:12">
      <c r="A3" s="8" t="s">
        <v>10</v>
      </c>
      <c r="B3" s="9">
        <v>35</v>
      </c>
      <c r="C3" s="8"/>
      <c r="D3" s="8"/>
      <c r="E3" s="8">
        <v>6</v>
      </c>
      <c r="F3" s="8">
        <v>5</v>
      </c>
      <c r="G3" s="9">
        <f t="shared" ref="G3:G23" si="0">E3-F3</f>
        <v>1</v>
      </c>
      <c r="H3" s="9">
        <f t="shared" ref="H3:H23" si="1">B3-C3+D3-G3</f>
        <v>34</v>
      </c>
      <c r="I3" s="10">
        <f t="shared" ref="I3:I23" si="2">G3*6</f>
        <v>6</v>
      </c>
    </row>
    <row r="4" spans="1:12">
      <c r="A4" s="8" t="s">
        <v>11</v>
      </c>
      <c r="B4" s="9">
        <v>12</v>
      </c>
      <c r="C4" s="8"/>
      <c r="D4" s="8"/>
      <c r="E4" s="8">
        <v>6</v>
      </c>
      <c r="F4" s="8">
        <v>4</v>
      </c>
      <c r="G4" s="9">
        <f t="shared" si="0"/>
        <v>2</v>
      </c>
      <c r="H4" s="9">
        <f t="shared" si="1"/>
        <v>10</v>
      </c>
      <c r="I4" s="10">
        <f t="shared" si="2"/>
        <v>12</v>
      </c>
    </row>
    <row r="5" spans="1:12">
      <c r="A5" s="8" t="s">
        <v>12</v>
      </c>
      <c r="B5" s="9">
        <v>37</v>
      </c>
      <c r="C5" s="8"/>
      <c r="D5" s="8"/>
      <c r="E5" s="8">
        <v>6</v>
      </c>
      <c r="F5" s="8">
        <v>6</v>
      </c>
      <c r="G5" s="9">
        <f t="shared" si="0"/>
        <v>0</v>
      </c>
      <c r="H5" s="9">
        <f t="shared" si="1"/>
        <v>37</v>
      </c>
      <c r="I5" s="10">
        <f t="shared" si="2"/>
        <v>0</v>
      </c>
    </row>
    <row r="6" spans="1:12">
      <c r="A6" s="8" t="s">
        <v>13</v>
      </c>
      <c r="B6" s="9">
        <v>23</v>
      </c>
      <c r="C6" s="8">
        <v>6</v>
      </c>
      <c r="D6" s="8"/>
      <c r="E6" s="8">
        <v>7</v>
      </c>
      <c r="F6" s="8">
        <v>5</v>
      </c>
      <c r="G6" s="9">
        <f t="shared" si="0"/>
        <v>2</v>
      </c>
      <c r="H6" s="9">
        <f t="shared" si="1"/>
        <v>15</v>
      </c>
      <c r="I6" s="10">
        <f t="shared" si="2"/>
        <v>12</v>
      </c>
    </row>
    <row r="7" spans="1:12">
      <c r="A7" s="8" t="s">
        <v>14</v>
      </c>
      <c r="B7" s="9">
        <v>25</v>
      </c>
      <c r="C7" s="8"/>
      <c r="D7" s="8"/>
      <c r="E7" s="8">
        <v>4</v>
      </c>
      <c r="F7" s="8">
        <v>3</v>
      </c>
      <c r="G7" s="9">
        <f t="shared" si="0"/>
        <v>1</v>
      </c>
      <c r="H7" s="9">
        <f t="shared" si="1"/>
        <v>24</v>
      </c>
      <c r="I7" s="10">
        <f t="shared" si="2"/>
        <v>6</v>
      </c>
    </row>
    <row r="8" spans="1:12">
      <c r="A8" s="8" t="s">
        <v>15</v>
      </c>
      <c r="B8" s="9">
        <v>40</v>
      </c>
      <c r="C8" s="8"/>
      <c r="D8" s="8"/>
      <c r="E8" s="8">
        <v>8</v>
      </c>
      <c r="F8" s="8">
        <v>5</v>
      </c>
      <c r="G8" s="9">
        <f t="shared" si="0"/>
        <v>3</v>
      </c>
      <c r="H8" s="9">
        <f t="shared" si="1"/>
        <v>37</v>
      </c>
      <c r="I8" s="10">
        <f t="shared" si="2"/>
        <v>18</v>
      </c>
      <c r="L8" s="23">
        <f>SUM(I24+I51+I78+I106+I134+I162+I190+I218+I246+I274+I302+I330+I358+I386+I414+I442+I470)</f>
        <v>3774</v>
      </c>
    </row>
    <row r="9" spans="1:12">
      <c r="A9" s="8" t="s">
        <v>16</v>
      </c>
      <c r="B9" s="9">
        <v>33</v>
      </c>
      <c r="C9" s="8"/>
      <c r="D9" s="8"/>
      <c r="E9" s="8">
        <v>5</v>
      </c>
      <c r="F9" s="8">
        <v>4</v>
      </c>
      <c r="G9" s="9">
        <f t="shared" si="0"/>
        <v>1</v>
      </c>
      <c r="H9" s="9">
        <f t="shared" si="1"/>
        <v>32</v>
      </c>
      <c r="I9" s="10">
        <f t="shared" si="2"/>
        <v>6</v>
      </c>
    </row>
    <row r="10" spans="1:12">
      <c r="A10" s="8" t="s">
        <v>17</v>
      </c>
      <c r="B10" s="9">
        <v>22</v>
      </c>
      <c r="C10" s="8"/>
      <c r="D10" s="8"/>
      <c r="E10" s="8">
        <v>4</v>
      </c>
      <c r="F10" s="8">
        <v>2</v>
      </c>
      <c r="G10" s="9">
        <f t="shared" si="0"/>
        <v>2</v>
      </c>
      <c r="H10" s="9">
        <f t="shared" si="1"/>
        <v>20</v>
      </c>
      <c r="I10" s="10">
        <f t="shared" si="2"/>
        <v>12</v>
      </c>
    </row>
    <row r="11" spans="1:12">
      <c r="A11" s="8" t="s">
        <v>18</v>
      </c>
      <c r="B11" s="9">
        <v>13</v>
      </c>
      <c r="C11" s="8"/>
      <c r="D11" s="8"/>
      <c r="E11" s="8">
        <v>6</v>
      </c>
      <c r="F11" s="8">
        <v>6</v>
      </c>
      <c r="G11" s="9">
        <f t="shared" si="0"/>
        <v>0</v>
      </c>
      <c r="H11" s="9">
        <f t="shared" si="1"/>
        <v>13</v>
      </c>
      <c r="I11" s="10">
        <f t="shared" si="2"/>
        <v>0</v>
      </c>
    </row>
    <row r="12" spans="1:12">
      <c r="A12" s="8" t="s">
        <v>19</v>
      </c>
      <c r="B12" s="9">
        <v>32</v>
      </c>
      <c r="C12" s="8"/>
      <c r="D12" s="8"/>
      <c r="E12" s="8">
        <v>6</v>
      </c>
      <c r="F12" s="8">
        <v>6</v>
      </c>
      <c r="G12" s="9">
        <f t="shared" si="0"/>
        <v>0</v>
      </c>
      <c r="H12" s="9">
        <f t="shared" si="1"/>
        <v>32</v>
      </c>
      <c r="I12" s="10">
        <f t="shared" si="2"/>
        <v>0</v>
      </c>
    </row>
    <row r="13" spans="1:12">
      <c r="A13" s="8" t="s">
        <v>20</v>
      </c>
      <c r="B13" s="9">
        <v>20</v>
      </c>
      <c r="C13" s="8"/>
      <c r="D13" s="8"/>
      <c r="E13" s="8">
        <v>6</v>
      </c>
      <c r="F13" s="8">
        <v>6</v>
      </c>
      <c r="G13" s="9">
        <f t="shared" si="0"/>
        <v>0</v>
      </c>
      <c r="H13" s="9">
        <f t="shared" si="1"/>
        <v>20</v>
      </c>
      <c r="I13" s="10">
        <f t="shared" si="2"/>
        <v>0</v>
      </c>
    </row>
    <row r="14" spans="1:12">
      <c r="A14" s="8" t="s">
        <v>21</v>
      </c>
      <c r="B14" s="9">
        <v>14</v>
      </c>
      <c r="C14" s="8"/>
      <c r="D14" s="8"/>
      <c r="E14" s="8">
        <v>2</v>
      </c>
      <c r="F14" s="8">
        <v>2</v>
      </c>
      <c r="G14" s="9">
        <f t="shared" si="0"/>
        <v>0</v>
      </c>
      <c r="H14" s="9">
        <f t="shared" si="1"/>
        <v>14</v>
      </c>
      <c r="I14" s="10">
        <f t="shared" si="2"/>
        <v>0</v>
      </c>
    </row>
    <row r="15" spans="1:12">
      <c r="A15" s="8" t="s">
        <v>22</v>
      </c>
      <c r="B15" s="9">
        <v>29</v>
      </c>
      <c r="C15" s="8"/>
      <c r="D15" s="8"/>
      <c r="E15" s="8">
        <v>5</v>
      </c>
      <c r="F15" s="8">
        <v>4</v>
      </c>
      <c r="G15" s="9">
        <f t="shared" si="0"/>
        <v>1</v>
      </c>
      <c r="H15" s="9">
        <f t="shared" si="1"/>
        <v>28</v>
      </c>
      <c r="I15" s="10">
        <f t="shared" si="2"/>
        <v>6</v>
      </c>
    </row>
    <row r="16" spans="1:12">
      <c r="A16" s="8" t="s">
        <v>23</v>
      </c>
      <c r="B16" s="9">
        <v>17</v>
      </c>
      <c r="C16" s="8"/>
      <c r="D16" s="8"/>
      <c r="E16" s="8">
        <v>6</v>
      </c>
      <c r="F16" s="8">
        <v>5</v>
      </c>
      <c r="G16" s="9">
        <f t="shared" si="0"/>
        <v>1</v>
      </c>
      <c r="H16" s="9">
        <f t="shared" si="1"/>
        <v>16</v>
      </c>
      <c r="I16" s="10">
        <f t="shared" si="2"/>
        <v>6</v>
      </c>
      <c r="K16" s="22"/>
    </row>
    <row r="17" spans="1:9">
      <c r="A17" s="8" t="s">
        <v>24</v>
      </c>
      <c r="B17" s="9">
        <v>10</v>
      </c>
      <c r="C17" s="8"/>
      <c r="D17" s="8"/>
      <c r="E17" s="8">
        <v>4</v>
      </c>
      <c r="F17" s="8">
        <v>3</v>
      </c>
      <c r="G17" s="9">
        <f t="shared" si="0"/>
        <v>1</v>
      </c>
      <c r="H17" s="9">
        <f t="shared" si="1"/>
        <v>9</v>
      </c>
      <c r="I17" s="10">
        <f t="shared" si="2"/>
        <v>6</v>
      </c>
    </row>
    <row r="18" spans="1:9">
      <c r="A18" s="8" t="s">
        <v>25</v>
      </c>
      <c r="B18" s="9">
        <v>35</v>
      </c>
      <c r="C18" s="8"/>
      <c r="D18" s="8"/>
      <c r="E18" s="8">
        <v>10</v>
      </c>
      <c r="F18" s="8">
        <v>3</v>
      </c>
      <c r="G18" s="9">
        <f t="shared" si="0"/>
        <v>7</v>
      </c>
      <c r="H18" s="9">
        <f t="shared" si="1"/>
        <v>28</v>
      </c>
      <c r="I18" s="10">
        <f t="shared" si="2"/>
        <v>42</v>
      </c>
    </row>
    <row r="19" spans="1:9">
      <c r="A19" s="8" t="s">
        <v>26</v>
      </c>
      <c r="B19" s="9">
        <v>19</v>
      </c>
      <c r="C19" s="8"/>
      <c r="D19" s="8"/>
      <c r="E19" s="8">
        <v>6</v>
      </c>
      <c r="F19" s="8">
        <v>3</v>
      </c>
      <c r="G19" s="9">
        <f t="shared" si="0"/>
        <v>3</v>
      </c>
      <c r="H19" s="9">
        <f t="shared" si="1"/>
        <v>16</v>
      </c>
      <c r="I19" s="10">
        <f t="shared" si="2"/>
        <v>18</v>
      </c>
    </row>
    <row r="20" spans="1:9">
      <c r="A20" s="8" t="s">
        <v>27</v>
      </c>
      <c r="B20" s="9">
        <v>17</v>
      </c>
      <c r="C20" s="8"/>
      <c r="D20" s="8"/>
      <c r="E20" s="8">
        <v>4</v>
      </c>
      <c r="F20" s="8">
        <v>3</v>
      </c>
      <c r="G20" s="9">
        <f t="shared" si="0"/>
        <v>1</v>
      </c>
      <c r="H20" s="9">
        <f t="shared" si="1"/>
        <v>16</v>
      </c>
      <c r="I20" s="10">
        <f t="shared" si="2"/>
        <v>6</v>
      </c>
    </row>
    <row r="21" spans="1:9">
      <c r="A21" s="8" t="s">
        <v>28</v>
      </c>
      <c r="B21" s="9">
        <v>39</v>
      </c>
      <c r="C21" s="8"/>
      <c r="D21" s="8"/>
      <c r="E21" s="8">
        <v>8</v>
      </c>
      <c r="F21" s="8">
        <v>7</v>
      </c>
      <c r="G21" s="9">
        <f t="shared" si="0"/>
        <v>1</v>
      </c>
      <c r="H21" s="9">
        <f t="shared" si="1"/>
        <v>38</v>
      </c>
      <c r="I21" s="10">
        <f t="shared" si="2"/>
        <v>6</v>
      </c>
    </row>
    <row r="22" spans="1:9">
      <c r="A22" s="8" t="s">
        <v>30</v>
      </c>
      <c r="B22" s="9">
        <v>16</v>
      </c>
      <c r="C22" s="8"/>
      <c r="D22" s="8"/>
      <c r="E22" s="8">
        <v>2</v>
      </c>
      <c r="F22" s="8">
        <v>2</v>
      </c>
      <c r="G22" s="9">
        <f t="shared" si="0"/>
        <v>0</v>
      </c>
      <c r="H22" s="9">
        <f t="shared" si="1"/>
        <v>16</v>
      </c>
      <c r="I22" s="10">
        <f t="shared" si="2"/>
        <v>0</v>
      </c>
    </row>
    <row r="23" spans="1:9" ht="12.75">
      <c r="A23" s="13" t="s">
        <v>86</v>
      </c>
      <c r="B23" s="9">
        <v>24</v>
      </c>
      <c r="C23" s="8"/>
      <c r="D23" s="8"/>
      <c r="E23" s="8">
        <v>4</v>
      </c>
      <c r="F23" s="8">
        <v>3</v>
      </c>
      <c r="G23" s="9">
        <f t="shared" si="0"/>
        <v>1</v>
      </c>
      <c r="H23" s="9">
        <f t="shared" si="1"/>
        <v>23</v>
      </c>
      <c r="I23" s="10">
        <f t="shared" si="2"/>
        <v>6</v>
      </c>
    </row>
    <row r="24" spans="1:9" ht="12.75">
      <c r="A24" s="14" t="s">
        <v>33</v>
      </c>
      <c r="B24" s="15">
        <f>SUM(B3:B23)</f>
        <v>512</v>
      </c>
      <c r="C24" s="14"/>
      <c r="D24" s="14"/>
      <c r="E24" s="15">
        <f t="shared" ref="E24:G24" si="3">SUM(E2:E23)</f>
        <v>115</v>
      </c>
      <c r="F24" s="15">
        <f t="shared" si="3"/>
        <v>87</v>
      </c>
      <c r="G24" s="15">
        <f t="shared" si="3"/>
        <v>28</v>
      </c>
      <c r="H24" s="15">
        <f>SUM(H3:H23)</f>
        <v>478</v>
      </c>
      <c r="I24" s="16">
        <f>SUM(I2:I23)</f>
        <v>168</v>
      </c>
    </row>
    <row r="25" spans="1:9" ht="12.75">
      <c r="A25" s="17"/>
      <c r="B25" s="17"/>
      <c r="C25" s="17"/>
      <c r="D25" s="17"/>
      <c r="E25" s="17"/>
      <c r="F25" s="134" t="s">
        <v>34</v>
      </c>
      <c r="G25" s="133"/>
      <c r="H25" s="18"/>
      <c r="I25" s="19"/>
    </row>
    <row r="26" spans="1:9" ht="12.75">
      <c r="A26" s="17"/>
      <c r="B26" s="24"/>
      <c r="C26" s="24"/>
      <c r="D26" s="24"/>
      <c r="E26" s="135" t="s">
        <v>87</v>
      </c>
      <c r="F26" s="132"/>
      <c r="G26" s="133"/>
      <c r="H26" s="25"/>
      <c r="I26" s="26">
        <f>SUM(I3:I23)</f>
        <v>168</v>
      </c>
    </row>
    <row r="28" spans="1:9">
      <c r="A28" s="1"/>
      <c r="B28" s="131" t="s">
        <v>88</v>
      </c>
      <c r="C28" s="132"/>
      <c r="D28" s="132"/>
      <c r="E28" s="132"/>
      <c r="F28" s="132"/>
      <c r="G28" s="132"/>
      <c r="H28" s="132"/>
      <c r="I28" s="133"/>
    </row>
    <row r="29" spans="1:9" ht="45">
      <c r="A29" s="2" t="s">
        <v>1</v>
      </c>
      <c r="B29" s="3" t="s">
        <v>2</v>
      </c>
      <c r="C29" s="4" t="s">
        <v>3</v>
      </c>
      <c r="D29" s="5" t="s">
        <v>4</v>
      </c>
      <c r="E29" s="2" t="s">
        <v>5</v>
      </c>
      <c r="F29" s="2" t="s">
        <v>6</v>
      </c>
      <c r="G29" s="2" t="s">
        <v>7</v>
      </c>
      <c r="H29" s="6" t="s">
        <v>8</v>
      </c>
      <c r="I29" s="7" t="s">
        <v>9</v>
      </c>
    </row>
    <row r="30" spans="1:9" ht="12.75">
      <c r="A30" s="8" t="s">
        <v>10</v>
      </c>
      <c r="B30" s="9">
        <f t="shared" ref="B30:B50" si="4">H3</f>
        <v>34</v>
      </c>
      <c r="C30" s="8"/>
      <c r="D30" s="8"/>
      <c r="E30" s="8">
        <v>6</v>
      </c>
      <c r="F30" s="8">
        <v>0</v>
      </c>
      <c r="G30" s="9">
        <f t="shared" ref="G30:G50" si="5">E30-F30</f>
        <v>6</v>
      </c>
      <c r="H30" s="9">
        <f t="shared" ref="H30:H50" si="6">B30-C30+D30-G30</f>
        <v>28</v>
      </c>
      <c r="I30" s="10">
        <f t="shared" ref="I30:I50" si="7">G30*6</f>
        <v>36</v>
      </c>
    </row>
    <row r="31" spans="1:9" ht="12.75">
      <c r="A31" s="8" t="s">
        <v>11</v>
      </c>
      <c r="B31" s="9">
        <f t="shared" si="4"/>
        <v>10</v>
      </c>
      <c r="C31" s="8"/>
      <c r="D31" s="8"/>
      <c r="E31" s="8">
        <v>6</v>
      </c>
      <c r="F31" s="8">
        <v>5</v>
      </c>
      <c r="G31" s="9">
        <f t="shared" si="5"/>
        <v>1</v>
      </c>
      <c r="H31" s="9">
        <f t="shared" si="6"/>
        <v>9</v>
      </c>
      <c r="I31" s="10">
        <f t="shared" si="7"/>
        <v>6</v>
      </c>
    </row>
    <row r="32" spans="1:9" ht="12.75">
      <c r="A32" s="8" t="s">
        <v>12</v>
      </c>
      <c r="B32" s="9">
        <f t="shared" si="4"/>
        <v>37</v>
      </c>
      <c r="C32" s="8"/>
      <c r="D32" s="8"/>
      <c r="E32" s="8">
        <v>6</v>
      </c>
      <c r="F32" s="8">
        <v>6</v>
      </c>
      <c r="G32" s="9">
        <f t="shared" si="5"/>
        <v>0</v>
      </c>
      <c r="H32" s="9">
        <f t="shared" si="6"/>
        <v>37</v>
      </c>
      <c r="I32" s="10">
        <f t="shared" si="7"/>
        <v>0</v>
      </c>
    </row>
    <row r="33" spans="1:12" ht="12.75">
      <c r="A33" s="8" t="s">
        <v>13</v>
      </c>
      <c r="B33" s="9">
        <f t="shared" si="4"/>
        <v>15</v>
      </c>
      <c r="C33" s="8"/>
      <c r="D33" s="8"/>
      <c r="E33" s="8">
        <v>6</v>
      </c>
      <c r="F33" s="8">
        <v>3</v>
      </c>
      <c r="G33" s="9">
        <f t="shared" si="5"/>
        <v>3</v>
      </c>
      <c r="H33" s="9">
        <f t="shared" si="6"/>
        <v>12</v>
      </c>
      <c r="I33" s="10">
        <f t="shared" si="7"/>
        <v>18</v>
      </c>
    </row>
    <row r="34" spans="1:12" ht="12.75">
      <c r="A34" s="8" t="s">
        <v>14</v>
      </c>
      <c r="B34" s="9">
        <f t="shared" si="4"/>
        <v>24</v>
      </c>
      <c r="C34" s="8"/>
      <c r="D34" s="8"/>
      <c r="E34" s="8">
        <v>4</v>
      </c>
      <c r="F34" s="8">
        <v>3</v>
      </c>
      <c r="G34" s="9">
        <f t="shared" si="5"/>
        <v>1</v>
      </c>
      <c r="H34" s="9">
        <f t="shared" si="6"/>
        <v>23</v>
      </c>
      <c r="I34" s="10">
        <f t="shared" si="7"/>
        <v>6</v>
      </c>
    </row>
    <row r="35" spans="1:12" ht="12.75">
      <c r="A35" s="8" t="s">
        <v>15</v>
      </c>
      <c r="B35" s="9">
        <f t="shared" si="4"/>
        <v>37</v>
      </c>
      <c r="C35" s="8"/>
      <c r="D35" s="8"/>
      <c r="E35" s="8">
        <v>6</v>
      </c>
      <c r="F35" s="8">
        <v>4</v>
      </c>
      <c r="G35" s="9">
        <f t="shared" si="5"/>
        <v>2</v>
      </c>
      <c r="H35" s="9">
        <f t="shared" si="6"/>
        <v>35</v>
      </c>
      <c r="I35" s="10">
        <f t="shared" si="7"/>
        <v>12</v>
      </c>
    </row>
    <row r="36" spans="1:12" ht="12.75">
      <c r="A36" s="8" t="s">
        <v>16</v>
      </c>
      <c r="B36" s="9">
        <f t="shared" si="4"/>
        <v>32</v>
      </c>
      <c r="C36" s="8"/>
      <c r="D36" s="8"/>
      <c r="E36" s="8">
        <v>5</v>
      </c>
      <c r="F36" s="8">
        <v>3</v>
      </c>
      <c r="G36" s="9">
        <f t="shared" si="5"/>
        <v>2</v>
      </c>
      <c r="H36" s="9">
        <f t="shared" si="6"/>
        <v>30</v>
      </c>
      <c r="I36" s="10">
        <f t="shared" si="7"/>
        <v>12</v>
      </c>
    </row>
    <row r="37" spans="1:12" ht="12.75">
      <c r="A37" s="8" t="s">
        <v>17</v>
      </c>
      <c r="B37" s="9">
        <f t="shared" si="4"/>
        <v>20</v>
      </c>
      <c r="C37" s="8"/>
      <c r="D37" s="8"/>
      <c r="E37" s="8">
        <v>4</v>
      </c>
      <c r="F37" s="8">
        <v>1</v>
      </c>
      <c r="G37" s="9">
        <f t="shared" si="5"/>
        <v>3</v>
      </c>
      <c r="H37" s="9">
        <f t="shared" si="6"/>
        <v>17</v>
      </c>
      <c r="I37" s="10">
        <f t="shared" si="7"/>
        <v>18</v>
      </c>
    </row>
    <row r="38" spans="1:12" ht="12.75">
      <c r="A38" s="8" t="s">
        <v>18</v>
      </c>
      <c r="B38" s="9">
        <f t="shared" si="4"/>
        <v>13</v>
      </c>
      <c r="C38" s="8"/>
      <c r="D38" s="8"/>
      <c r="E38" s="8">
        <v>6</v>
      </c>
      <c r="F38" s="8">
        <v>4</v>
      </c>
      <c r="G38" s="9">
        <f t="shared" si="5"/>
        <v>2</v>
      </c>
      <c r="H38" s="9">
        <f t="shared" si="6"/>
        <v>11</v>
      </c>
      <c r="I38" s="10">
        <f t="shared" si="7"/>
        <v>12</v>
      </c>
      <c r="L38" s="27">
        <v>31</v>
      </c>
    </row>
    <row r="39" spans="1:12" ht="12.75">
      <c r="A39" s="8" t="s">
        <v>19</v>
      </c>
      <c r="B39" s="9">
        <f t="shared" si="4"/>
        <v>32</v>
      </c>
      <c r="C39" s="8"/>
      <c r="D39" s="8"/>
      <c r="E39" s="8">
        <v>6</v>
      </c>
      <c r="F39" s="8">
        <v>4</v>
      </c>
      <c r="G39" s="9">
        <f t="shared" si="5"/>
        <v>2</v>
      </c>
      <c r="H39" s="9">
        <f t="shared" si="6"/>
        <v>30</v>
      </c>
      <c r="I39" s="10">
        <f t="shared" si="7"/>
        <v>12</v>
      </c>
      <c r="L39" s="27">
        <v>3131</v>
      </c>
    </row>
    <row r="40" spans="1:12" ht="12.75">
      <c r="A40" s="8" t="s">
        <v>20</v>
      </c>
      <c r="B40" s="9">
        <f t="shared" si="4"/>
        <v>20</v>
      </c>
      <c r="C40" s="8"/>
      <c r="D40" s="8"/>
      <c r="E40" s="8">
        <v>6</v>
      </c>
      <c r="F40" s="8">
        <v>6</v>
      </c>
      <c r="G40" s="9">
        <f t="shared" si="5"/>
        <v>0</v>
      </c>
      <c r="H40" s="9">
        <f t="shared" si="6"/>
        <v>20</v>
      </c>
      <c r="I40" s="10">
        <f t="shared" si="7"/>
        <v>0</v>
      </c>
    </row>
    <row r="41" spans="1:12" ht="12.75">
      <c r="A41" s="8" t="s">
        <v>21</v>
      </c>
      <c r="B41" s="9">
        <f t="shared" si="4"/>
        <v>14</v>
      </c>
      <c r="C41" s="8"/>
      <c r="D41" s="8"/>
      <c r="E41" s="8">
        <v>2</v>
      </c>
      <c r="F41" s="8">
        <v>2</v>
      </c>
      <c r="G41" s="9">
        <f t="shared" si="5"/>
        <v>0</v>
      </c>
      <c r="H41" s="9">
        <f t="shared" si="6"/>
        <v>14</v>
      </c>
      <c r="I41" s="10">
        <f t="shared" si="7"/>
        <v>0</v>
      </c>
    </row>
    <row r="42" spans="1:12" ht="12.75">
      <c r="A42" s="8" t="s">
        <v>22</v>
      </c>
      <c r="B42" s="9">
        <f t="shared" si="4"/>
        <v>28</v>
      </c>
      <c r="C42" s="8"/>
      <c r="D42" s="8"/>
      <c r="E42" s="8">
        <v>5</v>
      </c>
      <c r="F42" s="8">
        <v>5</v>
      </c>
      <c r="G42" s="9">
        <f t="shared" si="5"/>
        <v>0</v>
      </c>
      <c r="H42" s="9">
        <f t="shared" si="6"/>
        <v>28</v>
      </c>
      <c r="I42" s="10">
        <f t="shared" si="7"/>
        <v>0</v>
      </c>
    </row>
    <row r="43" spans="1:12" ht="12.75">
      <c r="A43" s="8" t="s">
        <v>23</v>
      </c>
      <c r="B43" s="9">
        <f t="shared" si="4"/>
        <v>16</v>
      </c>
      <c r="C43" s="8"/>
      <c r="D43" s="8"/>
      <c r="E43" s="8">
        <v>6</v>
      </c>
      <c r="F43" s="8">
        <v>2</v>
      </c>
      <c r="G43" s="9">
        <f t="shared" si="5"/>
        <v>4</v>
      </c>
      <c r="H43" s="9">
        <f t="shared" si="6"/>
        <v>12</v>
      </c>
      <c r="I43" s="10">
        <f t="shared" si="7"/>
        <v>24</v>
      </c>
    </row>
    <row r="44" spans="1:12" ht="12.75">
      <c r="A44" s="8" t="s">
        <v>24</v>
      </c>
      <c r="B44" s="9">
        <f t="shared" si="4"/>
        <v>9</v>
      </c>
      <c r="C44" s="8"/>
      <c r="D44" s="8"/>
      <c r="E44" s="8">
        <v>4</v>
      </c>
      <c r="F44" s="8">
        <v>2</v>
      </c>
      <c r="G44" s="9">
        <f t="shared" si="5"/>
        <v>2</v>
      </c>
      <c r="H44" s="9">
        <f t="shared" si="6"/>
        <v>7</v>
      </c>
      <c r="I44" s="10">
        <f t="shared" si="7"/>
        <v>12</v>
      </c>
    </row>
    <row r="45" spans="1:12" ht="12.75">
      <c r="A45" s="8" t="s">
        <v>25</v>
      </c>
      <c r="B45" s="9">
        <f t="shared" si="4"/>
        <v>28</v>
      </c>
      <c r="C45" s="8"/>
      <c r="D45" s="8"/>
      <c r="E45" s="8">
        <v>10</v>
      </c>
      <c r="F45" s="8">
        <v>5</v>
      </c>
      <c r="G45" s="9">
        <f t="shared" si="5"/>
        <v>5</v>
      </c>
      <c r="H45" s="9">
        <f t="shared" si="6"/>
        <v>23</v>
      </c>
      <c r="I45" s="10">
        <f t="shared" si="7"/>
        <v>30</v>
      </c>
    </row>
    <row r="46" spans="1:12" ht="12.75">
      <c r="A46" s="8" t="s">
        <v>26</v>
      </c>
      <c r="B46" s="9">
        <f t="shared" si="4"/>
        <v>16</v>
      </c>
      <c r="C46" s="8"/>
      <c r="D46" s="8"/>
      <c r="E46" s="8">
        <v>6</v>
      </c>
      <c r="F46" s="8">
        <v>6</v>
      </c>
      <c r="G46" s="9">
        <f t="shared" si="5"/>
        <v>0</v>
      </c>
      <c r="H46" s="9">
        <f t="shared" si="6"/>
        <v>16</v>
      </c>
      <c r="I46" s="10">
        <f t="shared" si="7"/>
        <v>0</v>
      </c>
    </row>
    <row r="47" spans="1:12" ht="12.75">
      <c r="A47" s="8" t="s">
        <v>27</v>
      </c>
      <c r="B47" s="9">
        <f t="shared" si="4"/>
        <v>16</v>
      </c>
      <c r="C47" s="8"/>
      <c r="D47" s="8"/>
      <c r="E47" s="8">
        <v>4</v>
      </c>
      <c r="F47" s="8">
        <v>3</v>
      </c>
      <c r="G47" s="9">
        <f t="shared" si="5"/>
        <v>1</v>
      </c>
      <c r="H47" s="9">
        <f t="shared" si="6"/>
        <v>15</v>
      </c>
      <c r="I47" s="10">
        <f t="shared" si="7"/>
        <v>6</v>
      </c>
    </row>
    <row r="48" spans="1:12" ht="12.75">
      <c r="A48" s="8" t="s">
        <v>28</v>
      </c>
      <c r="B48" s="9">
        <f t="shared" si="4"/>
        <v>38</v>
      </c>
      <c r="C48" s="8">
        <v>1</v>
      </c>
      <c r="D48" s="8"/>
      <c r="E48" s="8">
        <v>8</v>
      </c>
      <c r="F48" s="8">
        <v>8</v>
      </c>
      <c r="G48" s="9">
        <f t="shared" si="5"/>
        <v>0</v>
      </c>
      <c r="H48" s="9">
        <f t="shared" si="6"/>
        <v>37</v>
      </c>
      <c r="I48" s="10">
        <f t="shared" si="7"/>
        <v>0</v>
      </c>
    </row>
    <row r="49" spans="1:9" ht="12.75">
      <c r="A49" s="8" t="s">
        <v>30</v>
      </c>
      <c r="B49" s="9">
        <f t="shared" si="4"/>
        <v>16</v>
      </c>
      <c r="C49" s="8"/>
      <c r="D49" s="8"/>
      <c r="E49" s="8">
        <v>2</v>
      </c>
      <c r="F49" s="8">
        <v>2</v>
      </c>
      <c r="G49" s="9">
        <f t="shared" si="5"/>
        <v>0</v>
      </c>
      <c r="H49" s="9">
        <f t="shared" si="6"/>
        <v>16</v>
      </c>
      <c r="I49" s="10">
        <f t="shared" si="7"/>
        <v>0</v>
      </c>
    </row>
    <row r="50" spans="1:9" ht="12.75">
      <c r="A50" s="13" t="s">
        <v>86</v>
      </c>
      <c r="B50" s="9">
        <f t="shared" si="4"/>
        <v>23</v>
      </c>
      <c r="C50" s="8"/>
      <c r="D50" s="8"/>
      <c r="E50" s="8">
        <v>4</v>
      </c>
      <c r="F50" s="8">
        <v>2</v>
      </c>
      <c r="G50" s="9">
        <f t="shared" si="5"/>
        <v>2</v>
      </c>
      <c r="H50" s="9">
        <f t="shared" si="6"/>
        <v>21</v>
      </c>
      <c r="I50" s="10">
        <f t="shared" si="7"/>
        <v>12</v>
      </c>
    </row>
    <row r="51" spans="1:9" ht="12.75">
      <c r="A51" s="14" t="s">
        <v>33</v>
      </c>
      <c r="B51" s="15">
        <f>SUM(B30:B50)</f>
        <v>478</v>
      </c>
      <c r="C51" s="14"/>
      <c r="D51" s="14"/>
      <c r="E51" s="15">
        <f t="shared" ref="E51:G51" si="8">SUM(E29:E50)</f>
        <v>112</v>
      </c>
      <c r="F51" s="15">
        <f t="shared" si="8"/>
        <v>76</v>
      </c>
      <c r="G51" s="15">
        <f t="shared" si="8"/>
        <v>36</v>
      </c>
      <c r="H51" s="15">
        <f>SUM(H30:H50)</f>
        <v>441</v>
      </c>
      <c r="I51" s="16">
        <f>SUM(I29:I50)</f>
        <v>216</v>
      </c>
    </row>
    <row r="52" spans="1:9" ht="12.75">
      <c r="A52" s="17"/>
      <c r="B52" s="17"/>
      <c r="C52" s="17"/>
      <c r="D52" s="17"/>
      <c r="E52" s="17"/>
      <c r="F52" s="134" t="s">
        <v>34</v>
      </c>
      <c r="G52" s="133"/>
      <c r="H52" s="18"/>
      <c r="I52" s="19"/>
    </row>
    <row r="53" spans="1:9" ht="12.75">
      <c r="A53" s="17"/>
      <c r="B53" s="24"/>
      <c r="C53" s="24"/>
      <c r="D53" s="24"/>
      <c r="E53" s="135" t="s">
        <v>87</v>
      </c>
      <c r="F53" s="132"/>
      <c r="G53" s="133"/>
      <c r="H53" s="25"/>
      <c r="I53" s="26">
        <f>SUM(I30:I50)</f>
        <v>216</v>
      </c>
    </row>
    <row r="55" spans="1:9">
      <c r="A55" s="1"/>
      <c r="B55" s="131" t="s">
        <v>89</v>
      </c>
      <c r="C55" s="132"/>
      <c r="D55" s="132"/>
      <c r="E55" s="132"/>
      <c r="F55" s="132"/>
      <c r="G55" s="132"/>
      <c r="H55" s="132"/>
      <c r="I55" s="133"/>
    </row>
    <row r="56" spans="1:9" ht="45">
      <c r="A56" s="2" t="s">
        <v>1</v>
      </c>
      <c r="B56" s="3" t="s">
        <v>2</v>
      </c>
      <c r="C56" s="4" t="s">
        <v>3</v>
      </c>
      <c r="D56" s="5" t="s">
        <v>4</v>
      </c>
      <c r="E56" s="2" t="s">
        <v>5</v>
      </c>
      <c r="F56" s="2" t="s">
        <v>6</v>
      </c>
      <c r="G56" s="2" t="s">
        <v>7</v>
      </c>
      <c r="H56" s="6" t="s">
        <v>8</v>
      </c>
      <c r="I56" s="7" t="s">
        <v>9</v>
      </c>
    </row>
    <row r="57" spans="1:9" ht="12.75">
      <c r="A57" s="8" t="s">
        <v>10</v>
      </c>
      <c r="B57" s="9">
        <f t="shared" ref="B57:B77" si="9">H30</f>
        <v>28</v>
      </c>
      <c r="C57" s="8"/>
      <c r="D57" s="8"/>
      <c r="E57" s="8">
        <v>6</v>
      </c>
      <c r="F57" s="8">
        <v>1</v>
      </c>
      <c r="G57" s="9">
        <f t="shared" ref="G57:G77" si="10">E57-F57</f>
        <v>5</v>
      </c>
      <c r="H57" s="9">
        <f t="shared" ref="H57:H77" si="11">B57-C57+D57-G57</f>
        <v>23</v>
      </c>
      <c r="I57" s="10">
        <f t="shared" ref="I57:I77" si="12">G57*6</f>
        <v>30</v>
      </c>
    </row>
    <row r="58" spans="1:9" ht="12.75">
      <c r="A58" s="8" t="s">
        <v>11</v>
      </c>
      <c r="B58" s="9">
        <f t="shared" si="9"/>
        <v>9</v>
      </c>
      <c r="C58" s="8"/>
      <c r="D58" s="8">
        <v>32</v>
      </c>
      <c r="E58" s="8">
        <v>6</v>
      </c>
      <c r="F58" s="8">
        <v>2</v>
      </c>
      <c r="G58" s="9">
        <f t="shared" si="10"/>
        <v>4</v>
      </c>
      <c r="H58" s="9">
        <f t="shared" si="11"/>
        <v>37</v>
      </c>
      <c r="I58" s="10">
        <f t="shared" si="12"/>
        <v>24</v>
      </c>
    </row>
    <row r="59" spans="1:9" ht="12.75">
      <c r="A59" s="8" t="s">
        <v>12</v>
      </c>
      <c r="B59" s="9">
        <f t="shared" si="9"/>
        <v>37</v>
      </c>
      <c r="C59" s="8"/>
      <c r="D59" s="8"/>
      <c r="E59" s="8">
        <v>6</v>
      </c>
      <c r="F59" s="8">
        <v>4</v>
      </c>
      <c r="G59" s="9">
        <f t="shared" si="10"/>
        <v>2</v>
      </c>
      <c r="H59" s="9">
        <f t="shared" si="11"/>
        <v>35</v>
      </c>
      <c r="I59" s="10">
        <f t="shared" si="12"/>
        <v>12</v>
      </c>
    </row>
    <row r="60" spans="1:9" ht="12.75">
      <c r="A60" s="8" t="s">
        <v>13</v>
      </c>
      <c r="B60" s="9">
        <f t="shared" si="9"/>
        <v>12</v>
      </c>
      <c r="C60" s="8"/>
      <c r="D60" s="8"/>
      <c r="E60" s="8">
        <v>6</v>
      </c>
      <c r="F60" s="8">
        <v>3</v>
      </c>
      <c r="G60" s="9">
        <f t="shared" si="10"/>
        <v>3</v>
      </c>
      <c r="H60" s="9">
        <f t="shared" si="11"/>
        <v>9</v>
      </c>
      <c r="I60" s="10">
        <f t="shared" si="12"/>
        <v>18</v>
      </c>
    </row>
    <row r="61" spans="1:9" ht="12.75">
      <c r="A61" s="8" t="s">
        <v>14</v>
      </c>
      <c r="B61" s="9">
        <f t="shared" si="9"/>
        <v>23</v>
      </c>
      <c r="C61" s="8"/>
      <c r="D61" s="8"/>
      <c r="E61" s="8">
        <v>4</v>
      </c>
      <c r="F61" s="8">
        <v>0</v>
      </c>
      <c r="G61" s="9">
        <f t="shared" si="10"/>
        <v>4</v>
      </c>
      <c r="H61" s="9">
        <f t="shared" si="11"/>
        <v>19</v>
      </c>
      <c r="I61" s="10">
        <f t="shared" si="12"/>
        <v>24</v>
      </c>
    </row>
    <row r="62" spans="1:9" ht="12.75">
      <c r="A62" s="8" t="s">
        <v>15</v>
      </c>
      <c r="B62" s="9">
        <f t="shared" si="9"/>
        <v>35</v>
      </c>
      <c r="C62" s="8"/>
      <c r="D62" s="8"/>
      <c r="E62" s="8">
        <v>6</v>
      </c>
      <c r="F62" s="8">
        <v>4</v>
      </c>
      <c r="G62" s="9">
        <f t="shared" si="10"/>
        <v>2</v>
      </c>
      <c r="H62" s="9">
        <f t="shared" si="11"/>
        <v>33</v>
      </c>
      <c r="I62" s="10">
        <f t="shared" si="12"/>
        <v>12</v>
      </c>
    </row>
    <row r="63" spans="1:9" ht="12.75">
      <c r="A63" s="8" t="s">
        <v>16</v>
      </c>
      <c r="B63" s="9">
        <f t="shared" si="9"/>
        <v>30</v>
      </c>
      <c r="C63" s="8"/>
      <c r="D63" s="8"/>
      <c r="E63" s="8">
        <v>5</v>
      </c>
      <c r="F63" s="8">
        <v>5</v>
      </c>
      <c r="G63" s="9">
        <f t="shared" si="10"/>
        <v>0</v>
      </c>
      <c r="H63" s="9">
        <f t="shared" si="11"/>
        <v>30</v>
      </c>
      <c r="I63" s="10">
        <f t="shared" si="12"/>
        <v>0</v>
      </c>
    </row>
    <row r="64" spans="1:9" ht="12.75">
      <c r="A64" s="8" t="s">
        <v>17</v>
      </c>
      <c r="B64" s="9">
        <f t="shared" si="9"/>
        <v>17</v>
      </c>
      <c r="C64" s="8">
        <v>1</v>
      </c>
      <c r="D64" s="8"/>
      <c r="E64" s="8">
        <v>5</v>
      </c>
      <c r="F64" s="8">
        <v>3</v>
      </c>
      <c r="G64" s="9">
        <f t="shared" si="10"/>
        <v>2</v>
      </c>
      <c r="H64" s="9">
        <f t="shared" si="11"/>
        <v>14</v>
      </c>
      <c r="I64" s="10">
        <f t="shared" si="12"/>
        <v>12</v>
      </c>
    </row>
    <row r="65" spans="1:9" ht="12.75">
      <c r="A65" s="8" t="s">
        <v>18</v>
      </c>
      <c r="B65" s="9">
        <f t="shared" si="9"/>
        <v>11</v>
      </c>
      <c r="C65" s="8"/>
      <c r="D65" s="8"/>
      <c r="E65" s="8">
        <v>6</v>
      </c>
      <c r="F65" s="8">
        <v>3</v>
      </c>
      <c r="G65" s="9">
        <f t="shared" si="10"/>
        <v>3</v>
      </c>
      <c r="H65" s="9">
        <f t="shared" si="11"/>
        <v>8</v>
      </c>
      <c r="I65" s="10">
        <f t="shared" si="12"/>
        <v>18</v>
      </c>
    </row>
    <row r="66" spans="1:9" ht="12.75">
      <c r="A66" s="8" t="s">
        <v>19</v>
      </c>
      <c r="B66" s="9">
        <f t="shared" si="9"/>
        <v>30</v>
      </c>
      <c r="C66" s="8"/>
      <c r="D66" s="8"/>
      <c r="E66" s="8">
        <v>6</v>
      </c>
      <c r="F66" s="8">
        <v>4</v>
      </c>
      <c r="G66" s="9">
        <f t="shared" si="10"/>
        <v>2</v>
      </c>
      <c r="H66" s="9">
        <f t="shared" si="11"/>
        <v>28</v>
      </c>
      <c r="I66" s="10">
        <f t="shared" si="12"/>
        <v>12</v>
      </c>
    </row>
    <row r="67" spans="1:9" ht="12.75">
      <c r="A67" s="8" t="s">
        <v>20</v>
      </c>
      <c r="B67" s="9">
        <f t="shared" si="9"/>
        <v>20</v>
      </c>
      <c r="C67" s="8"/>
      <c r="D67" s="8"/>
      <c r="E67" s="8">
        <v>6</v>
      </c>
      <c r="F67" s="8">
        <v>2</v>
      </c>
      <c r="G67" s="9">
        <f t="shared" si="10"/>
        <v>4</v>
      </c>
      <c r="H67" s="9">
        <f t="shared" si="11"/>
        <v>16</v>
      </c>
      <c r="I67" s="10">
        <f t="shared" si="12"/>
        <v>24</v>
      </c>
    </row>
    <row r="68" spans="1:9" ht="12.75">
      <c r="A68" s="8" t="s">
        <v>21</v>
      </c>
      <c r="B68" s="9">
        <f t="shared" si="9"/>
        <v>14</v>
      </c>
      <c r="C68" s="8"/>
      <c r="D68" s="8"/>
      <c r="E68" s="8">
        <v>2</v>
      </c>
      <c r="F68" s="8">
        <v>1</v>
      </c>
      <c r="G68" s="9">
        <f t="shared" si="10"/>
        <v>1</v>
      </c>
      <c r="H68" s="9">
        <f t="shared" si="11"/>
        <v>13</v>
      </c>
      <c r="I68" s="10">
        <f t="shared" si="12"/>
        <v>6</v>
      </c>
    </row>
    <row r="69" spans="1:9" ht="12.75">
      <c r="A69" s="8" t="s">
        <v>22</v>
      </c>
      <c r="B69" s="9">
        <f t="shared" si="9"/>
        <v>28</v>
      </c>
      <c r="C69" s="8"/>
      <c r="D69" s="8"/>
      <c r="E69" s="8">
        <v>5</v>
      </c>
      <c r="F69" s="8">
        <v>4</v>
      </c>
      <c r="G69" s="9">
        <f t="shared" si="10"/>
        <v>1</v>
      </c>
      <c r="H69" s="9">
        <f t="shared" si="11"/>
        <v>27</v>
      </c>
      <c r="I69" s="10">
        <f t="shared" si="12"/>
        <v>6</v>
      </c>
    </row>
    <row r="70" spans="1:9" ht="12.75">
      <c r="A70" s="8" t="s">
        <v>23</v>
      </c>
      <c r="B70" s="9">
        <f t="shared" si="9"/>
        <v>12</v>
      </c>
      <c r="C70" s="8"/>
      <c r="D70" s="8"/>
      <c r="E70" s="8">
        <v>6</v>
      </c>
      <c r="F70" s="8">
        <v>1</v>
      </c>
      <c r="G70" s="9">
        <f t="shared" si="10"/>
        <v>5</v>
      </c>
      <c r="H70" s="9">
        <f t="shared" si="11"/>
        <v>7</v>
      </c>
      <c r="I70" s="10">
        <f t="shared" si="12"/>
        <v>30</v>
      </c>
    </row>
    <row r="71" spans="1:9" ht="12.75">
      <c r="A71" s="8" t="s">
        <v>24</v>
      </c>
      <c r="B71" s="9">
        <f t="shared" si="9"/>
        <v>7</v>
      </c>
      <c r="C71" s="8"/>
      <c r="D71" s="8"/>
      <c r="E71" s="8">
        <v>4</v>
      </c>
      <c r="F71" s="8">
        <v>2</v>
      </c>
      <c r="G71" s="9">
        <f t="shared" si="10"/>
        <v>2</v>
      </c>
      <c r="H71" s="9">
        <f t="shared" si="11"/>
        <v>5</v>
      </c>
      <c r="I71" s="10">
        <f t="shared" si="12"/>
        <v>12</v>
      </c>
    </row>
    <row r="72" spans="1:9" ht="12.75">
      <c r="A72" s="8" t="s">
        <v>25</v>
      </c>
      <c r="B72" s="9">
        <f t="shared" si="9"/>
        <v>23</v>
      </c>
      <c r="C72" s="8"/>
      <c r="D72" s="8"/>
      <c r="E72" s="8">
        <v>10</v>
      </c>
      <c r="F72" s="8">
        <v>0</v>
      </c>
      <c r="G72" s="9">
        <f t="shared" si="10"/>
        <v>10</v>
      </c>
      <c r="H72" s="9">
        <f t="shared" si="11"/>
        <v>13</v>
      </c>
      <c r="I72" s="10">
        <f t="shared" si="12"/>
        <v>60</v>
      </c>
    </row>
    <row r="73" spans="1:9" ht="12.75">
      <c r="A73" s="8" t="s">
        <v>26</v>
      </c>
      <c r="B73" s="9">
        <f t="shared" si="9"/>
        <v>16</v>
      </c>
      <c r="C73" s="8"/>
      <c r="D73" s="8"/>
      <c r="E73" s="8">
        <v>6</v>
      </c>
      <c r="F73" s="8">
        <v>4</v>
      </c>
      <c r="G73" s="9">
        <f t="shared" si="10"/>
        <v>2</v>
      </c>
      <c r="H73" s="9">
        <f t="shared" si="11"/>
        <v>14</v>
      </c>
      <c r="I73" s="10">
        <f t="shared" si="12"/>
        <v>12</v>
      </c>
    </row>
    <row r="74" spans="1:9" ht="12.75">
      <c r="A74" s="8" t="s">
        <v>27</v>
      </c>
      <c r="B74" s="9">
        <f t="shared" si="9"/>
        <v>15</v>
      </c>
      <c r="C74" s="8"/>
      <c r="D74" s="8"/>
      <c r="E74" s="8">
        <v>4</v>
      </c>
      <c r="F74" s="8">
        <v>3</v>
      </c>
      <c r="G74" s="9">
        <f t="shared" si="10"/>
        <v>1</v>
      </c>
      <c r="H74" s="9">
        <f t="shared" si="11"/>
        <v>14</v>
      </c>
      <c r="I74" s="10">
        <f t="shared" si="12"/>
        <v>6</v>
      </c>
    </row>
    <row r="75" spans="1:9" ht="12.75">
      <c r="A75" s="8" t="s">
        <v>28</v>
      </c>
      <c r="B75" s="9">
        <f t="shared" si="9"/>
        <v>37</v>
      </c>
      <c r="C75" s="8"/>
      <c r="D75" s="8"/>
      <c r="E75" s="8">
        <v>8</v>
      </c>
      <c r="F75" s="8">
        <v>7</v>
      </c>
      <c r="G75" s="9">
        <f t="shared" si="10"/>
        <v>1</v>
      </c>
      <c r="H75" s="9">
        <f t="shared" si="11"/>
        <v>36</v>
      </c>
      <c r="I75" s="10">
        <f t="shared" si="12"/>
        <v>6</v>
      </c>
    </row>
    <row r="76" spans="1:9" ht="12.75">
      <c r="A76" s="8" t="s">
        <v>30</v>
      </c>
      <c r="B76" s="9">
        <f t="shared" si="9"/>
        <v>16</v>
      </c>
      <c r="C76" s="8"/>
      <c r="D76" s="8"/>
      <c r="E76" s="8">
        <v>2</v>
      </c>
      <c r="F76" s="8">
        <v>1</v>
      </c>
      <c r="G76" s="9">
        <f t="shared" si="10"/>
        <v>1</v>
      </c>
      <c r="H76" s="9">
        <f t="shared" si="11"/>
        <v>15</v>
      </c>
      <c r="I76" s="10">
        <f t="shared" si="12"/>
        <v>6</v>
      </c>
    </row>
    <row r="77" spans="1:9" ht="12.75">
      <c r="A77" s="13" t="s">
        <v>86</v>
      </c>
      <c r="B77" s="9">
        <f t="shared" si="9"/>
        <v>21</v>
      </c>
      <c r="C77" s="8"/>
      <c r="D77" s="8"/>
      <c r="E77" s="8">
        <v>4</v>
      </c>
      <c r="F77" s="8">
        <v>2</v>
      </c>
      <c r="G77" s="9">
        <f t="shared" si="10"/>
        <v>2</v>
      </c>
      <c r="H77" s="9">
        <f t="shared" si="11"/>
        <v>19</v>
      </c>
      <c r="I77" s="10">
        <f t="shared" si="12"/>
        <v>12</v>
      </c>
    </row>
    <row r="78" spans="1:9" ht="12.75">
      <c r="A78" s="14" t="s">
        <v>33</v>
      </c>
      <c r="B78" s="15">
        <f>SUM(B57:B77)</f>
        <v>441</v>
      </c>
      <c r="C78" s="14"/>
      <c r="D78" s="14"/>
      <c r="E78" s="15">
        <f t="shared" ref="E78:G78" si="13">SUM(E56:E77)</f>
        <v>113</v>
      </c>
      <c r="F78" s="15">
        <f t="shared" si="13"/>
        <v>56</v>
      </c>
      <c r="G78" s="15">
        <f t="shared" si="13"/>
        <v>57</v>
      </c>
      <c r="H78" s="15">
        <f>SUM(H57:H77)</f>
        <v>415</v>
      </c>
      <c r="I78" s="16">
        <f>SUM(I56:I77)</f>
        <v>342</v>
      </c>
    </row>
    <row r="79" spans="1:9" ht="12.75">
      <c r="A79" s="17"/>
      <c r="B79" s="17"/>
      <c r="C79" s="17"/>
      <c r="D79" s="17"/>
      <c r="E79" s="17"/>
      <c r="F79" s="134" t="s">
        <v>34</v>
      </c>
      <c r="G79" s="133"/>
      <c r="H79" s="18"/>
      <c r="I79" s="19"/>
    </row>
    <row r="80" spans="1:9" ht="12.75">
      <c r="A80" s="17"/>
      <c r="B80" s="24"/>
      <c r="C80" s="24"/>
      <c r="D80" s="24"/>
      <c r="E80" s="135" t="s">
        <v>87</v>
      </c>
      <c r="F80" s="132"/>
      <c r="G80" s="133"/>
      <c r="H80" s="25"/>
      <c r="I80" s="26">
        <f>SUM(I57:I77)</f>
        <v>342</v>
      </c>
    </row>
    <row r="82" spans="1:9">
      <c r="A82" s="1"/>
      <c r="B82" s="131" t="s">
        <v>90</v>
      </c>
      <c r="C82" s="132"/>
      <c r="D82" s="132"/>
      <c r="E82" s="132"/>
      <c r="F82" s="132"/>
      <c r="G82" s="132"/>
      <c r="H82" s="132"/>
      <c r="I82" s="133"/>
    </row>
    <row r="83" spans="1:9" ht="45">
      <c r="A83" s="2" t="s">
        <v>1</v>
      </c>
      <c r="B83" s="3" t="s">
        <v>2</v>
      </c>
      <c r="C83" s="4" t="s">
        <v>3</v>
      </c>
      <c r="D83" s="5" t="s">
        <v>4</v>
      </c>
      <c r="E83" s="2" t="s">
        <v>5</v>
      </c>
      <c r="F83" s="2" t="s">
        <v>6</v>
      </c>
      <c r="G83" s="2" t="s">
        <v>7</v>
      </c>
      <c r="H83" s="6" t="s">
        <v>8</v>
      </c>
      <c r="I83" s="7" t="s">
        <v>9</v>
      </c>
    </row>
    <row r="84" spans="1:9" ht="12.75">
      <c r="A84" s="8" t="s">
        <v>10</v>
      </c>
      <c r="B84" s="9">
        <f t="shared" ref="B84:B103" si="14">H57</f>
        <v>23</v>
      </c>
      <c r="C84" s="8"/>
      <c r="D84" s="8"/>
      <c r="E84" s="8">
        <v>6</v>
      </c>
      <c r="F84" s="8">
        <v>5</v>
      </c>
      <c r="G84" s="9">
        <f t="shared" ref="G84:G105" si="15">E84-F84</f>
        <v>1</v>
      </c>
      <c r="H84" s="9">
        <f t="shared" ref="H84:H105" si="16">B84-C84+D84-G84</f>
        <v>22</v>
      </c>
      <c r="I84" s="10">
        <f t="shared" ref="I84:I105" si="17">G84*6</f>
        <v>6</v>
      </c>
    </row>
    <row r="85" spans="1:9" ht="12.75">
      <c r="A85" s="8" t="s">
        <v>11</v>
      </c>
      <c r="B85" s="9">
        <f t="shared" si="14"/>
        <v>37</v>
      </c>
      <c r="C85" s="8"/>
      <c r="D85" s="8"/>
      <c r="E85" s="8">
        <v>6</v>
      </c>
      <c r="F85" s="8">
        <v>2</v>
      </c>
      <c r="G85" s="9">
        <f t="shared" si="15"/>
        <v>4</v>
      </c>
      <c r="H85" s="9">
        <f t="shared" si="16"/>
        <v>33</v>
      </c>
      <c r="I85" s="10">
        <f t="shared" si="17"/>
        <v>24</v>
      </c>
    </row>
    <row r="86" spans="1:9" ht="12.75">
      <c r="A86" s="8" t="s">
        <v>12</v>
      </c>
      <c r="B86" s="9">
        <f t="shared" si="14"/>
        <v>35</v>
      </c>
      <c r="C86" s="8"/>
      <c r="D86" s="8"/>
      <c r="E86" s="8">
        <v>6</v>
      </c>
      <c r="F86" s="8">
        <v>5</v>
      </c>
      <c r="G86" s="9">
        <f t="shared" si="15"/>
        <v>1</v>
      </c>
      <c r="H86" s="9">
        <f t="shared" si="16"/>
        <v>34</v>
      </c>
      <c r="I86" s="10">
        <f t="shared" si="17"/>
        <v>6</v>
      </c>
    </row>
    <row r="87" spans="1:9" ht="12.75">
      <c r="A87" s="8" t="s">
        <v>13</v>
      </c>
      <c r="B87" s="9">
        <f t="shared" si="14"/>
        <v>9</v>
      </c>
      <c r="C87" s="8"/>
      <c r="D87" s="8">
        <v>29</v>
      </c>
      <c r="E87" s="8">
        <v>6</v>
      </c>
      <c r="F87" s="8">
        <v>0</v>
      </c>
      <c r="G87" s="9">
        <f t="shared" si="15"/>
        <v>6</v>
      </c>
      <c r="H87" s="9">
        <f t="shared" si="16"/>
        <v>32</v>
      </c>
      <c r="I87" s="10">
        <f t="shared" si="17"/>
        <v>36</v>
      </c>
    </row>
    <row r="88" spans="1:9" ht="12.75">
      <c r="A88" s="8" t="s">
        <v>14</v>
      </c>
      <c r="B88" s="9">
        <f t="shared" si="14"/>
        <v>19</v>
      </c>
      <c r="C88" s="8"/>
      <c r="D88" s="8"/>
      <c r="E88" s="8">
        <v>4</v>
      </c>
      <c r="F88" s="8">
        <v>2</v>
      </c>
      <c r="G88" s="9">
        <f t="shared" si="15"/>
        <v>2</v>
      </c>
      <c r="H88" s="9">
        <f t="shared" si="16"/>
        <v>17</v>
      </c>
      <c r="I88" s="10">
        <f t="shared" si="17"/>
        <v>12</v>
      </c>
    </row>
    <row r="89" spans="1:9" ht="12.75">
      <c r="A89" s="8" t="s">
        <v>15</v>
      </c>
      <c r="B89" s="9">
        <f t="shared" si="14"/>
        <v>33</v>
      </c>
      <c r="C89" s="8"/>
      <c r="D89" s="8"/>
      <c r="E89" s="8">
        <v>6</v>
      </c>
      <c r="F89" s="8">
        <v>5</v>
      </c>
      <c r="G89" s="9">
        <f t="shared" si="15"/>
        <v>1</v>
      </c>
      <c r="H89" s="9">
        <f t="shared" si="16"/>
        <v>32</v>
      </c>
      <c r="I89" s="10">
        <f t="shared" si="17"/>
        <v>6</v>
      </c>
    </row>
    <row r="90" spans="1:9" ht="12.75">
      <c r="A90" s="8" t="s">
        <v>16</v>
      </c>
      <c r="B90" s="9">
        <f t="shared" si="14"/>
        <v>30</v>
      </c>
      <c r="C90" s="8"/>
      <c r="D90" s="8"/>
      <c r="E90" s="8">
        <v>5</v>
      </c>
      <c r="F90" s="8">
        <v>5</v>
      </c>
      <c r="G90" s="9">
        <f t="shared" si="15"/>
        <v>0</v>
      </c>
      <c r="H90" s="9">
        <f t="shared" si="16"/>
        <v>30</v>
      </c>
      <c r="I90" s="10">
        <f t="shared" si="17"/>
        <v>0</v>
      </c>
    </row>
    <row r="91" spans="1:9" ht="12.75">
      <c r="A91" s="8" t="s">
        <v>17</v>
      </c>
      <c r="B91" s="9">
        <f t="shared" si="14"/>
        <v>14</v>
      </c>
      <c r="C91" s="8"/>
      <c r="D91" s="8"/>
      <c r="E91" s="8">
        <v>4</v>
      </c>
      <c r="F91" s="8">
        <v>2</v>
      </c>
      <c r="G91" s="9">
        <f t="shared" si="15"/>
        <v>2</v>
      </c>
      <c r="H91" s="9">
        <f t="shared" si="16"/>
        <v>12</v>
      </c>
      <c r="I91" s="10">
        <f t="shared" si="17"/>
        <v>12</v>
      </c>
    </row>
    <row r="92" spans="1:9" ht="12.75">
      <c r="A92" s="8" t="s">
        <v>18</v>
      </c>
      <c r="B92" s="9">
        <f t="shared" si="14"/>
        <v>8</v>
      </c>
      <c r="C92" s="8"/>
      <c r="D92" s="8"/>
      <c r="E92" s="8">
        <v>6</v>
      </c>
      <c r="F92" s="8">
        <v>6</v>
      </c>
      <c r="G92" s="9">
        <f t="shared" si="15"/>
        <v>0</v>
      </c>
      <c r="H92" s="9">
        <f t="shared" si="16"/>
        <v>8</v>
      </c>
      <c r="I92" s="10">
        <f t="shared" si="17"/>
        <v>0</v>
      </c>
    </row>
    <row r="93" spans="1:9" ht="12.75">
      <c r="A93" s="8" t="s">
        <v>19</v>
      </c>
      <c r="B93" s="9">
        <f t="shared" si="14"/>
        <v>28</v>
      </c>
      <c r="C93" s="8"/>
      <c r="D93" s="8"/>
      <c r="E93" s="8">
        <v>6</v>
      </c>
      <c r="F93" s="8">
        <v>5</v>
      </c>
      <c r="G93" s="9">
        <f t="shared" si="15"/>
        <v>1</v>
      </c>
      <c r="H93" s="9">
        <f t="shared" si="16"/>
        <v>27</v>
      </c>
      <c r="I93" s="10">
        <f t="shared" si="17"/>
        <v>6</v>
      </c>
    </row>
    <row r="94" spans="1:9" ht="12.75">
      <c r="A94" s="8" t="s">
        <v>20</v>
      </c>
      <c r="B94" s="9">
        <f t="shared" si="14"/>
        <v>16</v>
      </c>
      <c r="C94" s="8"/>
      <c r="D94" s="8"/>
      <c r="E94" s="8">
        <v>6</v>
      </c>
      <c r="F94" s="8">
        <v>3</v>
      </c>
      <c r="G94" s="9">
        <f t="shared" si="15"/>
        <v>3</v>
      </c>
      <c r="H94" s="9">
        <f t="shared" si="16"/>
        <v>13</v>
      </c>
      <c r="I94" s="10">
        <f t="shared" si="17"/>
        <v>18</v>
      </c>
    </row>
    <row r="95" spans="1:9" ht="12.75">
      <c r="A95" s="8" t="s">
        <v>21</v>
      </c>
      <c r="B95" s="9">
        <f t="shared" si="14"/>
        <v>13</v>
      </c>
      <c r="C95" s="8"/>
      <c r="D95" s="8"/>
      <c r="E95" s="8">
        <v>2</v>
      </c>
      <c r="F95" s="8">
        <v>2</v>
      </c>
      <c r="G95" s="9">
        <f t="shared" si="15"/>
        <v>0</v>
      </c>
      <c r="H95" s="9">
        <f t="shared" si="16"/>
        <v>13</v>
      </c>
      <c r="I95" s="10">
        <f t="shared" si="17"/>
        <v>0</v>
      </c>
    </row>
    <row r="96" spans="1:9" ht="12.75">
      <c r="A96" s="8" t="s">
        <v>22</v>
      </c>
      <c r="B96" s="9">
        <f t="shared" si="14"/>
        <v>27</v>
      </c>
      <c r="C96" s="8"/>
      <c r="D96" s="8"/>
      <c r="E96" s="8">
        <v>5</v>
      </c>
      <c r="F96" s="8">
        <v>5</v>
      </c>
      <c r="G96" s="9">
        <f t="shared" si="15"/>
        <v>0</v>
      </c>
      <c r="H96" s="9">
        <f t="shared" si="16"/>
        <v>27</v>
      </c>
      <c r="I96" s="10">
        <f t="shared" si="17"/>
        <v>0</v>
      </c>
    </row>
    <row r="97" spans="1:9" ht="12.75">
      <c r="A97" s="8" t="s">
        <v>23</v>
      </c>
      <c r="B97" s="9">
        <f t="shared" si="14"/>
        <v>7</v>
      </c>
      <c r="C97" s="8"/>
      <c r="D97" s="8">
        <v>30</v>
      </c>
      <c r="E97" s="8">
        <v>6</v>
      </c>
      <c r="F97" s="8">
        <v>3</v>
      </c>
      <c r="G97" s="9">
        <f t="shared" si="15"/>
        <v>3</v>
      </c>
      <c r="H97" s="9">
        <f t="shared" si="16"/>
        <v>34</v>
      </c>
      <c r="I97" s="10">
        <f t="shared" si="17"/>
        <v>18</v>
      </c>
    </row>
    <row r="98" spans="1:9" ht="12.75">
      <c r="A98" s="8" t="s">
        <v>24</v>
      </c>
      <c r="B98" s="9">
        <f t="shared" si="14"/>
        <v>5</v>
      </c>
      <c r="C98" s="8"/>
      <c r="D98" s="8"/>
      <c r="E98" s="8">
        <v>4</v>
      </c>
      <c r="F98" s="8">
        <v>3</v>
      </c>
      <c r="G98" s="9">
        <f t="shared" si="15"/>
        <v>1</v>
      </c>
      <c r="H98" s="9">
        <f t="shared" si="16"/>
        <v>4</v>
      </c>
      <c r="I98" s="10">
        <f t="shared" si="17"/>
        <v>6</v>
      </c>
    </row>
    <row r="99" spans="1:9" ht="12.75">
      <c r="A99" s="8" t="s">
        <v>25</v>
      </c>
      <c r="B99" s="9">
        <f t="shared" si="14"/>
        <v>13</v>
      </c>
      <c r="C99" s="8"/>
      <c r="D99" s="8">
        <v>28</v>
      </c>
      <c r="E99" s="8">
        <v>10</v>
      </c>
      <c r="F99" s="8">
        <v>6</v>
      </c>
      <c r="G99" s="9">
        <f t="shared" si="15"/>
        <v>4</v>
      </c>
      <c r="H99" s="9">
        <f t="shared" si="16"/>
        <v>37</v>
      </c>
      <c r="I99" s="10">
        <f t="shared" si="17"/>
        <v>24</v>
      </c>
    </row>
    <row r="100" spans="1:9" ht="12.75">
      <c r="A100" s="8" t="s">
        <v>26</v>
      </c>
      <c r="B100" s="9">
        <f t="shared" si="14"/>
        <v>14</v>
      </c>
      <c r="C100" s="8"/>
      <c r="D100" s="8"/>
      <c r="E100" s="8">
        <v>6</v>
      </c>
      <c r="F100" s="8">
        <v>5</v>
      </c>
      <c r="G100" s="9">
        <f t="shared" si="15"/>
        <v>1</v>
      </c>
      <c r="H100" s="9">
        <f t="shared" si="16"/>
        <v>13</v>
      </c>
      <c r="I100" s="10">
        <f t="shared" si="17"/>
        <v>6</v>
      </c>
    </row>
    <row r="101" spans="1:9" ht="12.75">
      <c r="A101" s="8" t="s">
        <v>27</v>
      </c>
      <c r="B101" s="9">
        <f t="shared" si="14"/>
        <v>14</v>
      </c>
      <c r="C101" s="8"/>
      <c r="D101" s="8"/>
      <c r="E101" s="8">
        <v>4</v>
      </c>
      <c r="F101" s="8">
        <v>2</v>
      </c>
      <c r="G101" s="9">
        <f t="shared" si="15"/>
        <v>2</v>
      </c>
      <c r="H101" s="9">
        <f t="shared" si="16"/>
        <v>12</v>
      </c>
      <c r="I101" s="10">
        <f t="shared" si="17"/>
        <v>12</v>
      </c>
    </row>
    <row r="102" spans="1:9" ht="12.75">
      <c r="A102" s="8" t="s">
        <v>28</v>
      </c>
      <c r="B102" s="9">
        <f t="shared" si="14"/>
        <v>36</v>
      </c>
      <c r="C102" s="8"/>
      <c r="D102" s="8"/>
      <c r="E102" s="8">
        <v>8</v>
      </c>
      <c r="F102" s="8">
        <v>6</v>
      </c>
      <c r="G102" s="9">
        <f t="shared" si="15"/>
        <v>2</v>
      </c>
      <c r="H102" s="9">
        <f t="shared" si="16"/>
        <v>34</v>
      </c>
      <c r="I102" s="10">
        <f t="shared" si="17"/>
        <v>12</v>
      </c>
    </row>
    <row r="103" spans="1:9" ht="12.75">
      <c r="A103" s="8" t="s">
        <v>30</v>
      </c>
      <c r="B103" s="9">
        <f t="shared" si="14"/>
        <v>15</v>
      </c>
      <c r="C103" s="8"/>
      <c r="D103" s="8"/>
      <c r="E103" s="8">
        <v>2</v>
      </c>
      <c r="F103" s="8">
        <v>0</v>
      </c>
      <c r="G103" s="9">
        <f t="shared" si="15"/>
        <v>2</v>
      </c>
      <c r="H103" s="9">
        <f t="shared" si="16"/>
        <v>13</v>
      </c>
      <c r="I103" s="10">
        <f t="shared" si="17"/>
        <v>12</v>
      </c>
    </row>
    <row r="104" spans="1:9" ht="12.75">
      <c r="A104" s="13" t="s">
        <v>31</v>
      </c>
      <c r="B104" s="9">
        <v>23</v>
      </c>
      <c r="C104" s="8"/>
      <c r="D104" s="8"/>
      <c r="E104" s="8">
        <v>3</v>
      </c>
      <c r="F104" s="8">
        <v>1</v>
      </c>
      <c r="G104" s="9">
        <f t="shared" si="15"/>
        <v>2</v>
      </c>
      <c r="H104" s="9">
        <f t="shared" si="16"/>
        <v>21</v>
      </c>
      <c r="I104" s="10">
        <f t="shared" si="17"/>
        <v>12</v>
      </c>
    </row>
    <row r="105" spans="1:9" ht="12.75">
      <c r="A105" s="13" t="s">
        <v>32</v>
      </c>
      <c r="B105" s="9">
        <f>H77</f>
        <v>19</v>
      </c>
      <c r="C105" s="8"/>
      <c r="D105" s="8"/>
      <c r="E105" s="8">
        <v>2</v>
      </c>
      <c r="F105" s="8">
        <v>2</v>
      </c>
      <c r="G105" s="9">
        <f t="shared" si="15"/>
        <v>0</v>
      </c>
      <c r="H105" s="9">
        <f t="shared" si="16"/>
        <v>19</v>
      </c>
      <c r="I105" s="10">
        <f t="shared" si="17"/>
        <v>0</v>
      </c>
    </row>
    <row r="106" spans="1:9" ht="12.75">
      <c r="A106" s="14" t="s">
        <v>33</v>
      </c>
      <c r="B106" s="15">
        <f>SUM(B84:B105)</f>
        <v>438</v>
      </c>
      <c r="C106" s="14"/>
      <c r="D106" s="14"/>
      <c r="E106" s="15">
        <f t="shared" ref="E106:G106" si="18">SUM(E83:E105)</f>
        <v>113</v>
      </c>
      <c r="F106" s="15">
        <f t="shared" si="18"/>
        <v>75</v>
      </c>
      <c r="G106" s="15">
        <f t="shared" si="18"/>
        <v>38</v>
      </c>
      <c r="H106" s="15">
        <f t="shared" ref="H106:I106" si="19">SUM(H84:H105)</f>
        <v>487</v>
      </c>
      <c r="I106" s="16">
        <f t="shared" si="19"/>
        <v>228</v>
      </c>
    </row>
    <row r="107" spans="1:9" ht="12.75">
      <c r="A107" s="17"/>
      <c r="B107" s="17"/>
      <c r="C107" s="17"/>
      <c r="D107" s="17"/>
      <c r="E107" s="17"/>
      <c r="F107" s="134" t="s">
        <v>34</v>
      </c>
      <c r="G107" s="133"/>
      <c r="H107" s="18"/>
      <c r="I107" s="19"/>
    </row>
    <row r="108" spans="1:9" ht="12.75">
      <c r="A108" s="17"/>
      <c r="B108" s="24"/>
      <c r="C108" s="24"/>
      <c r="D108" s="24"/>
      <c r="E108" s="135" t="s">
        <v>87</v>
      </c>
      <c r="F108" s="132"/>
      <c r="G108" s="133"/>
      <c r="H108" s="25"/>
      <c r="I108" s="26">
        <f>SUM(I84:I105)</f>
        <v>228</v>
      </c>
    </row>
    <row r="110" spans="1:9">
      <c r="A110" s="1"/>
      <c r="B110" s="131" t="s">
        <v>91</v>
      </c>
      <c r="C110" s="132"/>
      <c r="D110" s="132"/>
      <c r="E110" s="132"/>
      <c r="F110" s="132"/>
      <c r="G110" s="132"/>
      <c r="H110" s="132"/>
      <c r="I110" s="133"/>
    </row>
    <row r="111" spans="1:9" ht="45">
      <c r="A111" s="2" t="s">
        <v>1</v>
      </c>
      <c r="B111" s="3" t="s">
        <v>2</v>
      </c>
      <c r="C111" s="4" t="s">
        <v>3</v>
      </c>
      <c r="D111" s="5" t="s">
        <v>4</v>
      </c>
      <c r="E111" s="2" t="s">
        <v>5</v>
      </c>
      <c r="F111" s="2" t="s">
        <v>6</v>
      </c>
      <c r="G111" s="2" t="s">
        <v>7</v>
      </c>
      <c r="H111" s="6" t="s">
        <v>8</v>
      </c>
      <c r="I111" s="7" t="s">
        <v>9</v>
      </c>
    </row>
    <row r="112" spans="1:9" ht="12.75">
      <c r="A112" s="8" t="s">
        <v>10</v>
      </c>
      <c r="B112" s="9">
        <f t="shared" ref="B112:B131" si="20">H84</f>
        <v>22</v>
      </c>
      <c r="C112" s="8"/>
      <c r="D112" s="8"/>
      <c r="E112" s="8">
        <v>7</v>
      </c>
      <c r="F112" s="8">
        <v>0</v>
      </c>
      <c r="G112" s="9">
        <f t="shared" ref="G112:G133" si="21">E112-F112</f>
        <v>7</v>
      </c>
      <c r="H112" s="9">
        <f t="shared" ref="H112:H133" si="22">B112-C112+D112-G112</f>
        <v>15</v>
      </c>
      <c r="I112" s="10">
        <f t="shared" ref="I112:I133" si="23">G112*6</f>
        <v>42</v>
      </c>
    </row>
    <row r="113" spans="1:9" ht="12.75">
      <c r="A113" s="8" t="s">
        <v>11</v>
      </c>
      <c r="B113" s="9">
        <f t="shared" si="20"/>
        <v>33</v>
      </c>
      <c r="C113" s="8">
        <v>1</v>
      </c>
      <c r="D113" s="8"/>
      <c r="E113" s="8">
        <v>6</v>
      </c>
      <c r="F113" s="8">
        <v>5</v>
      </c>
      <c r="G113" s="9">
        <f t="shared" si="21"/>
        <v>1</v>
      </c>
      <c r="H113" s="9">
        <f t="shared" si="22"/>
        <v>31</v>
      </c>
      <c r="I113" s="10">
        <f t="shared" si="23"/>
        <v>6</v>
      </c>
    </row>
    <row r="114" spans="1:9" ht="12.75">
      <c r="A114" s="8" t="s">
        <v>12</v>
      </c>
      <c r="B114" s="9">
        <f t="shared" si="20"/>
        <v>34</v>
      </c>
      <c r="C114" s="8"/>
      <c r="D114" s="8"/>
      <c r="E114" s="8">
        <v>6</v>
      </c>
      <c r="F114" s="8">
        <v>0</v>
      </c>
      <c r="G114" s="9">
        <f t="shared" si="21"/>
        <v>6</v>
      </c>
      <c r="H114" s="9">
        <f t="shared" si="22"/>
        <v>28</v>
      </c>
      <c r="I114" s="10">
        <f t="shared" si="23"/>
        <v>36</v>
      </c>
    </row>
    <row r="115" spans="1:9" ht="12.75">
      <c r="A115" s="8" t="s">
        <v>13</v>
      </c>
      <c r="B115" s="9">
        <f t="shared" si="20"/>
        <v>32</v>
      </c>
      <c r="C115" s="8"/>
      <c r="D115" s="8"/>
      <c r="E115" s="8">
        <v>8</v>
      </c>
      <c r="F115" s="8">
        <v>6</v>
      </c>
      <c r="G115" s="9">
        <f t="shared" si="21"/>
        <v>2</v>
      </c>
      <c r="H115" s="9">
        <f t="shared" si="22"/>
        <v>30</v>
      </c>
      <c r="I115" s="10">
        <f t="shared" si="23"/>
        <v>12</v>
      </c>
    </row>
    <row r="116" spans="1:9" ht="12.75">
      <c r="A116" s="8" t="s">
        <v>14</v>
      </c>
      <c r="B116" s="9">
        <f t="shared" si="20"/>
        <v>17</v>
      </c>
      <c r="C116" s="8"/>
      <c r="D116" s="8"/>
      <c r="E116" s="20">
        <v>5</v>
      </c>
      <c r="F116" s="8">
        <v>0</v>
      </c>
      <c r="G116" s="9">
        <f t="shared" si="21"/>
        <v>5</v>
      </c>
      <c r="H116" s="9">
        <f t="shared" si="22"/>
        <v>12</v>
      </c>
      <c r="I116" s="10">
        <f t="shared" si="23"/>
        <v>30</v>
      </c>
    </row>
    <row r="117" spans="1:9" ht="12.75">
      <c r="A117" s="8" t="s">
        <v>15</v>
      </c>
      <c r="B117" s="9">
        <f t="shared" si="20"/>
        <v>32</v>
      </c>
      <c r="C117" s="8"/>
      <c r="D117" s="8"/>
      <c r="E117" s="8">
        <v>11</v>
      </c>
      <c r="F117" s="8">
        <v>5</v>
      </c>
      <c r="G117" s="9">
        <f t="shared" si="21"/>
        <v>6</v>
      </c>
      <c r="H117" s="9">
        <f t="shared" si="22"/>
        <v>26</v>
      </c>
      <c r="I117" s="10">
        <f t="shared" si="23"/>
        <v>36</v>
      </c>
    </row>
    <row r="118" spans="1:9" ht="12.75">
      <c r="A118" s="8" t="s">
        <v>16</v>
      </c>
      <c r="B118" s="9">
        <f t="shared" si="20"/>
        <v>30</v>
      </c>
      <c r="C118" s="8"/>
      <c r="D118" s="8"/>
      <c r="E118" s="8">
        <v>8</v>
      </c>
      <c r="F118" s="8">
        <v>5</v>
      </c>
      <c r="G118" s="9">
        <f t="shared" si="21"/>
        <v>3</v>
      </c>
      <c r="H118" s="9">
        <f t="shared" si="22"/>
        <v>27</v>
      </c>
      <c r="I118" s="10">
        <f t="shared" si="23"/>
        <v>18</v>
      </c>
    </row>
    <row r="119" spans="1:9" ht="12.75">
      <c r="A119" s="8" t="s">
        <v>17</v>
      </c>
      <c r="B119" s="9">
        <f t="shared" si="20"/>
        <v>12</v>
      </c>
      <c r="C119" s="8"/>
      <c r="D119" s="8">
        <v>29</v>
      </c>
      <c r="E119" s="8">
        <v>6</v>
      </c>
      <c r="F119" s="8">
        <v>3</v>
      </c>
      <c r="G119" s="9">
        <f t="shared" si="21"/>
        <v>3</v>
      </c>
      <c r="H119" s="9">
        <f t="shared" si="22"/>
        <v>38</v>
      </c>
      <c r="I119" s="10">
        <f t="shared" si="23"/>
        <v>18</v>
      </c>
    </row>
    <row r="120" spans="1:9" ht="12.75">
      <c r="A120" s="8" t="s">
        <v>18</v>
      </c>
      <c r="B120" s="9">
        <f t="shared" si="20"/>
        <v>8</v>
      </c>
      <c r="C120" s="8"/>
      <c r="D120" s="8">
        <v>35</v>
      </c>
      <c r="E120" s="8">
        <v>7</v>
      </c>
      <c r="F120" s="8">
        <v>6</v>
      </c>
      <c r="G120" s="9">
        <f t="shared" si="21"/>
        <v>1</v>
      </c>
      <c r="H120" s="9">
        <f t="shared" si="22"/>
        <v>42</v>
      </c>
      <c r="I120" s="10">
        <f t="shared" si="23"/>
        <v>6</v>
      </c>
    </row>
    <row r="121" spans="1:9" ht="12.75">
      <c r="A121" s="8" t="s">
        <v>19</v>
      </c>
      <c r="B121" s="9">
        <f t="shared" si="20"/>
        <v>27</v>
      </c>
      <c r="C121" s="8"/>
      <c r="D121" s="8"/>
      <c r="E121" s="8">
        <v>6</v>
      </c>
      <c r="F121" s="8">
        <v>5</v>
      </c>
      <c r="G121" s="9">
        <f t="shared" si="21"/>
        <v>1</v>
      </c>
      <c r="H121" s="9">
        <f t="shared" si="22"/>
        <v>26</v>
      </c>
      <c r="I121" s="10">
        <f t="shared" si="23"/>
        <v>6</v>
      </c>
    </row>
    <row r="122" spans="1:9" ht="12.75">
      <c r="A122" s="8" t="s">
        <v>20</v>
      </c>
      <c r="B122" s="9">
        <f t="shared" si="20"/>
        <v>13</v>
      </c>
      <c r="C122" s="8"/>
      <c r="D122" s="8"/>
      <c r="E122" s="8">
        <v>6</v>
      </c>
      <c r="F122" s="8">
        <v>5</v>
      </c>
      <c r="G122" s="9">
        <f t="shared" si="21"/>
        <v>1</v>
      </c>
      <c r="H122" s="9">
        <f t="shared" si="22"/>
        <v>12</v>
      </c>
      <c r="I122" s="10">
        <f t="shared" si="23"/>
        <v>6</v>
      </c>
    </row>
    <row r="123" spans="1:9" ht="12.75">
      <c r="A123" s="8" t="s">
        <v>21</v>
      </c>
      <c r="B123" s="9">
        <f t="shared" si="20"/>
        <v>13</v>
      </c>
      <c r="C123" s="8"/>
      <c r="D123" s="8"/>
      <c r="E123" s="8">
        <v>2</v>
      </c>
      <c r="F123" s="8">
        <v>2</v>
      </c>
      <c r="G123" s="9">
        <f t="shared" si="21"/>
        <v>0</v>
      </c>
      <c r="H123" s="9">
        <f t="shared" si="22"/>
        <v>13</v>
      </c>
      <c r="I123" s="10">
        <f t="shared" si="23"/>
        <v>0</v>
      </c>
    </row>
    <row r="124" spans="1:9" ht="12.75">
      <c r="A124" s="8" t="s">
        <v>22</v>
      </c>
      <c r="B124" s="9">
        <f t="shared" si="20"/>
        <v>27</v>
      </c>
      <c r="C124" s="8"/>
      <c r="D124" s="8"/>
      <c r="E124" s="8">
        <v>6</v>
      </c>
      <c r="F124" s="8">
        <v>5</v>
      </c>
      <c r="G124" s="9">
        <f t="shared" si="21"/>
        <v>1</v>
      </c>
      <c r="H124" s="9">
        <f t="shared" si="22"/>
        <v>26</v>
      </c>
      <c r="I124" s="10">
        <f t="shared" si="23"/>
        <v>6</v>
      </c>
    </row>
    <row r="125" spans="1:9" ht="12.75">
      <c r="A125" s="8" t="s">
        <v>23</v>
      </c>
      <c r="B125" s="9">
        <f t="shared" si="20"/>
        <v>34</v>
      </c>
      <c r="C125" s="8">
        <v>1</v>
      </c>
      <c r="D125" s="8"/>
      <c r="E125" s="8">
        <v>6</v>
      </c>
      <c r="F125" s="8">
        <v>3</v>
      </c>
      <c r="G125" s="9">
        <f t="shared" si="21"/>
        <v>3</v>
      </c>
      <c r="H125" s="9">
        <f t="shared" si="22"/>
        <v>30</v>
      </c>
      <c r="I125" s="10">
        <f t="shared" si="23"/>
        <v>18</v>
      </c>
    </row>
    <row r="126" spans="1:9" ht="12.75">
      <c r="A126" s="8" t="s">
        <v>24</v>
      </c>
      <c r="B126" s="9">
        <f t="shared" si="20"/>
        <v>4</v>
      </c>
      <c r="C126" s="8"/>
      <c r="D126" s="8">
        <v>29</v>
      </c>
      <c r="E126" s="8">
        <v>5</v>
      </c>
      <c r="F126" s="8">
        <v>3</v>
      </c>
      <c r="G126" s="9">
        <f t="shared" si="21"/>
        <v>2</v>
      </c>
      <c r="H126" s="9">
        <f t="shared" si="22"/>
        <v>31</v>
      </c>
      <c r="I126" s="10">
        <f t="shared" si="23"/>
        <v>12</v>
      </c>
    </row>
    <row r="127" spans="1:9" ht="12.75">
      <c r="A127" s="8" t="s">
        <v>25</v>
      </c>
      <c r="B127" s="9">
        <f t="shared" si="20"/>
        <v>37</v>
      </c>
      <c r="C127" s="8"/>
      <c r="D127" s="8"/>
      <c r="E127" s="8">
        <v>14</v>
      </c>
      <c r="F127" s="8">
        <v>4</v>
      </c>
      <c r="G127" s="9">
        <f t="shared" si="21"/>
        <v>10</v>
      </c>
      <c r="H127" s="9">
        <f t="shared" si="22"/>
        <v>27</v>
      </c>
      <c r="I127" s="10">
        <f t="shared" si="23"/>
        <v>60</v>
      </c>
    </row>
    <row r="128" spans="1:9" ht="12.75">
      <c r="A128" s="8" t="s">
        <v>26</v>
      </c>
      <c r="B128" s="9">
        <f t="shared" si="20"/>
        <v>13</v>
      </c>
      <c r="C128" s="8"/>
      <c r="D128" s="8"/>
      <c r="E128" s="20">
        <v>6</v>
      </c>
      <c r="F128" s="8">
        <v>6</v>
      </c>
      <c r="G128" s="9">
        <f t="shared" si="21"/>
        <v>0</v>
      </c>
      <c r="H128" s="9">
        <f t="shared" si="22"/>
        <v>13</v>
      </c>
      <c r="I128" s="10">
        <f t="shared" si="23"/>
        <v>0</v>
      </c>
    </row>
    <row r="129" spans="1:9" ht="12.75">
      <c r="A129" s="8" t="s">
        <v>27</v>
      </c>
      <c r="B129" s="9">
        <f t="shared" si="20"/>
        <v>12</v>
      </c>
      <c r="C129" s="8"/>
      <c r="D129" s="8"/>
      <c r="E129" s="8">
        <v>4</v>
      </c>
      <c r="F129" s="8">
        <v>2</v>
      </c>
      <c r="G129" s="9">
        <f t="shared" si="21"/>
        <v>2</v>
      </c>
      <c r="H129" s="9">
        <f t="shared" si="22"/>
        <v>10</v>
      </c>
      <c r="I129" s="10">
        <f t="shared" si="23"/>
        <v>12</v>
      </c>
    </row>
    <row r="130" spans="1:9" ht="12.75">
      <c r="A130" s="8" t="s">
        <v>28</v>
      </c>
      <c r="B130" s="9">
        <f t="shared" si="20"/>
        <v>34</v>
      </c>
      <c r="C130" s="8"/>
      <c r="D130" s="8"/>
      <c r="E130" s="8">
        <v>9</v>
      </c>
      <c r="F130" s="8">
        <v>8</v>
      </c>
      <c r="G130" s="9">
        <f t="shared" si="21"/>
        <v>1</v>
      </c>
      <c r="H130" s="9">
        <f t="shared" si="22"/>
        <v>33</v>
      </c>
      <c r="I130" s="10">
        <f t="shared" si="23"/>
        <v>6</v>
      </c>
    </row>
    <row r="131" spans="1:9" ht="12.75">
      <c r="A131" s="8" t="s">
        <v>30</v>
      </c>
      <c r="B131" s="9">
        <f t="shared" si="20"/>
        <v>13</v>
      </c>
      <c r="C131" s="8"/>
      <c r="D131" s="8"/>
      <c r="E131" s="8">
        <v>3</v>
      </c>
      <c r="F131" s="8">
        <v>1</v>
      </c>
      <c r="G131" s="9">
        <f t="shared" si="21"/>
        <v>2</v>
      </c>
      <c r="H131" s="9">
        <f t="shared" si="22"/>
        <v>11</v>
      </c>
      <c r="I131" s="10">
        <f t="shared" si="23"/>
        <v>12</v>
      </c>
    </row>
    <row r="132" spans="1:9" ht="12.75">
      <c r="A132" s="13" t="s">
        <v>31</v>
      </c>
      <c r="B132" s="9">
        <v>21</v>
      </c>
      <c r="C132" s="8"/>
      <c r="D132" s="8"/>
      <c r="E132" s="8">
        <v>3</v>
      </c>
      <c r="F132" s="8">
        <v>3</v>
      </c>
      <c r="G132" s="9">
        <f t="shared" si="21"/>
        <v>0</v>
      </c>
      <c r="H132" s="9">
        <f t="shared" si="22"/>
        <v>21</v>
      </c>
      <c r="I132" s="10">
        <f t="shared" si="23"/>
        <v>0</v>
      </c>
    </row>
    <row r="133" spans="1:9" ht="12.75">
      <c r="A133" s="13" t="s">
        <v>32</v>
      </c>
      <c r="B133" s="9">
        <f>H105</f>
        <v>19</v>
      </c>
      <c r="C133" s="8"/>
      <c r="D133" s="8"/>
      <c r="E133" s="8">
        <v>2</v>
      </c>
      <c r="F133" s="8">
        <v>2</v>
      </c>
      <c r="G133" s="9">
        <f t="shared" si="21"/>
        <v>0</v>
      </c>
      <c r="H133" s="9">
        <f t="shared" si="22"/>
        <v>19</v>
      </c>
      <c r="I133" s="10">
        <f t="shared" si="23"/>
        <v>0</v>
      </c>
    </row>
    <row r="134" spans="1:9" ht="12.75">
      <c r="A134" s="14" t="s">
        <v>33</v>
      </c>
      <c r="B134" s="15">
        <f>SUM(B112:B133)</f>
        <v>487</v>
      </c>
      <c r="C134" s="14"/>
      <c r="D134" s="14"/>
      <c r="E134" s="15">
        <f t="shared" ref="E134:G134" si="24">SUM(E111:E133)</f>
        <v>136</v>
      </c>
      <c r="F134" s="15">
        <f t="shared" si="24"/>
        <v>79</v>
      </c>
      <c r="G134" s="15">
        <f t="shared" si="24"/>
        <v>57</v>
      </c>
      <c r="H134" s="15">
        <f>SUM(H112:H133)</f>
        <v>521</v>
      </c>
      <c r="I134" s="16">
        <f>SUM(I111:I133)</f>
        <v>342</v>
      </c>
    </row>
    <row r="135" spans="1:9" ht="12.75">
      <c r="A135" s="17"/>
      <c r="B135" s="17"/>
      <c r="C135" s="17"/>
      <c r="D135" s="17"/>
      <c r="E135" s="17"/>
      <c r="F135" s="134" t="s">
        <v>34</v>
      </c>
      <c r="G135" s="133"/>
      <c r="H135" s="18"/>
      <c r="I135" s="19"/>
    </row>
    <row r="136" spans="1:9" ht="12.75">
      <c r="A136" s="17"/>
      <c r="B136" s="24"/>
      <c r="C136" s="24"/>
      <c r="D136" s="24"/>
      <c r="E136" s="135" t="s">
        <v>87</v>
      </c>
      <c r="F136" s="132"/>
      <c r="G136" s="133"/>
      <c r="H136" s="25"/>
      <c r="I136" s="26">
        <f>SUM(I112:I133)</f>
        <v>342</v>
      </c>
    </row>
    <row r="138" spans="1:9">
      <c r="A138" s="1"/>
      <c r="B138" s="131" t="s">
        <v>92</v>
      </c>
      <c r="C138" s="132"/>
      <c r="D138" s="132"/>
      <c r="E138" s="132"/>
      <c r="F138" s="132"/>
      <c r="G138" s="132"/>
      <c r="H138" s="132"/>
      <c r="I138" s="133"/>
    </row>
    <row r="139" spans="1:9" ht="45">
      <c r="A139" s="2" t="s">
        <v>1</v>
      </c>
      <c r="B139" s="3" t="s">
        <v>2</v>
      </c>
      <c r="C139" s="4" t="s">
        <v>3</v>
      </c>
      <c r="D139" s="5" t="s">
        <v>4</v>
      </c>
      <c r="E139" s="2" t="s">
        <v>5</v>
      </c>
      <c r="F139" s="2" t="s">
        <v>6</v>
      </c>
      <c r="G139" s="2" t="s">
        <v>7</v>
      </c>
      <c r="H139" s="6" t="s">
        <v>8</v>
      </c>
      <c r="I139" s="7" t="s">
        <v>9</v>
      </c>
    </row>
    <row r="140" spans="1:9" ht="12.75">
      <c r="A140" s="8" t="s">
        <v>10</v>
      </c>
      <c r="B140" s="9">
        <f t="shared" ref="B140:B159" si="25">H112</f>
        <v>15</v>
      </c>
      <c r="C140" s="8"/>
      <c r="D140" s="8"/>
      <c r="E140" s="8">
        <v>6</v>
      </c>
      <c r="F140" s="8">
        <v>6</v>
      </c>
      <c r="G140" s="9">
        <f t="shared" ref="G140:G161" si="26">E140-F140</f>
        <v>0</v>
      </c>
      <c r="H140" s="9">
        <f t="shared" ref="H140:H161" si="27">B140-C140+D140-G140</f>
        <v>15</v>
      </c>
      <c r="I140" s="10">
        <f t="shared" ref="I140:I161" si="28">G140*6</f>
        <v>0</v>
      </c>
    </row>
    <row r="141" spans="1:9" ht="12.75">
      <c r="A141" s="8" t="s">
        <v>11</v>
      </c>
      <c r="B141" s="9">
        <f t="shared" si="25"/>
        <v>31</v>
      </c>
      <c r="C141" s="8"/>
      <c r="D141" s="8"/>
      <c r="E141" s="8">
        <v>6</v>
      </c>
      <c r="F141" s="8">
        <v>3</v>
      </c>
      <c r="G141" s="9">
        <f t="shared" si="26"/>
        <v>3</v>
      </c>
      <c r="H141" s="9">
        <f t="shared" si="27"/>
        <v>28</v>
      </c>
      <c r="I141" s="10">
        <f t="shared" si="28"/>
        <v>18</v>
      </c>
    </row>
    <row r="142" spans="1:9" ht="12.75">
      <c r="A142" s="8" t="s">
        <v>12</v>
      </c>
      <c r="B142" s="9">
        <f t="shared" si="25"/>
        <v>28</v>
      </c>
      <c r="C142" s="8"/>
      <c r="D142" s="8"/>
      <c r="E142" s="8">
        <v>6</v>
      </c>
      <c r="F142" s="8">
        <v>6</v>
      </c>
      <c r="G142" s="9">
        <f t="shared" si="26"/>
        <v>0</v>
      </c>
      <c r="H142" s="9">
        <f t="shared" si="27"/>
        <v>28</v>
      </c>
      <c r="I142" s="10">
        <f t="shared" si="28"/>
        <v>0</v>
      </c>
    </row>
    <row r="143" spans="1:9" ht="12.75">
      <c r="A143" s="8" t="s">
        <v>13</v>
      </c>
      <c r="B143" s="9">
        <f t="shared" si="25"/>
        <v>30</v>
      </c>
      <c r="C143" s="8"/>
      <c r="D143" s="8"/>
      <c r="E143" s="8">
        <v>6</v>
      </c>
      <c r="F143" s="8">
        <v>5</v>
      </c>
      <c r="G143" s="9">
        <f t="shared" si="26"/>
        <v>1</v>
      </c>
      <c r="H143" s="9">
        <f t="shared" si="27"/>
        <v>29</v>
      </c>
      <c r="I143" s="10">
        <f t="shared" si="28"/>
        <v>6</v>
      </c>
    </row>
    <row r="144" spans="1:9" ht="12.75">
      <c r="A144" s="8" t="s">
        <v>14</v>
      </c>
      <c r="B144" s="9">
        <f t="shared" si="25"/>
        <v>12</v>
      </c>
      <c r="C144" s="8"/>
      <c r="D144" s="8"/>
      <c r="E144" s="20">
        <v>4</v>
      </c>
      <c r="F144" s="8">
        <v>1</v>
      </c>
      <c r="G144" s="9">
        <f t="shared" si="26"/>
        <v>3</v>
      </c>
      <c r="H144" s="9">
        <f t="shared" si="27"/>
        <v>9</v>
      </c>
      <c r="I144" s="10">
        <f t="shared" si="28"/>
        <v>18</v>
      </c>
    </row>
    <row r="145" spans="1:9" ht="12.75">
      <c r="A145" s="8" t="s">
        <v>15</v>
      </c>
      <c r="B145" s="9">
        <f t="shared" si="25"/>
        <v>26</v>
      </c>
      <c r="C145" s="8"/>
      <c r="D145" s="8"/>
      <c r="E145" s="8">
        <v>6</v>
      </c>
      <c r="F145" s="8">
        <v>4</v>
      </c>
      <c r="G145" s="9">
        <f t="shared" si="26"/>
        <v>2</v>
      </c>
      <c r="H145" s="9">
        <f t="shared" si="27"/>
        <v>24</v>
      </c>
      <c r="I145" s="10">
        <f t="shared" si="28"/>
        <v>12</v>
      </c>
    </row>
    <row r="146" spans="1:9" ht="12.75">
      <c r="A146" s="8" t="s">
        <v>16</v>
      </c>
      <c r="B146" s="9">
        <f t="shared" si="25"/>
        <v>27</v>
      </c>
      <c r="C146" s="8"/>
      <c r="D146" s="8"/>
      <c r="E146" s="8">
        <v>5</v>
      </c>
      <c r="F146" s="8">
        <v>4</v>
      </c>
      <c r="G146" s="9">
        <f t="shared" si="26"/>
        <v>1</v>
      </c>
      <c r="H146" s="9">
        <f t="shared" si="27"/>
        <v>26</v>
      </c>
      <c r="I146" s="10">
        <f t="shared" si="28"/>
        <v>6</v>
      </c>
    </row>
    <row r="147" spans="1:9" ht="12.75">
      <c r="A147" s="8" t="s">
        <v>17</v>
      </c>
      <c r="B147" s="9">
        <f t="shared" si="25"/>
        <v>38</v>
      </c>
      <c r="C147" s="8"/>
      <c r="D147" s="8"/>
      <c r="E147" s="8">
        <v>4</v>
      </c>
      <c r="F147" s="8">
        <v>2</v>
      </c>
      <c r="G147" s="9">
        <f t="shared" si="26"/>
        <v>2</v>
      </c>
      <c r="H147" s="9">
        <f t="shared" si="27"/>
        <v>36</v>
      </c>
      <c r="I147" s="10">
        <f t="shared" si="28"/>
        <v>12</v>
      </c>
    </row>
    <row r="148" spans="1:9" ht="12.75">
      <c r="A148" s="8" t="s">
        <v>18</v>
      </c>
      <c r="B148" s="9">
        <f t="shared" si="25"/>
        <v>42</v>
      </c>
      <c r="C148" s="8"/>
      <c r="D148" s="8"/>
      <c r="E148" s="8">
        <v>6</v>
      </c>
      <c r="F148" s="8">
        <v>5</v>
      </c>
      <c r="G148" s="9">
        <f t="shared" si="26"/>
        <v>1</v>
      </c>
      <c r="H148" s="9">
        <f t="shared" si="27"/>
        <v>41</v>
      </c>
      <c r="I148" s="10">
        <f t="shared" si="28"/>
        <v>6</v>
      </c>
    </row>
    <row r="149" spans="1:9" ht="12.75">
      <c r="A149" s="8" t="s">
        <v>19</v>
      </c>
      <c r="B149" s="9">
        <f t="shared" si="25"/>
        <v>26</v>
      </c>
      <c r="C149" s="8"/>
      <c r="D149" s="8"/>
      <c r="E149" s="8">
        <v>6</v>
      </c>
      <c r="F149" s="8">
        <v>5</v>
      </c>
      <c r="G149" s="9">
        <f t="shared" si="26"/>
        <v>1</v>
      </c>
      <c r="H149" s="9">
        <f t="shared" si="27"/>
        <v>25</v>
      </c>
      <c r="I149" s="10">
        <f t="shared" si="28"/>
        <v>6</v>
      </c>
    </row>
    <row r="150" spans="1:9" ht="12.75">
      <c r="A150" s="8" t="s">
        <v>20</v>
      </c>
      <c r="B150" s="9">
        <f t="shared" si="25"/>
        <v>12</v>
      </c>
      <c r="C150" s="8"/>
      <c r="D150" s="8"/>
      <c r="E150" s="8">
        <v>6</v>
      </c>
      <c r="F150" s="8">
        <v>3</v>
      </c>
      <c r="G150" s="9">
        <f t="shared" si="26"/>
        <v>3</v>
      </c>
      <c r="H150" s="9">
        <f t="shared" si="27"/>
        <v>9</v>
      </c>
      <c r="I150" s="10">
        <f t="shared" si="28"/>
        <v>18</v>
      </c>
    </row>
    <row r="151" spans="1:9" ht="12.75">
      <c r="A151" s="8" t="s">
        <v>21</v>
      </c>
      <c r="B151" s="9">
        <f t="shared" si="25"/>
        <v>13</v>
      </c>
      <c r="C151" s="8"/>
      <c r="D151" s="8"/>
      <c r="E151" s="8">
        <v>2</v>
      </c>
      <c r="F151" s="8">
        <v>2</v>
      </c>
      <c r="G151" s="9">
        <f t="shared" si="26"/>
        <v>0</v>
      </c>
      <c r="H151" s="9">
        <f t="shared" si="27"/>
        <v>13</v>
      </c>
      <c r="I151" s="10">
        <f t="shared" si="28"/>
        <v>0</v>
      </c>
    </row>
    <row r="152" spans="1:9" ht="12.75">
      <c r="A152" s="8" t="s">
        <v>22</v>
      </c>
      <c r="B152" s="9">
        <f t="shared" si="25"/>
        <v>26</v>
      </c>
      <c r="C152" s="8"/>
      <c r="D152" s="8"/>
      <c r="E152" s="8">
        <v>5</v>
      </c>
      <c r="F152" s="8">
        <v>5</v>
      </c>
      <c r="G152" s="9">
        <f t="shared" si="26"/>
        <v>0</v>
      </c>
      <c r="H152" s="9">
        <f t="shared" si="27"/>
        <v>26</v>
      </c>
      <c r="I152" s="10">
        <f t="shared" si="28"/>
        <v>0</v>
      </c>
    </row>
    <row r="153" spans="1:9" ht="12.75">
      <c r="A153" s="8" t="s">
        <v>23</v>
      </c>
      <c r="B153" s="9">
        <f t="shared" si="25"/>
        <v>30</v>
      </c>
      <c r="C153" s="8"/>
      <c r="D153" s="8"/>
      <c r="E153" s="8">
        <v>6</v>
      </c>
      <c r="F153" s="8">
        <v>4</v>
      </c>
      <c r="G153" s="9">
        <f t="shared" si="26"/>
        <v>2</v>
      </c>
      <c r="H153" s="9">
        <f t="shared" si="27"/>
        <v>28</v>
      </c>
      <c r="I153" s="10">
        <f t="shared" si="28"/>
        <v>12</v>
      </c>
    </row>
    <row r="154" spans="1:9" ht="12.75">
      <c r="A154" s="8" t="s">
        <v>24</v>
      </c>
      <c r="B154" s="9">
        <f t="shared" si="25"/>
        <v>31</v>
      </c>
      <c r="C154" s="8"/>
      <c r="D154" s="8"/>
      <c r="E154" s="8">
        <v>4</v>
      </c>
      <c r="F154" s="8">
        <v>4</v>
      </c>
      <c r="G154" s="9">
        <f t="shared" si="26"/>
        <v>0</v>
      </c>
      <c r="H154" s="9">
        <f t="shared" si="27"/>
        <v>31</v>
      </c>
      <c r="I154" s="10">
        <f t="shared" si="28"/>
        <v>0</v>
      </c>
    </row>
    <row r="155" spans="1:9" ht="12.75">
      <c r="A155" s="8" t="s">
        <v>25</v>
      </c>
      <c r="B155" s="9">
        <f t="shared" si="25"/>
        <v>27</v>
      </c>
      <c r="C155" s="8"/>
      <c r="D155" s="8"/>
      <c r="E155" s="8">
        <v>10</v>
      </c>
      <c r="F155" s="8">
        <v>5</v>
      </c>
      <c r="G155" s="9">
        <f t="shared" si="26"/>
        <v>5</v>
      </c>
      <c r="H155" s="9">
        <f t="shared" si="27"/>
        <v>22</v>
      </c>
      <c r="I155" s="10">
        <f t="shared" si="28"/>
        <v>30</v>
      </c>
    </row>
    <row r="156" spans="1:9" ht="12.75">
      <c r="A156" s="8" t="s">
        <v>26</v>
      </c>
      <c r="B156" s="9">
        <f t="shared" si="25"/>
        <v>13</v>
      </c>
      <c r="C156" s="8"/>
      <c r="D156" s="8"/>
      <c r="E156" s="8">
        <v>6</v>
      </c>
      <c r="F156" s="8">
        <v>4</v>
      </c>
      <c r="G156" s="9">
        <f t="shared" si="26"/>
        <v>2</v>
      </c>
      <c r="H156" s="9">
        <f t="shared" si="27"/>
        <v>11</v>
      </c>
      <c r="I156" s="10">
        <f t="shared" si="28"/>
        <v>12</v>
      </c>
    </row>
    <row r="157" spans="1:9" ht="12.75">
      <c r="A157" s="8" t="s">
        <v>27</v>
      </c>
      <c r="B157" s="9">
        <f t="shared" si="25"/>
        <v>10</v>
      </c>
      <c r="C157" s="8"/>
      <c r="D157" s="8"/>
      <c r="E157" s="8">
        <v>4</v>
      </c>
      <c r="F157" s="8">
        <v>2</v>
      </c>
      <c r="G157" s="9">
        <f t="shared" si="26"/>
        <v>2</v>
      </c>
      <c r="H157" s="9">
        <f t="shared" si="27"/>
        <v>8</v>
      </c>
      <c r="I157" s="10">
        <f t="shared" si="28"/>
        <v>12</v>
      </c>
    </row>
    <row r="158" spans="1:9" ht="12.75">
      <c r="A158" s="8" t="s">
        <v>28</v>
      </c>
      <c r="B158" s="9">
        <f t="shared" si="25"/>
        <v>33</v>
      </c>
      <c r="C158" s="8"/>
      <c r="D158" s="8"/>
      <c r="E158" s="8">
        <v>8</v>
      </c>
      <c r="F158" s="8">
        <v>6</v>
      </c>
      <c r="G158" s="9">
        <f t="shared" si="26"/>
        <v>2</v>
      </c>
      <c r="H158" s="9">
        <f t="shared" si="27"/>
        <v>31</v>
      </c>
      <c r="I158" s="10">
        <f t="shared" si="28"/>
        <v>12</v>
      </c>
    </row>
    <row r="159" spans="1:9" ht="12.75">
      <c r="A159" s="8" t="s">
        <v>30</v>
      </c>
      <c r="B159" s="9">
        <f t="shared" si="25"/>
        <v>11</v>
      </c>
      <c r="C159" s="8"/>
      <c r="D159" s="8"/>
      <c r="E159" s="8">
        <v>2</v>
      </c>
      <c r="F159" s="8">
        <v>1</v>
      </c>
      <c r="G159" s="9">
        <f t="shared" si="26"/>
        <v>1</v>
      </c>
      <c r="H159" s="9">
        <f t="shared" si="27"/>
        <v>10</v>
      </c>
      <c r="I159" s="10">
        <f t="shared" si="28"/>
        <v>6</v>
      </c>
    </row>
    <row r="160" spans="1:9" ht="12.75">
      <c r="A160" s="13" t="s">
        <v>31</v>
      </c>
      <c r="B160" s="9">
        <v>21</v>
      </c>
      <c r="C160" s="8"/>
      <c r="D160" s="8"/>
      <c r="E160" s="8">
        <v>3</v>
      </c>
      <c r="F160" s="8">
        <v>2</v>
      </c>
      <c r="G160" s="9">
        <f t="shared" si="26"/>
        <v>1</v>
      </c>
      <c r="H160" s="9">
        <f t="shared" si="27"/>
        <v>20</v>
      </c>
      <c r="I160" s="10">
        <f t="shared" si="28"/>
        <v>6</v>
      </c>
    </row>
    <row r="161" spans="1:9" ht="12.75">
      <c r="A161" s="13" t="s">
        <v>32</v>
      </c>
      <c r="B161" s="9">
        <f>H133</f>
        <v>19</v>
      </c>
      <c r="C161" s="8"/>
      <c r="D161" s="8"/>
      <c r="E161" s="8">
        <v>2</v>
      </c>
      <c r="F161" s="8">
        <v>2</v>
      </c>
      <c r="G161" s="9">
        <f t="shared" si="26"/>
        <v>0</v>
      </c>
      <c r="H161" s="9">
        <f t="shared" si="27"/>
        <v>19</v>
      </c>
      <c r="I161" s="10">
        <f t="shared" si="28"/>
        <v>0</v>
      </c>
    </row>
    <row r="162" spans="1:9" ht="12.75">
      <c r="A162" s="14" t="s">
        <v>33</v>
      </c>
      <c r="B162" s="15">
        <f>SUM(B140:B161)</f>
        <v>521</v>
      </c>
      <c r="C162" s="14"/>
      <c r="D162" s="14"/>
      <c r="E162" s="15">
        <f t="shared" ref="E162:G162" si="29">SUM(E139:E161)</f>
        <v>113</v>
      </c>
      <c r="F162" s="15">
        <f t="shared" si="29"/>
        <v>81</v>
      </c>
      <c r="G162" s="15">
        <f t="shared" si="29"/>
        <v>32</v>
      </c>
      <c r="H162" s="15">
        <f>SUM(H140:H161)</f>
        <v>489</v>
      </c>
      <c r="I162" s="16">
        <f>SUM(I139:I161)</f>
        <v>192</v>
      </c>
    </row>
    <row r="163" spans="1:9" ht="12.75">
      <c r="A163" s="17"/>
      <c r="B163" s="17"/>
      <c r="C163" s="17"/>
      <c r="D163" s="17"/>
      <c r="E163" s="17"/>
      <c r="F163" s="134" t="s">
        <v>34</v>
      </c>
      <c r="G163" s="133"/>
      <c r="H163" s="18"/>
      <c r="I163" s="19"/>
    </row>
    <row r="164" spans="1:9" ht="12.75">
      <c r="A164" s="17"/>
      <c r="B164" s="24"/>
      <c r="C164" s="24"/>
      <c r="D164" s="24"/>
      <c r="E164" s="135" t="s">
        <v>87</v>
      </c>
      <c r="F164" s="132"/>
      <c r="G164" s="133"/>
      <c r="H164" s="25"/>
      <c r="I164" s="26">
        <f>SUM(I140:I161)</f>
        <v>192</v>
      </c>
    </row>
    <row r="166" spans="1:9">
      <c r="A166" s="1"/>
      <c r="B166" s="131" t="s">
        <v>93</v>
      </c>
      <c r="C166" s="132"/>
      <c r="D166" s="132"/>
      <c r="E166" s="132"/>
      <c r="F166" s="132"/>
      <c r="G166" s="132"/>
      <c r="H166" s="132"/>
      <c r="I166" s="133"/>
    </row>
    <row r="167" spans="1:9" ht="45">
      <c r="A167" s="2" t="s">
        <v>1</v>
      </c>
      <c r="B167" s="3" t="s">
        <v>2</v>
      </c>
      <c r="C167" s="4" t="s">
        <v>3</v>
      </c>
      <c r="D167" s="5" t="s">
        <v>4</v>
      </c>
      <c r="E167" s="2" t="s">
        <v>5</v>
      </c>
      <c r="F167" s="2" t="s">
        <v>6</v>
      </c>
      <c r="G167" s="2" t="s">
        <v>7</v>
      </c>
      <c r="H167" s="6" t="s">
        <v>8</v>
      </c>
      <c r="I167" s="7" t="s">
        <v>9</v>
      </c>
    </row>
    <row r="168" spans="1:9" ht="12.75">
      <c r="A168" s="8" t="s">
        <v>10</v>
      </c>
      <c r="B168" s="9">
        <f t="shared" ref="B168:B187" si="30">H140</f>
        <v>15</v>
      </c>
      <c r="C168" s="8"/>
      <c r="D168" s="8"/>
      <c r="E168" s="8">
        <v>6</v>
      </c>
      <c r="F168" s="8">
        <v>4</v>
      </c>
      <c r="G168" s="9">
        <f t="shared" ref="G168:G189" si="31">E168-F168</f>
        <v>2</v>
      </c>
      <c r="H168" s="9">
        <f t="shared" ref="H168:H189" si="32">B168-C168+D168-G168</f>
        <v>13</v>
      </c>
      <c r="I168" s="10">
        <f t="shared" ref="I168:I189" si="33">G168*6</f>
        <v>12</v>
      </c>
    </row>
    <row r="169" spans="1:9" ht="12.75">
      <c r="A169" s="8" t="s">
        <v>11</v>
      </c>
      <c r="B169" s="9">
        <f t="shared" si="30"/>
        <v>28</v>
      </c>
      <c r="C169" s="8"/>
      <c r="D169" s="8"/>
      <c r="E169" s="8">
        <v>6</v>
      </c>
      <c r="F169" s="8">
        <v>5</v>
      </c>
      <c r="G169" s="9">
        <f t="shared" si="31"/>
        <v>1</v>
      </c>
      <c r="H169" s="9">
        <f t="shared" si="32"/>
        <v>27</v>
      </c>
      <c r="I169" s="10">
        <f t="shared" si="33"/>
        <v>6</v>
      </c>
    </row>
    <row r="170" spans="1:9" ht="12.75">
      <c r="A170" s="8" t="s">
        <v>12</v>
      </c>
      <c r="B170" s="9">
        <f t="shared" si="30"/>
        <v>28</v>
      </c>
      <c r="C170" s="8"/>
      <c r="D170" s="8"/>
      <c r="E170" s="8">
        <v>6</v>
      </c>
      <c r="F170" s="8">
        <v>0</v>
      </c>
      <c r="G170" s="9">
        <f t="shared" si="31"/>
        <v>6</v>
      </c>
      <c r="H170" s="9">
        <f t="shared" si="32"/>
        <v>22</v>
      </c>
      <c r="I170" s="10">
        <f t="shared" si="33"/>
        <v>36</v>
      </c>
    </row>
    <row r="171" spans="1:9" ht="12.75">
      <c r="A171" s="8" t="s">
        <v>13</v>
      </c>
      <c r="B171" s="9">
        <f t="shared" si="30"/>
        <v>29</v>
      </c>
      <c r="C171" s="8"/>
      <c r="D171" s="8"/>
      <c r="E171" s="8">
        <v>6</v>
      </c>
      <c r="F171" s="8">
        <v>3</v>
      </c>
      <c r="G171" s="9">
        <f t="shared" si="31"/>
        <v>3</v>
      </c>
      <c r="H171" s="9">
        <f t="shared" si="32"/>
        <v>26</v>
      </c>
      <c r="I171" s="10">
        <f t="shared" si="33"/>
        <v>18</v>
      </c>
    </row>
    <row r="172" spans="1:9" ht="12.75">
      <c r="A172" s="8" t="s">
        <v>14</v>
      </c>
      <c r="B172" s="9">
        <f t="shared" si="30"/>
        <v>9</v>
      </c>
      <c r="C172" s="8"/>
      <c r="D172" s="8"/>
      <c r="E172" s="20">
        <v>4</v>
      </c>
      <c r="F172" s="8">
        <v>4</v>
      </c>
      <c r="G172" s="9">
        <f t="shared" si="31"/>
        <v>0</v>
      </c>
      <c r="H172" s="9">
        <f t="shared" si="32"/>
        <v>9</v>
      </c>
      <c r="I172" s="10">
        <f t="shared" si="33"/>
        <v>0</v>
      </c>
    </row>
    <row r="173" spans="1:9" ht="12.75">
      <c r="A173" s="8" t="s">
        <v>15</v>
      </c>
      <c r="B173" s="9">
        <f t="shared" si="30"/>
        <v>24</v>
      </c>
      <c r="C173" s="8"/>
      <c r="D173" s="8"/>
      <c r="E173" s="8">
        <v>6</v>
      </c>
      <c r="F173" s="8">
        <v>5</v>
      </c>
      <c r="G173" s="9">
        <f t="shared" si="31"/>
        <v>1</v>
      </c>
      <c r="H173" s="9">
        <f t="shared" si="32"/>
        <v>23</v>
      </c>
      <c r="I173" s="10">
        <f t="shared" si="33"/>
        <v>6</v>
      </c>
    </row>
    <row r="174" spans="1:9" ht="12.75">
      <c r="A174" s="8" t="s">
        <v>16</v>
      </c>
      <c r="B174" s="9">
        <f t="shared" si="30"/>
        <v>26</v>
      </c>
      <c r="C174" s="8"/>
      <c r="D174" s="8"/>
      <c r="E174" s="8">
        <v>5</v>
      </c>
      <c r="F174" s="8">
        <v>5</v>
      </c>
      <c r="G174" s="9">
        <f t="shared" si="31"/>
        <v>0</v>
      </c>
      <c r="H174" s="9">
        <f t="shared" si="32"/>
        <v>26</v>
      </c>
      <c r="I174" s="10">
        <f t="shared" si="33"/>
        <v>0</v>
      </c>
    </row>
    <row r="175" spans="1:9" ht="12.75">
      <c r="A175" s="8" t="s">
        <v>17</v>
      </c>
      <c r="B175" s="9">
        <f t="shared" si="30"/>
        <v>36</v>
      </c>
      <c r="C175" s="8"/>
      <c r="D175" s="8"/>
      <c r="E175" s="8">
        <v>4</v>
      </c>
      <c r="F175" s="8">
        <v>2</v>
      </c>
      <c r="G175" s="9">
        <f t="shared" si="31"/>
        <v>2</v>
      </c>
      <c r="H175" s="9">
        <f t="shared" si="32"/>
        <v>34</v>
      </c>
      <c r="I175" s="10">
        <f t="shared" si="33"/>
        <v>12</v>
      </c>
    </row>
    <row r="176" spans="1:9" ht="12.75">
      <c r="A176" s="8" t="s">
        <v>18</v>
      </c>
      <c r="B176" s="9">
        <f t="shared" si="30"/>
        <v>41</v>
      </c>
      <c r="C176" s="8"/>
      <c r="D176" s="8"/>
      <c r="E176" s="8">
        <v>6</v>
      </c>
      <c r="F176" s="8">
        <v>3</v>
      </c>
      <c r="G176" s="9">
        <f t="shared" si="31"/>
        <v>3</v>
      </c>
      <c r="H176" s="9">
        <f t="shared" si="32"/>
        <v>38</v>
      </c>
      <c r="I176" s="10">
        <f t="shared" si="33"/>
        <v>18</v>
      </c>
    </row>
    <row r="177" spans="1:9" ht="12.75">
      <c r="A177" s="8" t="s">
        <v>19</v>
      </c>
      <c r="B177" s="9">
        <f t="shared" si="30"/>
        <v>25</v>
      </c>
      <c r="C177" s="8"/>
      <c r="D177" s="8"/>
      <c r="E177" s="8">
        <v>6</v>
      </c>
      <c r="F177" s="8">
        <v>4</v>
      </c>
      <c r="G177" s="9">
        <f t="shared" si="31"/>
        <v>2</v>
      </c>
      <c r="H177" s="9">
        <f t="shared" si="32"/>
        <v>23</v>
      </c>
      <c r="I177" s="10">
        <f t="shared" si="33"/>
        <v>12</v>
      </c>
    </row>
    <row r="178" spans="1:9" ht="12.75">
      <c r="A178" s="8" t="s">
        <v>20</v>
      </c>
      <c r="B178" s="9">
        <f t="shared" si="30"/>
        <v>9</v>
      </c>
      <c r="C178" s="8"/>
      <c r="D178" s="8"/>
      <c r="E178" s="8">
        <v>6</v>
      </c>
      <c r="F178" s="8">
        <v>5</v>
      </c>
      <c r="G178" s="9">
        <f t="shared" si="31"/>
        <v>1</v>
      </c>
      <c r="H178" s="9">
        <f t="shared" si="32"/>
        <v>8</v>
      </c>
      <c r="I178" s="10">
        <f t="shared" si="33"/>
        <v>6</v>
      </c>
    </row>
    <row r="179" spans="1:9" ht="12.75">
      <c r="A179" s="8" t="s">
        <v>21</v>
      </c>
      <c r="B179" s="9">
        <f t="shared" si="30"/>
        <v>13</v>
      </c>
      <c r="C179" s="8"/>
      <c r="D179" s="8"/>
      <c r="E179" s="8">
        <v>2</v>
      </c>
      <c r="F179" s="8">
        <v>2</v>
      </c>
      <c r="G179" s="9">
        <f t="shared" si="31"/>
        <v>0</v>
      </c>
      <c r="H179" s="9">
        <f t="shared" si="32"/>
        <v>13</v>
      </c>
      <c r="I179" s="10">
        <f t="shared" si="33"/>
        <v>0</v>
      </c>
    </row>
    <row r="180" spans="1:9" ht="12.75">
      <c r="A180" s="8" t="s">
        <v>22</v>
      </c>
      <c r="B180" s="9">
        <f t="shared" si="30"/>
        <v>26</v>
      </c>
      <c r="C180" s="8"/>
      <c r="D180" s="8"/>
      <c r="E180" s="8">
        <v>5</v>
      </c>
      <c r="F180" s="8">
        <v>3</v>
      </c>
      <c r="G180" s="9">
        <f t="shared" si="31"/>
        <v>2</v>
      </c>
      <c r="H180" s="9">
        <f t="shared" si="32"/>
        <v>24</v>
      </c>
      <c r="I180" s="10">
        <f t="shared" si="33"/>
        <v>12</v>
      </c>
    </row>
    <row r="181" spans="1:9" ht="12.75">
      <c r="A181" s="8" t="s">
        <v>23</v>
      </c>
      <c r="B181" s="9">
        <f t="shared" si="30"/>
        <v>28</v>
      </c>
      <c r="C181" s="8"/>
      <c r="D181" s="8"/>
      <c r="E181" s="8">
        <v>6</v>
      </c>
      <c r="F181" s="8">
        <v>3</v>
      </c>
      <c r="G181" s="9">
        <f t="shared" si="31"/>
        <v>3</v>
      </c>
      <c r="H181" s="9">
        <f t="shared" si="32"/>
        <v>25</v>
      </c>
      <c r="I181" s="10">
        <f t="shared" si="33"/>
        <v>18</v>
      </c>
    </row>
    <row r="182" spans="1:9" ht="12.75">
      <c r="A182" s="8" t="s">
        <v>24</v>
      </c>
      <c r="B182" s="9">
        <f t="shared" si="30"/>
        <v>31</v>
      </c>
      <c r="C182" s="8"/>
      <c r="D182" s="8"/>
      <c r="E182" s="8">
        <v>4</v>
      </c>
      <c r="F182" s="8">
        <v>4</v>
      </c>
      <c r="G182" s="9">
        <f t="shared" si="31"/>
        <v>0</v>
      </c>
      <c r="H182" s="9">
        <f t="shared" si="32"/>
        <v>31</v>
      </c>
      <c r="I182" s="10">
        <f t="shared" si="33"/>
        <v>0</v>
      </c>
    </row>
    <row r="183" spans="1:9" ht="12.75">
      <c r="A183" s="8" t="s">
        <v>25</v>
      </c>
      <c r="B183" s="9">
        <f t="shared" si="30"/>
        <v>22</v>
      </c>
      <c r="C183" s="8"/>
      <c r="D183" s="8"/>
      <c r="E183" s="8">
        <v>10</v>
      </c>
      <c r="F183" s="8">
        <v>1</v>
      </c>
      <c r="G183" s="9">
        <f t="shared" si="31"/>
        <v>9</v>
      </c>
      <c r="H183" s="9">
        <f t="shared" si="32"/>
        <v>13</v>
      </c>
      <c r="I183" s="10">
        <f t="shared" si="33"/>
        <v>54</v>
      </c>
    </row>
    <row r="184" spans="1:9" ht="12.75">
      <c r="A184" s="8" t="s">
        <v>26</v>
      </c>
      <c r="B184" s="9">
        <f t="shared" si="30"/>
        <v>11</v>
      </c>
      <c r="C184" s="8"/>
      <c r="D184" s="8"/>
      <c r="E184" s="20">
        <v>6</v>
      </c>
      <c r="F184" s="8">
        <v>4</v>
      </c>
      <c r="G184" s="9">
        <f t="shared" si="31"/>
        <v>2</v>
      </c>
      <c r="H184" s="9">
        <f t="shared" si="32"/>
        <v>9</v>
      </c>
      <c r="I184" s="10">
        <f t="shared" si="33"/>
        <v>12</v>
      </c>
    </row>
    <row r="185" spans="1:9" ht="12.75">
      <c r="A185" s="8" t="s">
        <v>27</v>
      </c>
      <c r="B185" s="9">
        <f t="shared" si="30"/>
        <v>8</v>
      </c>
      <c r="C185" s="8"/>
      <c r="D185" s="8"/>
      <c r="E185" s="8">
        <v>4</v>
      </c>
      <c r="F185" s="8">
        <v>3</v>
      </c>
      <c r="G185" s="9">
        <f t="shared" si="31"/>
        <v>1</v>
      </c>
      <c r="H185" s="9">
        <f t="shared" si="32"/>
        <v>7</v>
      </c>
      <c r="I185" s="10">
        <f t="shared" si="33"/>
        <v>6</v>
      </c>
    </row>
    <row r="186" spans="1:9" ht="12.75">
      <c r="A186" s="8" t="s">
        <v>28</v>
      </c>
      <c r="B186" s="9">
        <f t="shared" si="30"/>
        <v>31</v>
      </c>
      <c r="C186" s="8">
        <v>1</v>
      </c>
      <c r="D186" s="8"/>
      <c r="E186" s="8">
        <v>8</v>
      </c>
      <c r="F186" s="8">
        <v>6</v>
      </c>
      <c r="G186" s="9">
        <f t="shared" si="31"/>
        <v>2</v>
      </c>
      <c r="H186" s="9">
        <f t="shared" si="32"/>
        <v>28</v>
      </c>
      <c r="I186" s="10">
        <f t="shared" si="33"/>
        <v>12</v>
      </c>
    </row>
    <row r="187" spans="1:9" ht="12.75">
      <c r="A187" s="8" t="s">
        <v>30</v>
      </c>
      <c r="B187" s="9">
        <f t="shared" si="30"/>
        <v>10</v>
      </c>
      <c r="C187" s="8"/>
      <c r="D187" s="8"/>
      <c r="E187" s="8">
        <v>2</v>
      </c>
      <c r="F187" s="8">
        <v>1</v>
      </c>
      <c r="G187" s="9">
        <f t="shared" si="31"/>
        <v>1</v>
      </c>
      <c r="H187" s="9">
        <f t="shared" si="32"/>
        <v>9</v>
      </c>
      <c r="I187" s="10">
        <f t="shared" si="33"/>
        <v>6</v>
      </c>
    </row>
    <row r="188" spans="1:9" ht="12.75">
      <c r="A188" s="13" t="s">
        <v>31</v>
      </c>
      <c r="B188" s="9">
        <v>21</v>
      </c>
      <c r="C188" s="8"/>
      <c r="D188" s="8"/>
      <c r="E188" s="8">
        <v>3</v>
      </c>
      <c r="F188" s="8">
        <v>2</v>
      </c>
      <c r="G188" s="9">
        <f t="shared" si="31"/>
        <v>1</v>
      </c>
      <c r="H188" s="9">
        <f t="shared" si="32"/>
        <v>20</v>
      </c>
      <c r="I188" s="10">
        <f t="shared" si="33"/>
        <v>6</v>
      </c>
    </row>
    <row r="189" spans="1:9" ht="12.75">
      <c r="A189" s="13" t="s">
        <v>32</v>
      </c>
      <c r="B189" s="9">
        <f>H161</f>
        <v>19</v>
      </c>
      <c r="C189" s="8"/>
      <c r="D189" s="8"/>
      <c r="E189" s="8">
        <v>2</v>
      </c>
      <c r="F189" s="8">
        <v>0</v>
      </c>
      <c r="G189" s="9">
        <f t="shared" si="31"/>
        <v>2</v>
      </c>
      <c r="H189" s="9">
        <f t="shared" si="32"/>
        <v>17</v>
      </c>
      <c r="I189" s="10">
        <f t="shared" si="33"/>
        <v>12</v>
      </c>
    </row>
    <row r="190" spans="1:9" ht="12.75">
      <c r="A190" s="14" t="s">
        <v>33</v>
      </c>
      <c r="B190" s="15">
        <f>SUM(B168:B189)</f>
        <v>490</v>
      </c>
      <c r="C190" s="14"/>
      <c r="D190" s="14"/>
      <c r="E190" s="15">
        <f t="shared" ref="E190:G190" si="34">SUM(E167:E189)</f>
        <v>113</v>
      </c>
      <c r="F190" s="15">
        <f t="shared" si="34"/>
        <v>69</v>
      </c>
      <c r="G190" s="15">
        <f t="shared" si="34"/>
        <v>44</v>
      </c>
      <c r="H190" s="15">
        <f>SUM(H168:H189)</f>
        <v>445</v>
      </c>
      <c r="I190" s="16">
        <f>SUM(I167:I189)</f>
        <v>264</v>
      </c>
    </row>
    <row r="191" spans="1:9" ht="12.75">
      <c r="A191" s="17"/>
      <c r="B191" s="17"/>
      <c r="C191" s="17"/>
      <c r="D191" s="17"/>
      <c r="E191" s="17"/>
      <c r="F191" s="134" t="s">
        <v>34</v>
      </c>
      <c r="G191" s="133"/>
      <c r="H191" s="18"/>
      <c r="I191" s="19"/>
    </row>
    <row r="194" spans="1:9">
      <c r="A194" s="1"/>
      <c r="B194" s="131" t="s">
        <v>94</v>
      </c>
      <c r="C194" s="132"/>
      <c r="D194" s="132"/>
      <c r="E194" s="132"/>
      <c r="F194" s="132"/>
      <c r="G194" s="132"/>
      <c r="H194" s="132"/>
      <c r="I194" s="133"/>
    </row>
    <row r="195" spans="1:9" ht="45">
      <c r="A195" s="2" t="s">
        <v>1</v>
      </c>
      <c r="B195" s="3" t="s">
        <v>2</v>
      </c>
      <c r="C195" s="4" t="s">
        <v>3</v>
      </c>
      <c r="D195" s="5" t="s">
        <v>4</v>
      </c>
      <c r="E195" s="2" t="s">
        <v>5</v>
      </c>
      <c r="F195" s="2" t="s">
        <v>6</v>
      </c>
      <c r="G195" s="2" t="s">
        <v>7</v>
      </c>
      <c r="H195" s="6" t="s">
        <v>8</v>
      </c>
      <c r="I195" s="7" t="s">
        <v>9</v>
      </c>
    </row>
    <row r="196" spans="1:9" ht="12.75">
      <c r="A196" s="8" t="s">
        <v>10</v>
      </c>
      <c r="B196" s="9">
        <f t="shared" ref="B196:B215" si="35">H168</f>
        <v>13</v>
      </c>
      <c r="C196" s="8"/>
      <c r="D196" s="8">
        <v>35</v>
      </c>
      <c r="E196" s="8">
        <v>6</v>
      </c>
      <c r="F196" s="8">
        <v>2</v>
      </c>
      <c r="G196" s="9">
        <f t="shared" ref="G196:G217" si="36">E196-F196</f>
        <v>4</v>
      </c>
      <c r="H196" s="9">
        <f t="shared" ref="H196:H217" si="37">B196-C196+D196-G196</f>
        <v>44</v>
      </c>
      <c r="I196" s="10">
        <f t="shared" ref="I196:I217" si="38">G196*6</f>
        <v>24</v>
      </c>
    </row>
    <row r="197" spans="1:9" ht="12.75">
      <c r="A197" s="8" t="s">
        <v>11</v>
      </c>
      <c r="B197" s="9">
        <f t="shared" si="35"/>
        <v>27</v>
      </c>
      <c r="C197" s="8"/>
      <c r="D197" s="8"/>
      <c r="E197" s="8">
        <v>6</v>
      </c>
      <c r="F197" s="8">
        <v>2</v>
      </c>
      <c r="G197" s="9">
        <f t="shared" si="36"/>
        <v>4</v>
      </c>
      <c r="H197" s="9">
        <f t="shared" si="37"/>
        <v>23</v>
      </c>
      <c r="I197" s="10">
        <f t="shared" si="38"/>
        <v>24</v>
      </c>
    </row>
    <row r="198" spans="1:9" ht="12.75">
      <c r="A198" s="8" t="s">
        <v>12</v>
      </c>
      <c r="B198" s="9">
        <f t="shared" si="35"/>
        <v>22</v>
      </c>
      <c r="C198" s="8"/>
      <c r="D198" s="8"/>
      <c r="E198" s="8">
        <v>6</v>
      </c>
      <c r="F198" s="8">
        <v>4</v>
      </c>
      <c r="G198" s="9">
        <f t="shared" si="36"/>
        <v>2</v>
      </c>
      <c r="H198" s="9">
        <f t="shared" si="37"/>
        <v>20</v>
      </c>
      <c r="I198" s="10">
        <f t="shared" si="38"/>
        <v>12</v>
      </c>
    </row>
    <row r="199" spans="1:9" ht="12.75">
      <c r="A199" s="8" t="s">
        <v>13</v>
      </c>
      <c r="B199" s="9">
        <f t="shared" si="35"/>
        <v>26</v>
      </c>
      <c r="C199" s="8"/>
      <c r="D199" s="8"/>
      <c r="E199" s="8">
        <v>6</v>
      </c>
      <c r="F199" s="8">
        <v>4</v>
      </c>
      <c r="G199" s="9">
        <f t="shared" si="36"/>
        <v>2</v>
      </c>
      <c r="H199" s="9">
        <f t="shared" si="37"/>
        <v>24</v>
      </c>
      <c r="I199" s="10">
        <f t="shared" si="38"/>
        <v>12</v>
      </c>
    </row>
    <row r="200" spans="1:9" ht="12.75">
      <c r="A200" s="8" t="s">
        <v>14</v>
      </c>
      <c r="B200" s="9">
        <f t="shared" si="35"/>
        <v>9</v>
      </c>
      <c r="C200" s="8">
        <v>1</v>
      </c>
      <c r="D200" s="8"/>
      <c r="E200" s="20">
        <v>4</v>
      </c>
      <c r="F200" s="8">
        <v>2</v>
      </c>
      <c r="G200" s="9">
        <f t="shared" si="36"/>
        <v>2</v>
      </c>
      <c r="H200" s="9">
        <f t="shared" si="37"/>
        <v>6</v>
      </c>
      <c r="I200" s="10">
        <f t="shared" si="38"/>
        <v>12</v>
      </c>
    </row>
    <row r="201" spans="1:9" ht="12.75">
      <c r="A201" s="8" t="s">
        <v>15</v>
      </c>
      <c r="B201" s="9">
        <f t="shared" si="35"/>
        <v>23</v>
      </c>
      <c r="C201" s="8"/>
      <c r="D201" s="8"/>
      <c r="E201" s="8">
        <v>6</v>
      </c>
      <c r="F201" s="8">
        <v>5</v>
      </c>
      <c r="G201" s="9">
        <f t="shared" si="36"/>
        <v>1</v>
      </c>
      <c r="H201" s="9">
        <f t="shared" si="37"/>
        <v>22</v>
      </c>
      <c r="I201" s="10">
        <f t="shared" si="38"/>
        <v>6</v>
      </c>
    </row>
    <row r="202" spans="1:9" ht="12.75">
      <c r="A202" s="8" t="s">
        <v>16</v>
      </c>
      <c r="B202" s="9">
        <f t="shared" si="35"/>
        <v>26</v>
      </c>
      <c r="C202" s="8"/>
      <c r="D202" s="8"/>
      <c r="E202" s="8">
        <v>5</v>
      </c>
      <c r="F202" s="8">
        <v>1</v>
      </c>
      <c r="G202" s="9">
        <f t="shared" si="36"/>
        <v>4</v>
      </c>
      <c r="H202" s="9">
        <f t="shared" si="37"/>
        <v>22</v>
      </c>
      <c r="I202" s="10">
        <f t="shared" si="38"/>
        <v>24</v>
      </c>
    </row>
    <row r="203" spans="1:9" ht="12.75">
      <c r="A203" s="8" t="s">
        <v>17</v>
      </c>
      <c r="B203" s="9">
        <f t="shared" si="35"/>
        <v>34</v>
      </c>
      <c r="C203" s="8"/>
      <c r="D203" s="8"/>
      <c r="E203" s="8">
        <v>4</v>
      </c>
      <c r="F203" s="8">
        <v>4</v>
      </c>
      <c r="G203" s="9">
        <f t="shared" si="36"/>
        <v>0</v>
      </c>
      <c r="H203" s="9">
        <f t="shared" si="37"/>
        <v>34</v>
      </c>
      <c r="I203" s="10">
        <f t="shared" si="38"/>
        <v>0</v>
      </c>
    </row>
    <row r="204" spans="1:9" ht="12.75">
      <c r="A204" s="8" t="s">
        <v>18</v>
      </c>
      <c r="B204" s="9">
        <f t="shared" si="35"/>
        <v>38</v>
      </c>
      <c r="C204" s="8"/>
      <c r="D204" s="8"/>
      <c r="E204" s="8">
        <v>6</v>
      </c>
      <c r="F204" s="8">
        <v>4</v>
      </c>
      <c r="G204" s="9">
        <f t="shared" si="36"/>
        <v>2</v>
      </c>
      <c r="H204" s="9">
        <f t="shared" si="37"/>
        <v>36</v>
      </c>
      <c r="I204" s="10">
        <f t="shared" si="38"/>
        <v>12</v>
      </c>
    </row>
    <row r="205" spans="1:9" ht="12.75">
      <c r="A205" s="8" t="s">
        <v>19</v>
      </c>
      <c r="B205" s="9">
        <f t="shared" si="35"/>
        <v>23</v>
      </c>
      <c r="C205" s="8"/>
      <c r="D205" s="8"/>
      <c r="E205" s="8">
        <v>6</v>
      </c>
      <c r="F205" s="8">
        <v>2</v>
      </c>
      <c r="G205" s="9">
        <f t="shared" si="36"/>
        <v>4</v>
      </c>
      <c r="H205" s="9">
        <f t="shared" si="37"/>
        <v>19</v>
      </c>
      <c r="I205" s="10">
        <f t="shared" si="38"/>
        <v>24</v>
      </c>
    </row>
    <row r="206" spans="1:9" ht="12.75">
      <c r="A206" s="8" t="s">
        <v>20</v>
      </c>
      <c r="B206" s="9">
        <f t="shared" si="35"/>
        <v>8</v>
      </c>
      <c r="C206" s="8"/>
      <c r="D206" s="8">
        <v>29</v>
      </c>
      <c r="E206" s="8">
        <v>6</v>
      </c>
      <c r="F206" s="8">
        <v>0</v>
      </c>
      <c r="G206" s="9">
        <f t="shared" si="36"/>
        <v>6</v>
      </c>
      <c r="H206" s="9">
        <f t="shared" si="37"/>
        <v>31</v>
      </c>
      <c r="I206" s="10">
        <f t="shared" si="38"/>
        <v>36</v>
      </c>
    </row>
    <row r="207" spans="1:9" ht="12.75">
      <c r="A207" s="8" t="s">
        <v>21</v>
      </c>
      <c r="B207" s="9">
        <f t="shared" si="35"/>
        <v>13</v>
      </c>
      <c r="C207" s="8"/>
      <c r="D207" s="8"/>
      <c r="E207" s="8">
        <v>2</v>
      </c>
      <c r="F207" s="8">
        <v>1</v>
      </c>
      <c r="G207" s="9">
        <f t="shared" si="36"/>
        <v>1</v>
      </c>
      <c r="H207" s="9">
        <f t="shared" si="37"/>
        <v>12</v>
      </c>
      <c r="I207" s="10">
        <f t="shared" si="38"/>
        <v>6</v>
      </c>
    </row>
    <row r="208" spans="1:9" ht="12.75">
      <c r="A208" s="8" t="s">
        <v>22</v>
      </c>
      <c r="B208" s="9">
        <f t="shared" si="35"/>
        <v>24</v>
      </c>
      <c r="C208" s="8"/>
      <c r="D208" s="8"/>
      <c r="E208" s="8">
        <v>5</v>
      </c>
      <c r="F208" s="8">
        <v>3</v>
      </c>
      <c r="G208" s="9">
        <f t="shared" si="36"/>
        <v>2</v>
      </c>
      <c r="H208" s="9">
        <f t="shared" si="37"/>
        <v>22</v>
      </c>
      <c r="I208" s="10">
        <f t="shared" si="38"/>
        <v>12</v>
      </c>
    </row>
    <row r="209" spans="1:9" ht="12.75">
      <c r="A209" s="8" t="s">
        <v>23</v>
      </c>
      <c r="B209" s="9">
        <f t="shared" si="35"/>
        <v>25</v>
      </c>
      <c r="C209" s="8"/>
      <c r="D209" s="8"/>
      <c r="E209" s="8">
        <v>6</v>
      </c>
      <c r="F209" s="8">
        <v>5</v>
      </c>
      <c r="G209" s="9">
        <f t="shared" si="36"/>
        <v>1</v>
      </c>
      <c r="H209" s="9">
        <f t="shared" si="37"/>
        <v>24</v>
      </c>
      <c r="I209" s="10">
        <f t="shared" si="38"/>
        <v>6</v>
      </c>
    </row>
    <row r="210" spans="1:9" ht="12.75">
      <c r="A210" s="8" t="s">
        <v>24</v>
      </c>
      <c r="B210" s="9">
        <f t="shared" si="35"/>
        <v>31</v>
      </c>
      <c r="C210" s="8">
        <v>1</v>
      </c>
      <c r="D210" s="8"/>
      <c r="E210" s="8">
        <v>4</v>
      </c>
      <c r="F210" s="8">
        <v>4</v>
      </c>
      <c r="G210" s="9">
        <f t="shared" si="36"/>
        <v>0</v>
      </c>
      <c r="H210" s="9">
        <f t="shared" si="37"/>
        <v>30</v>
      </c>
      <c r="I210" s="10">
        <f t="shared" si="38"/>
        <v>0</v>
      </c>
    </row>
    <row r="211" spans="1:9" ht="12.75">
      <c r="A211" s="8" t="s">
        <v>25</v>
      </c>
      <c r="B211" s="9">
        <f t="shared" si="35"/>
        <v>13</v>
      </c>
      <c r="C211" s="8"/>
      <c r="D211" s="8">
        <v>29</v>
      </c>
      <c r="E211" s="8">
        <v>10</v>
      </c>
      <c r="F211" s="8">
        <v>5</v>
      </c>
      <c r="G211" s="9">
        <f t="shared" si="36"/>
        <v>5</v>
      </c>
      <c r="H211" s="9">
        <f t="shared" si="37"/>
        <v>37</v>
      </c>
      <c r="I211" s="10">
        <f t="shared" si="38"/>
        <v>30</v>
      </c>
    </row>
    <row r="212" spans="1:9" ht="12.75">
      <c r="A212" s="8" t="s">
        <v>26</v>
      </c>
      <c r="B212" s="9">
        <f t="shared" si="35"/>
        <v>9</v>
      </c>
      <c r="C212" s="8"/>
      <c r="D212" s="8"/>
      <c r="E212" s="20">
        <v>6</v>
      </c>
      <c r="F212" s="8">
        <v>2</v>
      </c>
      <c r="G212" s="9">
        <f t="shared" si="36"/>
        <v>4</v>
      </c>
      <c r="H212" s="9">
        <f t="shared" si="37"/>
        <v>5</v>
      </c>
      <c r="I212" s="10">
        <f t="shared" si="38"/>
        <v>24</v>
      </c>
    </row>
    <row r="213" spans="1:9" ht="12.75">
      <c r="A213" s="8" t="s">
        <v>27</v>
      </c>
      <c r="B213" s="9">
        <f t="shared" si="35"/>
        <v>7</v>
      </c>
      <c r="C213" s="8"/>
      <c r="D213" s="8"/>
      <c r="E213" s="8">
        <v>4</v>
      </c>
      <c r="F213" s="8">
        <v>4</v>
      </c>
      <c r="G213" s="9">
        <f t="shared" si="36"/>
        <v>0</v>
      </c>
      <c r="H213" s="9">
        <f t="shared" si="37"/>
        <v>7</v>
      </c>
      <c r="I213" s="10">
        <f t="shared" si="38"/>
        <v>0</v>
      </c>
    </row>
    <row r="214" spans="1:9" ht="12.75">
      <c r="A214" s="8" t="s">
        <v>28</v>
      </c>
      <c r="B214" s="9">
        <f t="shared" si="35"/>
        <v>28</v>
      </c>
      <c r="C214" s="8"/>
      <c r="D214" s="8"/>
      <c r="E214" s="8">
        <v>8</v>
      </c>
      <c r="F214" s="8">
        <v>3</v>
      </c>
      <c r="G214" s="9">
        <f t="shared" si="36"/>
        <v>5</v>
      </c>
      <c r="H214" s="9">
        <f t="shared" si="37"/>
        <v>23</v>
      </c>
      <c r="I214" s="10">
        <f t="shared" si="38"/>
        <v>30</v>
      </c>
    </row>
    <row r="215" spans="1:9" ht="12.75">
      <c r="A215" s="8" t="s">
        <v>30</v>
      </c>
      <c r="B215" s="9">
        <f t="shared" si="35"/>
        <v>9</v>
      </c>
      <c r="C215" s="8"/>
      <c r="D215" s="8"/>
      <c r="E215" s="8">
        <v>2</v>
      </c>
      <c r="F215" s="8">
        <v>0</v>
      </c>
      <c r="G215" s="9">
        <f t="shared" si="36"/>
        <v>2</v>
      </c>
      <c r="H215" s="9">
        <f t="shared" si="37"/>
        <v>7</v>
      </c>
      <c r="I215" s="10">
        <f t="shared" si="38"/>
        <v>12</v>
      </c>
    </row>
    <row r="216" spans="1:9" ht="12.75">
      <c r="A216" s="13" t="s">
        <v>31</v>
      </c>
      <c r="B216" s="9">
        <v>21</v>
      </c>
      <c r="C216" s="8"/>
      <c r="D216" s="8"/>
      <c r="E216" s="8">
        <v>3</v>
      </c>
      <c r="F216" s="8">
        <v>3</v>
      </c>
      <c r="G216" s="9">
        <f t="shared" si="36"/>
        <v>0</v>
      </c>
      <c r="H216" s="9">
        <f t="shared" si="37"/>
        <v>21</v>
      </c>
      <c r="I216" s="10">
        <f t="shared" si="38"/>
        <v>0</v>
      </c>
    </row>
    <row r="217" spans="1:9" ht="12.75">
      <c r="A217" s="13" t="s">
        <v>32</v>
      </c>
      <c r="B217" s="9">
        <f>H189</f>
        <v>17</v>
      </c>
      <c r="C217" s="8"/>
      <c r="D217" s="8"/>
      <c r="E217" s="8">
        <v>3</v>
      </c>
      <c r="F217" s="8">
        <v>3</v>
      </c>
      <c r="G217" s="9">
        <f t="shared" si="36"/>
        <v>0</v>
      </c>
      <c r="H217" s="9">
        <f t="shared" si="37"/>
        <v>17</v>
      </c>
      <c r="I217" s="10">
        <f t="shared" si="38"/>
        <v>0</v>
      </c>
    </row>
    <row r="218" spans="1:9" ht="12.75">
      <c r="A218" s="14" t="s">
        <v>33</v>
      </c>
      <c r="B218" s="15">
        <f>SUM(B196:B217)</f>
        <v>446</v>
      </c>
      <c r="C218" s="14"/>
      <c r="D218" s="14"/>
      <c r="E218" s="15">
        <f t="shared" ref="E218:G218" si="39">SUM(E195:E217)</f>
        <v>114</v>
      </c>
      <c r="F218" s="15">
        <f t="shared" si="39"/>
        <v>63</v>
      </c>
      <c r="G218" s="15">
        <f t="shared" si="39"/>
        <v>51</v>
      </c>
      <c r="H218" s="15">
        <f>SUM(H196:H217)</f>
        <v>486</v>
      </c>
      <c r="I218" s="16">
        <f>SUM(I195:I217)</f>
        <v>306</v>
      </c>
    </row>
    <row r="219" spans="1:9" ht="12.75">
      <c r="A219" s="17"/>
      <c r="B219" s="17"/>
      <c r="C219" s="17"/>
      <c r="D219" s="17"/>
      <c r="E219" s="17"/>
      <c r="F219" s="134" t="s">
        <v>34</v>
      </c>
      <c r="G219" s="133"/>
      <c r="H219" s="18"/>
      <c r="I219" s="19"/>
    </row>
    <row r="221" spans="1:9" ht="12.7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>
      <c r="A222" s="1"/>
      <c r="B222" s="131" t="s">
        <v>95</v>
      </c>
      <c r="C222" s="132"/>
      <c r="D222" s="132"/>
      <c r="E222" s="132"/>
      <c r="F222" s="132"/>
      <c r="G222" s="132"/>
      <c r="H222" s="132"/>
      <c r="I222" s="133"/>
    </row>
    <row r="223" spans="1:9" ht="45">
      <c r="A223" s="2" t="s">
        <v>1</v>
      </c>
      <c r="B223" s="3" t="s">
        <v>2</v>
      </c>
      <c r="C223" s="4" t="s">
        <v>3</v>
      </c>
      <c r="D223" s="5" t="s">
        <v>4</v>
      </c>
      <c r="E223" s="2" t="s">
        <v>5</v>
      </c>
      <c r="F223" s="2" t="s">
        <v>6</v>
      </c>
      <c r="G223" s="2" t="s">
        <v>7</v>
      </c>
      <c r="H223" s="6" t="s">
        <v>8</v>
      </c>
      <c r="I223" s="7" t="s">
        <v>9</v>
      </c>
    </row>
    <row r="224" spans="1:9" ht="12.75">
      <c r="A224" s="8" t="s">
        <v>10</v>
      </c>
      <c r="B224" s="9">
        <f t="shared" ref="B224:B243" si="40">H196</f>
        <v>44</v>
      </c>
      <c r="C224" s="8"/>
      <c r="D224" s="8"/>
      <c r="E224" s="8">
        <v>6</v>
      </c>
      <c r="F224" s="8">
        <v>6</v>
      </c>
      <c r="G224" s="9">
        <f t="shared" ref="G224:G245" si="41">E224-F224</f>
        <v>0</v>
      </c>
      <c r="H224" s="9">
        <f t="shared" ref="H224:H245" si="42">B224-C224+D224-G224</f>
        <v>44</v>
      </c>
      <c r="I224" s="10">
        <f t="shared" ref="I224:I245" si="43">G224*6</f>
        <v>0</v>
      </c>
    </row>
    <row r="225" spans="1:9" ht="12.75">
      <c r="A225" s="8" t="s">
        <v>11</v>
      </c>
      <c r="B225" s="9">
        <f t="shared" si="40"/>
        <v>23</v>
      </c>
      <c r="C225" s="11"/>
      <c r="D225" s="8"/>
      <c r="E225" s="8">
        <v>6</v>
      </c>
      <c r="F225" s="8">
        <v>4</v>
      </c>
      <c r="G225" s="9">
        <f t="shared" si="41"/>
        <v>2</v>
      </c>
      <c r="H225" s="9">
        <f t="shared" si="42"/>
        <v>21</v>
      </c>
      <c r="I225" s="10">
        <f t="shared" si="43"/>
        <v>12</v>
      </c>
    </row>
    <row r="226" spans="1:9" ht="12.75">
      <c r="A226" s="8" t="s">
        <v>12</v>
      </c>
      <c r="B226" s="9">
        <f t="shared" si="40"/>
        <v>20</v>
      </c>
      <c r="C226" s="8"/>
      <c r="D226" s="8"/>
      <c r="E226" s="8">
        <v>6</v>
      </c>
      <c r="F226" s="8">
        <v>4</v>
      </c>
      <c r="G226" s="9">
        <f t="shared" si="41"/>
        <v>2</v>
      </c>
      <c r="H226" s="9">
        <f t="shared" si="42"/>
        <v>18</v>
      </c>
      <c r="I226" s="10">
        <f t="shared" si="43"/>
        <v>12</v>
      </c>
    </row>
    <row r="227" spans="1:9" ht="12.75">
      <c r="A227" s="8" t="s">
        <v>13</v>
      </c>
      <c r="B227" s="9">
        <f t="shared" si="40"/>
        <v>24</v>
      </c>
      <c r="C227" s="8"/>
      <c r="D227" s="8"/>
      <c r="E227" s="8">
        <v>6</v>
      </c>
      <c r="F227" s="8">
        <v>4</v>
      </c>
      <c r="G227" s="9">
        <f t="shared" si="41"/>
        <v>2</v>
      </c>
      <c r="H227" s="9">
        <f t="shared" si="42"/>
        <v>22</v>
      </c>
      <c r="I227" s="10">
        <f t="shared" si="43"/>
        <v>12</v>
      </c>
    </row>
    <row r="228" spans="1:9" ht="12.75">
      <c r="A228" s="8" t="s">
        <v>14</v>
      </c>
      <c r="B228" s="9">
        <f t="shared" si="40"/>
        <v>6</v>
      </c>
      <c r="C228" s="8"/>
      <c r="D228" s="8"/>
      <c r="E228" s="8">
        <v>4</v>
      </c>
      <c r="F228" s="8">
        <v>2</v>
      </c>
      <c r="G228" s="9">
        <f t="shared" si="41"/>
        <v>2</v>
      </c>
      <c r="H228" s="9">
        <f t="shared" si="42"/>
        <v>4</v>
      </c>
      <c r="I228" s="10">
        <f t="shared" si="43"/>
        <v>12</v>
      </c>
    </row>
    <row r="229" spans="1:9" ht="12.75">
      <c r="A229" s="8" t="s">
        <v>15</v>
      </c>
      <c r="B229" s="9">
        <f t="shared" si="40"/>
        <v>22</v>
      </c>
      <c r="C229" s="8"/>
      <c r="D229" s="8"/>
      <c r="E229" s="8">
        <v>6</v>
      </c>
      <c r="F229" s="8">
        <v>4</v>
      </c>
      <c r="G229" s="9">
        <f t="shared" si="41"/>
        <v>2</v>
      </c>
      <c r="H229" s="9">
        <f t="shared" si="42"/>
        <v>20</v>
      </c>
      <c r="I229" s="10">
        <f t="shared" si="43"/>
        <v>12</v>
      </c>
    </row>
    <row r="230" spans="1:9" ht="12.75">
      <c r="A230" s="8" t="s">
        <v>16</v>
      </c>
      <c r="B230" s="9">
        <f t="shared" si="40"/>
        <v>22</v>
      </c>
      <c r="C230" s="8"/>
      <c r="D230" s="8"/>
      <c r="E230" s="8">
        <v>5</v>
      </c>
      <c r="F230" s="8">
        <v>4</v>
      </c>
      <c r="G230" s="9">
        <f t="shared" si="41"/>
        <v>1</v>
      </c>
      <c r="H230" s="9">
        <f t="shared" si="42"/>
        <v>21</v>
      </c>
      <c r="I230" s="10">
        <f t="shared" si="43"/>
        <v>6</v>
      </c>
    </row>
    <row r="231" spans="1:9" ht="12.75">
      <c r="A231" s="8" t="s">
        <v>17</v>
      </c>
      <c r="B231" s="9">
        <f t="shared" si="40"/>
        <v>34</v>
      </c>
      <c r="C231" s="8"/>
      <c r="D231" s="8"/>
      <c r="E231" s="8">
        <v>4</v>
      </c>
      <c r="F231" s="8">
        <v>2</v>
      </c>
      <c r="G231" s="9">
        <f t="shared" si="41"/>
        <v>2</v>
      </c>
      <c r="H231" s="9">
        <f t="shared" si="42"/>
        <v>32</v>
      </c>
      <c r="I231" s="10">
        <f t="shared" si="43"/>
        <v>12</v>
      </c>
    </row>
    <row r="232" spans="1:9" ht="12.75">
      <c r="A232" s="8" t="s">
        <v>18</v>
      </c>
      <c r="B232" s="9">
        <f t="shared" si="40"/>
        <v>36</v>
      </c>
      <c r="C232" s="8"/>
      <c r="D232" s="8"/>
      <c r="E232" s="8">
        <v>6</v>
      </c>
      <c r="F232" s="8">
        <v>5</v>
      </c>
      <c r="G232" s="9">
        <f t="shared" si="41"/>
        <v>1</v>
      </c>
      <c r="H232" s="9">
        <f t="shared" si="42"/>
        <v>35</v>
      </c>
      <c r="I232" s="10">
        <f t="shared" si="43"/>
        <v>6</v>
      </c>
    </row>
    <row r="233" spans="1:9" ht="12.75">
      <c r="A233" s="8" t="s">
        <v>19</v>
      </c>
      <c r="B233" s="9">
        <f t="shared" si="40"/>
        <v>19</v>
      </c>
      <c r="C233" s="8"/>
      <c r="D233" s="8"/>
      <c r="E233" s="8">
        <v>6</v>
      </c>
      <c r="F233" s="8">
        <v>5</v>
      </c>
      <c r="G233" s="9">
        <f t="shared" si="41"/>
        <v>1</v>
      </c>
      <c r="H233" s="9">
        <f t="shared" si="42"/>
        <v>18</v>
      </c>
      <c r="I233" s="10">
        <f t="shared" si="43"/>
        <v>6</v>
      </c>
    </row>
    <row r="234" spans="1:9" ht="12.75">
      <c r="A234" s="8" t="s">
        <v>20</v>
      </c>
      <c r="B234" s="9">
        <f t="shared" si="40"/>
        <v>31</v>
      </c>
      <c r="C234" s="8"/>
      <c r="D234" s="8"/>
      <c r="E234" s="8">
        <v>6</v>
      </c>
      <c r="F234" s="8">
        <v>5</v>
      </c>
      <c r="G234" s="9">
        <f t="shared" si="41"/>
        <v>1</v>
      </c>
      <c r="H234" s="9">
        <f t="shared" si="42"/>
        <v>30</v>
      </c>
      <c r="I234" s="10">
        <f t="shared" si="43"/>
        <v>6</v>
      </c>
    </row>
    <row r="235" spans="1:9" ht="12.75">
      <c r="A235" s="8" t="s">
        <v>21</v>
      </c>
      <c r="B235" s="9">
        <f t="shared" si="40"/>
        <v>12</v>
      </c>
      <c r="C235" s="8"/>
      <c r="D235" s="8"/>
      <c r="E235" s="8">
        <v>2</v>
      </c>
      <c r="F235" s="8">
        <v>1</v>
      </c>
      <c r="G235" s="9">
        <f t="shared" si="41"/>
        <v>1</v>
      </c>
      <c r="H235" s="9">
        <f t="shared" si="42"/>
        <v>11</v>
      </c>
      <c r="I235" s="10">
        <f t="shared" si="43"/>
        <v>6</v>
      </c>
    </row>
    <row r="236" spans="1:9" ht="12.75">
      <c r="A236" s="8" t="s">
        <v>22</v>
      </c>
      <c r="B236" s="9">
        <f t="shared" si="40"/>
        <v>22</v>
      </c>
      <c r="C236" s="8"/>
      <c r="D236" s="8"/>
      <c r="E236" s="8">
        <v>5</v>
      </c>
      <c r="F236" s="8">
        <v>4</v>
      </c>
      <c r="G236" s="9">
        <f t="shared" si="41"/>
        <v>1</v>
      </c>
      <c r="H236" s="9">
        <f t="shared" si="42"/>
        <v>21</v>
      </c>
      <c r="I236" s="10">
        <f t="shared" si="43"/>
        <v>6</v>
      </c>
    </row>
    <row r="237" spans="1:9" ht="12.75">
      <c r="A237" s="8" t="s">
        <v>23</v>
      </c>
      <c r="B237" s="9">
        <f t="shared" si="40"/>
        <v>24</v>
      </c>
      <c r="C237" s="11"/>
      <c r="D237" s="8"/>
      <c r="E237" s="8">
        <v>6</v>
      </c>
      <c r="F237" s="8">
        <v>5</v>
      </c>
      <c r="G237" s="9">
        <f t="shared" si="41"/>
        <v>1</v>
      </c>
      <c r="H237" s="9">
        <f t="shared" si="42"/>
        <v>23</v>
      </c>
      <c r="I237" s="10">
        <f t="shared" si="43"/>
        <v>6</v>
      </c>
    </row>
    <row r="238" spans="1:9" ht="12.75">
      <c r="A238" s="8" t="s">
        <v>24</v>
      </c>
      <c r="B238" s="9">
        <f t="shared" si="40"/>
        <v>30</v>
      </c>
      <c r="C238" s="8">
        <v>1</v>
      </c>
      <c r="D238" s="8"/>
      <c r="E238" s="8">
        <v>4</v>
      </c>
      <c r="F238" s="8">
        <v>3</v>
      </c>
      <c r="G238" s="9">
        <f t="shared" si="41"/>
        <v>1</v>
      </c>
      <c r="H238" s="9">
        <f t="shared" si="42"/>
        <v>28</v>
      </c>
      <c r="I238" s="10">
        <f t="shared" si="43"/>
        <v>6</v>
      </c>
    </row>
    <row r="239" spans="1:9" ht="12.75">
      <c r="A239" s="8" t="s">
        <v>25</v>
      </c>
      <c r="B239" s="9">
        <f t="shared" si="40"/>
        <v>37</v>
      </c>
      <c r="C239" s="8"/>
      <c r="D239" s="8"/>
      <c r="E239" s="8">
        <v>10</v>
      </c>
      <c r="F239" s="8">
        <v>3</v>
      </c>
      <c r="G239" s="9">
        <f t="shared" si="41"/>
        <v>7</v>
      </c>
      <c r="H239" s="9">
        <f t="shared" si="42"/>
        <v>30</v>
      </c>
      <c r="I239" s="10">
        <f t="shared" si="43"/>
        <v>42</v>
      </c>
    </row>
    <row r="240" spans="1:9" ht="12.75">
      <c r="A240" s="8" t="s">
        <v>26</v>
      </c>
      <c r="B240" s="9">
        <f t="shared" si="40"/>
        <v>5</v>
      </c>
      <c r="C240" s="8"/>
      <c r="D240" s="8">
        <v>31</v>
      </c>
      <c r="E240" s="8">
        <v>5</v>
      </c>
      <c r="F240" s="8">
        <v>1</v>
      </c>
      <c r="G240" s="9">
        <f t="shared" si="41"/>
        <v>4</v>
      </c>
      <c r="H240" s="9">
        <f t="shared" si="42"/>
        <v>32</v>
      </c>
      <c r="I240" s="10">
        <f t="shared" si="43"/>
        <v>24</v>
      </c>
    </row>
    <row r="241" spans="1:9" ht="12.75">
      <c r="A241" s="8" t="s">
        <v>27</v>
      </c>
      <c r="B241" s="9">
        <f t="shared" si="40"/>
        <v>7</v>
      </c>
      <c r="C241" s="8"/>
      <c r="D241" s="8"/>
      <c r="E241" s="8">
        <v>4</v>
      </c>
      <c r="F241" s="8">
        <v>3</v>
      </c>
      <c r="G241" s="9">
        <f t="shared" si="41"/>
        <v>1</v>
      </c>
      <c r="H241" s="9">
        <f t="shared" si="42"/>
        <v>6</v>
      </c>
      <c r="I241" s="10">
        <f t="shared" si="43"/>
        <v>6</v>
      </c>
    </row>
    <row r="242" spans="1:9" ht="12.75">
      <c r="A242" s="8" t="s">
        <v>28</v>
      </c>
      <c r="B242" s="9">
        <f t="shared" si="40"/>
        <v>23</v>
      </c>
      <c r="C242" s="8"/>
      <c r="D242" s="8"/>
      <c r="E242" s="8">
        <v>8</v>
      </c>
      <c r="F242" s="8">
        <v>3</v>
      </c>
      <c r="G242" s="9">
        <f t="shared" si="41"/>
        <v>5</v>
      </c>
      <c r="H242" s="9">
        <f t="shared" si="42"/>
        <v>18</v>
      </c>
      <c r="I242" s="10">
        <f t="shared" si="43"/>
        <v>30</v>
      </c>
    </row>
    <row r="243" spans="1:9" ht="12.75">
      <c r="A243" s="8" t="s">
        <v>30</v>
      </c>
      <c r="B243" s="9">
        <f t="shared" si="40"/>
        <v>7</v>
      </c>
      <c r="C243" s="8"/>
      <c r="D243" s="8"/>
      <c r="E243" s="8">
        <v>2</v>
      </c>
      <c r="F243" s="8">
        <v>1</v>
      </c>
      <c r="G243" s="9">
        <f t="shared" si="41"/>
        <v>1</v>
      </c>
      <c r="H243" s="9">
        <f t="shared" si="42"/>
        <v>6</v>
      </c>
      <c r="I243" s="10">
        <f t="shared" si="43"/>
        <v>6</v>
      </c>
    </row>
    <row r="244" spans="1:9" ht="12.75">
      <c r="A244" s="13" t="s">
        <v>31</v>
      </c>
      <c r="B244" s="9">
        <v>21</v>
      </c>
      <c r="C244" s="8">
        <v>2</v>
      </c>
      <c r="D244" s="8"/>
      <c r="E244" s="8">
        <v>3</v>
      </c>
      <c r="F244" s="8">
        <v>2</v>
      </c>
      <c r="G244" s="9">
        <f t="shared" si="41"/>
        <v>1</v>
      </c>
      <c r="H244" s="9">
        <f t="shared" si="42"/>
        <v>18</v>
      </c>
      <c r="I244" s="10">
        <f t="shared" si="43"/>
        <v>6</v>
      </c>
    </row>
    <row r="245" spans="1:9" ht="12.75">
      <c r="A245" s="13" t="s">
        <v>32</v>
      </c>
      <c r="B245" s="9">
        <f>H217</f>
        <v>17</v>
      </c>
      <c r="C245" s="8"/>
      <c r="D245" s="8"/>
      <c r="E245" s="8">
        <v>3</v>
      </c>
      <c r="F245" s="8">
        <v>2</v>
      </c>
      <c r="G245" s="9">
        <f t="shared" si="41"/>
        <v>1</v>
      </c>
      <c r="H245" s="9">
        <f t="shared" si="42"/>
        <v>16</v>
      </c>
      <c r="I245" s="10">
        <f t="shared" si="43"/>
        <v>6</v>
      </c>
    </row>
    <row r="246" spans="1:9" ht="12.75">
      <c r="A246" s="14" t="s">
        <v>33</v>
      </c>
      <c r="B246" s="15">
        <f>SUM(B224:B245)</f>
        <v>486</v>
      </c>
      <c r="C246" s="14"/>
      <c r="D246" s="14"/>
      <c r="E246" s="15">
        <f t="shared" ref="E246:G246" si="44">SUM(E223:E245)</f>
        <v>113</v>
      </c>
      <c r="F246" s="15">
        <f t="shared" si="44"/>
        <v>73</v>
      </c>
      <c r="G246" s="15">
        <f t="shared" si="44"/>
        <v>40</v>
      </c>
      <c r="H246" s="15">
        <f>SUM(H224:H245)</f>
        <v>474</v>
      </c>
      <c r="I246" s="16">
        <f>SUM(I223:I245)</f>
        <v>240</v>
      </c>
    </row>
    <row r="247" spans="1:9" ht="12.75">
      <c r="A247" s="17"/>
      <c r="B247" s="17"/>
      <c r="C247" s="17"/>
      <c r="D247" s="17"/>
      <c r="E247" s="17"/>
      <c r="F247" s="134" t="s">
        <v>34</v>
      </c>
      <c r="G247" s="133"/>
      <c r="H247" s="18"/>
      <c r="I247" s="19"/>
    </row>
    <row r="249" spans="1:9" ht="12.7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>
      <c r="A250" s="1"/>
      <c r="B250" s="131" t="s">
        <v>96</v>
      </c>
      <c r="C250" s="132"/>
      <c r="D250" s="132"/>
      <c r="E250" s="132"/>
      <c r="F250" s="132"/>
      <c r="G250" s="132"/>
      <c r="H250" s="132"/>
      <c r="I250" s="133"/>
    </row>
    <row r="251" spans="1:9" ht="45">
      <c r="A251" s="2" t="s">
        <v>1</v>
      </c>
      <c r="B251" s="3" t="s">
        <v>2</v>
      </c>
      <c r="C251" s="4" t="s">
        <v>3</v>
      </c>
      <c r="D251" s="5" t="s">
        <v>4</v>
      </c>
      <c r="E251" s="2" t="s">
        <v>5</v>
      </c>
      <c r="F251" s="2" t="s">
        <v>6</v>
      </c>
      <c r="G251" s="2" t="s">
        <v>7</v>
      </c>
      <c r="H251" s="6" t="s">
        <v>8</v>
      </c>
      <c r="I251" s="7" t="s">
        <v>9</v>
      </c>
    </row>
    <row r="252" spans="1:9" ht="12.75">
      <c r="A252" s="8" t="s">
        <v>10</v>
      </c>
      <c r="B252" s="9">
        <f t="shared" ref="B252:B271" si="45">H224</f>
        <v>44</v>
      </c>
      <c r="C252" s="8"/>
      <c r="D252" s="8"/>
      <c r="E252" s="8">
        <v>17</v>
      </c>
      <c r="F252" s="8">
        <v>5</v>
      </c>
      <c r="G252" s="9">
        <f t="shared" ref="G252:G273" si="46">E252-F252</f>
        <v>12</v>
      </c>
      <c r="H252" s="9">
        <f t="shared" ref="H252:H273" si="47">B252-C252+D252-G252</f>
        <v>32</v>
      </c>
      <c r="I252" s="10">
        <f t="shared" ref="I252:I273" si="48">G252*6</f>
        <v>72</v>
      </c>
    </row>
    <row r="253" spans="1:9" ht="12.75">
      <c r="A253" s="8" t="s">
        <v>11</v>
      </c>
      <c r="B253" s="9">
        <f t="shared" si="45"/>
        <v>21</v>
      </c>
      <c r="C253" s="11"/>
      <c r="D253" s="8"/>
      <c r="E253" s="8">
        <v>7</v>
      </c>
      <c r="F253" s="8">
        <v>5</v>
      </c>
      <c r="G253" s="9">
        <f t="shared" si="46"/>
        <v>2</v>
      </c>
      <c r="H253" s="9">
        <f t="shared" si="47"/>
        <v>19</v>
      </c>
      <c r="I253" s="10">
        <f t="shared" si="48"/>
        <v>12</v>
      </c>
    </row>
    <row r="254" spans="1:9" ht="12.75">
      <c r="A254" s="8" t="s">
        <v>12</v>
      </c>
      <c r="B254" s="9">
        <f t="shared" si="45"/>
        <v>18</v>
      </c>
      <c r="C254" s="8"/>
      <c r="D254" s="8"/>
      <c r="E254" s="8">
        <v>13</v>
      </c>
      <c r="F254" s="8">
        <v>5</v>
      </c>
      <c r="G254" s="9">
        <f t="shared" si="46"/>
        <v>8</v>
      </c>
      <c r="H254" s="9">
        <f t="shared" si="47"/>
        <v>10</v>
      </c>
      <c r="I254" s="10">
        <f t="shared" si="48"/>
        <v>48</v>
      </c>
    </row>
    <row r="255" spans="1:9" ht="12.75">
      <c r="A255" s="8" t="s">
        <v>13</v>
      </c>
      <c r="B255" s="9">
        <f t="shared" si="45"/>
        <v>22</v>
      </c>
      <c r="C255" s="8"/>
      <c r="D255" s="8"/>
      <c r="E255" s="8">
        <v>9</v>
      </c>
      <c r="F255" s="8">
        <v>6</v>
      </c>
      <c r="G255" s="9">
        <f t="shared" si="46"/>
        <v>3</v>
      </c>
      <c r="H255" s="9">
        <f t="shared" si="47"/>
        <v>19</v>
      </c>
      <c r="I255" s="10">
        <f t="shared" si="48"/>
        <v>18</v>
      </c>
    </row>
    <row r="256" spans="1:9" ht="12.75">
      <c r="A256" s="8" t="s">
        <v>14</v>
      </c>
      <c r="B256" s="9">
        <f t="shared" si="45"/>
        <v>4</v>
      </c>
      <c r="C256" s="8"/>
      <c r="D256" s="8">
        <v>31</v>
      </c>
      <c r="E256" s="8">
        <v>4</v>
      </c>
      <c r="F256" s="8">
        <v>3</v>
      </c>
      <c r="G256" s="9">
        <f t="shared" si="46"/>
        <v>1</v>
      </c>
      <c r="H256" s="9">
        <f t="shared" si="47"/>
        <v>34</v>
      </c>
      <c r="I256" s="10">
        <f t="shared" si="48"/>
        <v>6</v>
      </c>
    </row>
    <row r="257" spans="1:9" ht="12.75">
      <c r="A257" s="8" t="s">
        <v>15</v>
      </c>
      <c r="B257" s="9">
        <f t="shared" si="45"/>
        <v>20</v>
      </c>
      <c r="C257" s="8"/>
      <c r="D257" s="8"/>
      <c r="E257" s="8">
        <v>8</v>
      </c>
      <c r="F257" s="8">
        <v>6</v>
      </c>
      <c r="G257" s="9">
        <f t="shared" si="46"/>
        <v>2</v>
      </c>
      <c r="H257" s="9">
        <f t="shared" si="47"/>
        <v>18</v>
      </c>
      <c r="I257" s="10">
        <f t="shared" si="48"/>
        <v>12</v>
      </c>
    </row>
    <row r="258" spans="1:9" ht="12.75">
      <c r="A258" s="8" t="s">
        <v>16</v>
      </c>
      <c r="B258" s="9">
        <f t="shared" si="45"/>
        <v>21</v>
      </c>
      <c r="C258" s="8">
        <v>1</v>
      </c>
      <c r="D258" s="8"/>
      <c r="E258" s="8">
        <v>6</v>
      </c>
      <c r="F258" s="8">
        <v>4</v>
      </c>
      <c r="G258" s="9">
        <f t="shared" si="46"/>
        <v>2</v>
      </c>
      <c r="H258" s="9">
        <f t="shared" si="47"/>
        <v>18</v>
      </c>
      <c r="I258" s="10">
        <f t="shared" si="48"/>
        <v>12</v>
      </c>
    </row>
    <row r="259" spans="1:9" ht="12.75">
      <c r="A259" s="8" t="s">
        <v>17</v>
      </c>
      <c r="B259" s="9">
        <f t="shared" si="45"/>
        <v>32</v>
      </c>
      <c r="C259" s="8"/>
      <c r="D259" s="8"/>
      <c r="E259" s="8">
        <v>4</v>
      </c>
      <c r="F259" s="8">
        <v>4</v>
      </c>
      <c r="G259" s="9">
        <f t="shared" si="46"/>
        <v>0</v>
      </c>
      <c r="H259" s="9">
        <f t="shared" si="47"/>
        <v>32</v>
      </c>
      <c r="I259" s="10">
        <f t="shared" si="48"/>
        <v>0</v>
      </c>
    </row>
    <row r="260" spans="1:9" ht="12.75">
      <c r="A260" s="8" t="s">
        <v>18</v>
      </c>
      <c r="B260" s="9">
        <f t="shared" si="45"/>
        <v>35</v>
      </c>
      <c r="C260" s="8"/>
      <c r="D260" s="8"/>
      <c r="E260" s="8">
        <v>8</v>
      </c>
      <c r="F260" s="8">
        <v>6</v>
      </c>
      <c r="G260" s="9">
        <f t="shared" si="46"/>
        <v>2</v>
      </c>
      <c r="H260" s="9">
        <f t="shared" si="47"/>
        <v>33</v>
      </c>
      <c r="I260" s="10">
        <f t="shared" si="48"/>
        <v>12</v>
      </c>
    </row>
    <row r="261" spans="1:9" ht="12.75">
      <c r="A261" s="8" t="s">
        <v>19</v>
      </c>
      <c r="B261" s="9">
        <f t="shared" si="45"/>
        <v>18</v>
      </c>
      <c r="C261" s="8"/>
      <c r="D261" s="8"/>
      <c r="E261" s="8">
        <v>9</v>
      </c>
      <c r="F261" s="8">
        <v>6</v>
      </c>
      <c r="G261" s="9">
        <f t="shared" si="46"/>
        <v>3</v>
      </c>
      <c r="H261" s="9">
        <f t="shared" si="47"/>
        <v>15</v>
      </c>
      <c r="I261" s="10">
        <f t="shared" si="48"/>
        <v>18</v>
      </c>
    </row>
    <row r="262" spans="1:9" ht="12.75">
      <c r="A262" s="8" t="s">
        <v>20</v>
      </c>
      <c r="B262" s="9">
        <f t="shared" si="45"/>
        <v>30</v>
      </c>
      <c r="C262" s="8"/>
      <c r="D262" s="8"/>
      <c r="E262" s="8">
        <v>7</v>
      </c>
      <c r="F262" s="8">
        <v>4</v>
      </c>
      <c r="G262" s="9">
        <f t="shared" si="46"/>
        <v>3</v>
      </c>
      <c r="H262" s="9">
        <f t="shared" si="47"/>
        <v>27</v>
      </c>
      <c r="I262" s="10">
        <f t="shared" si="48"/>
        <v>18</v>
      </c>
    </row>
    <row r="263" spans="1:9" ht="12.75">
      <c r="A263" s="8" t="s">
        <v>21</v>
      </c>
      <c r="B263" s="9">
        <f t="shared" si="45"/>
        <v>11</v>
      </c>
      <c r="C263" s="8"/>
      <c r="D263" s="8"/>
      <c r="E263" s="8">
        <v>2</v>
      </c>
      <c r="F263" s="8">
        <v>2</v>
      </c>
      <c r="G263" s="9">
        <f t="shared" si="46"/>
        <v>0</v>
      </c>
      <c r="H263" s="9">
        <f t="shared" si="47"/>
        <v>11</v>
      </c>
      <c r="I263" s="10">
        <f t="shared" si="48"/>
        <v>0</v>
      </c>
    </row>
    <row r="264" spans="1:9" ht="12.75">
      <c r="A264" s="8" t="s">
        <v>22</v>
      </c>
      <c r="B264" s="9">
        <f t="shared" si="45"/>
        <v>21</v>
      </c>
      <c r="C264" s="8"/>
      <c r="D264" s="8"/>
      <c r="E264" s="8">
        <v>11</v>
      </c>
      <c r="F264" s="8">
        <v>4</v>
      </c>
      <c r="G264" s="9">
        <f t="shared" si="46"/>
        <v>7</v>
      </c>
      <c r="H264" s="9">
        <f t="shared" si="47"/>
        <v>14</v>
      </c>
      <c r="I264" s="10">
        <f t="shared" si="48"/>
        <v>42</v>
      </c>
    </row>
    <row r="265" spans="1:9" ht="12.75">
      <c r="A265" s="8" t="s">
        <v>23</v>
      </c>
      <c r="B265" s="9">
        <f t="shared" si="45"/>
        <v>23</v>
      </c>
      <c r="C265" s="11"/>
      <c r="D265" s="8"/>
      <c r="E265" s="8">
        <v>6</v>
      </c>
      <c r="F265" s="8">
        <v>5</v>
      </c>
      <c r="G265" s="9">
        <f t="shared" si="46"/>
        <v>1</v>
      </c>
      <c r="H265" s="9">
        <f t="shared" si="47"/>
        <v>22</v>
      </c>
      <c r="I265" s="10">
        <f t="shared" si="48"/>
        <v>6</v>
      </c>
    </row>
    <row r="266" spans="1:9" ht="12.75">
      <c r="A266" s="8" t="s">
        <v>24</v>
      </c>
      <c r="B266" s="9">
        <f t="shared" si="45"/>
        <v>28</v>
      </c>
      <c r="C266" s="8"/>
      <c r="D266" s="8"/>
      <c r="E266" s="8">
        <v>4</v>
      </c>
      <c r="F266" s="8">
        <v>3</v>
      </c>
      <c r="G266" s="9">
        <f t="shared" si="46"/>
        <v>1</v>
      </c>
      <c r="H266" s="9">
        <f t="shared" si="47"/>
        <v>27</v>
      </c>
      <c r="I266" s="10">
        <f t="shared" si="48"/>
        <v>6</v>
      </c>
    </row>
    <row r="267" spans="1:9" ht="12.75">
      <c r="A267" s="8" t="s">
        <v>25</v>
      </c>
      <c r="B267" s="9">
        <f t="shared" si="45"/>
        <v>30</v>
      </c>
      <c r="C267" s="8"/>
      <c r="D267" s="8"/>
      <c r="E267" s="8">
        <v>12</v>
      </c>
      <c r="F267" s="8">
        <v>6</v>
      </c>
      <c r="G267" s="9">
        <f t="shared" si="46"/>
        <v>6</v>
      </c>
      <c r="H267" s="9">
        <f t="shared" si="47"/>
        <v>24</v>
      </c>
      <c r="I267" s="10">
        <f t="shared" si="48"/>
        <v>36</v>
      </c>
    </row>
    <row r="268" spans="1:9" ht="12.75">
      <c r="A268" s="8" t="s">
        <v>26</v>
      </c>
      <c r="B268" s="9">
        <f t="shared" si="45"/>
        <v>32</v>
      </c>
      <c r="C268" s="8"/>
      <c r="D268" s="8"/>
      <c r="E268" s="8">
        <v>12</v>
      </c>
      <c r="F268" s="8">
        <v>6</v>
      </c>
      <c r="G268" s="9">
        <f t="shared" si="46"/>
        <v>6</v>
      </c>
      <c r="H268" s="9">
        <f t="shared" si="47"/>
        <v>26</v>
      </c>
      <c r="I268" s="10">
        <f t="shared" si="48"/>
        <v>36</v>
      </c>
    </row>
    <row r="269" spans="1:9" ht="12.75">
      <c r="A269" s="8" t="s">
        <v>27</v>
      </c>
      <c r="B269" s="9">
        <f t="shared" si="45"/>
        <v>6</v>
      </c>
      <c r="C269" s="8">
        <v>1</v>
      </c>
      <c r="D269" s="8">
        <v>31</v>
      </c>
      <c r="E269" s="8">
        <v>4</v>
      </c>
      <c r="F269" s="8">
        <v>1</v>
      </c>
      <c r="G269" s="9">
        <f t="shared" si="46"/>
        <v>3</v>
      </c>
      <c r="H269" s="9">
        <f t="shared" si="47"/>
        <v>33</v>
      </c>
      <c r="I269" s="10">
        <f t="shared" si="48"/>
        <v>18</v>
      </c>
    </row>
    <row r="270" spans="1:9" ht="12.75">
      <c r="A270" s="8" t="s">
        <v>28</v>
      </c>
      <c r="B270" s="9">
        <f t="shared" si="45"/>
        <v>18</v>
      </c>
      <c r="C270" s="8"/>
      <c r="D270" s="8"/>
      <c r="E270" s="8">
        <v>9</v>
      </c>
      <c r="F270" s="8">
        <v>5</v>
      </c>
      <c r="G270" s="9">
        <f t="shared" si="46"/>
        <v>4</v>
      </c>
      <c r="H270" s="9">
        <f t="shared" si="47"/>
        <v>14</v>
      </c>
      <c r="I270" s="10">
        <f t="shared" si="48"/>
        <v>24</v>
      </c>
    </row>
    <row r="271" spans="1:9" ht="12.75">
      <c r="A271" s="8" t="s">
        <v>30</v>
      </c>
      <c r="B271" s="9">
        <f t="shared" si="45"/>
        <v>6</v>
      </c>
      <c r="C271" s="8">
        <v>5</v>
      </c>
      <c r="D271" s="8">
        <v>31</v>
      </c>
      <c r="E271" s="8">
        <v>1</v>
      </c>
      <c r="F271" s="8">
        <v>0</v>
      </c>
      <c r="G271" s="9">
        <f t="shared" si="46"/>
        <v>1</v>
      </c>
      <c r="H271" s="9">
        <f t="shared" si="47"/>
        <v>31</v>
      </c>
      <c r="I271" s="10">
        <f t="shared" si="48"/>
        <v>6</v>
      </c>
    </row>
    <row r="272" spans="1:9" ht="12.75">
      <c r="A272" s="13" t="s">
        <v>31</v>
      </c>
      <c r="B272" s="9">
        <v>21</v>
      </c>
      <c r="C272" s="8"/>
      <c r="D272" s="8"/>
      <c r="E272" s="8">
        <v>4</v>
      </c>
      <c r="F272" s="8">
        <v>4</v>
      </c>
      <c r="G272" s="9">
        <f t="shared" si="46"/>
        <v>0</v>
      </c>
      <c r="H272" s="9">
        <f t="shared" si="47"/>
        <v>21</v>
      </c>
      <c r="I272" s="10">
        <f t="shared" si="48"/>
        <v>0</v>
      </c>
    </row>
    <row r="273" spans="1:9" ht="12.75">
      <c r="A273" s="13" t="s">
        <v>32</v>
      </c>
      <c r="B273" s="9">
        <f>H245</f>
        <v>16</v>
      </c>
      <c r="C273" s="8"/>
      <c r="D273" s="8"/>
      <c r="E273" s="8">
        <v>3</v>
      </c>
      <c r="F273" s="8">
        <v>2</v>
      </c>
      <c r="G273" s="9">
        <f t="shared" si="46"/>
        <v>1</v>
      </c>
      <c r="H273" s="9">
        <f t="shared" si="47"/>
        <v>15</v>
      </c>
      <c r="I273" s="10">
        <f t="shared" si="48"/>
        <v>6</v>
      </c>
    </row>
    <row r="274" spans="1:9" ht="12.75">
      <c r="A274" s="14" t="s">
        <v>33</v>
      </c>
      <c r="B274" s="15">
        <f>SUM(B252:B273)</f>
        <v>477</v>
      </c>
      <c r="C274" s="14"/>
      <c r="D274" s="14"/>
      <c r="E274" s="15">
        <f t="shared" ref="E274:G274" si="49">SUM(E251:E273)</f>
        <v>160</v>
      </c>
      <c r="F274" s="15">
        <f t="shared" si="49"/>
        <v>92</v>
      </c>
      <c r="G274" s="15">
        <f t="shared" si="49"/>
        <v>68</v>
      </c>
      <c r="H274" s="15">
        <f>SUM(H252:H273)</f>
        <v>495</v>
      </c>
      <c r="I274" s="16">
        <f>SUM(I251:I273)</f>
        <v>408</v>
      </c>
    </row>
    <row r="275" spans="1:9" ht="12.75">
      <c r="A275" s="17"/>
      <c r="B275" s="17"/>
      <c r="C275" s="17"/>
      <c r="D275" s="17"/>
      <c r="E275" s="17"/>
      <c r="F275" s="134" t="s">
        <v>34</v>
      </c>
      <c r="G275" s="133"/>
      <c r="H275" s="18"/>
      <c r="I275" s="19"/>
    </row>
    <row r="277" spans="1:9" ht="12.7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>
      <c r="A278" s="1"/>
      <c r="B278" s="131" t="s">
        <v>97</v>
      </c>
      <c r="C278" s="132"/>
      <c r="D278" s="132"/>
      <c r="E278" s="132"/>
      <c r="F278" s="132"/>
      <c r="G278" s="132"/>
      <c r="H278" s="132"/>
      <c r="I278" s="133"/>
    </row>
    <row r="279" spans="1:9" ht="45">
      <c r="A279" s="2" t="s">
        <v>1</v>
      </c>
      <c r="B279" s="3" t="s">
        <v>2</v>
      </c>
      <c r="C279" s="4" t="s">
        <v>3</v>
      </c>
      <c r="D279" s="5" t="s">
        <v>4</v>
      </c>
      <c r="E279" s="2" t="s">
        <v>5</v>
      </c>
      <c r="F279" s="2" t="s">
        <v>6</v>
      </c>
      <c r="G279" s="2" t="s">
        <v>7</v>
      </c>
      <c r="H279" s="6" t="s">
        <v>8</v>
      </c>
      <c r="I279" s="7" t="s">
        <v>9</v>
      </c>
    </row>
    <row r="280" spans="1:9" ht="12.75">
      <c r="A280" s="8" t="s">
        <v>10</v>
      </c>
      <c r="B280" s="9">
        <f t="shared" ref="B280:B299" si="50">H252</f>
        <v>32</v>
      </c>
      <c r="C280" s="8"/>
      <c r="D280" s="8"/>
      <c r="E280" s="8">
        <v>6</v>
      </c>
      <c r="F280" s="8">
        <v>5</v>
      </c>
      <c r="G280" s="9">
        <f t="shared" ref="G280:G285" si="51">E280-F280</f>
        <v>1</v>
      </c>
      <c r="H280" s="9">
        <f t="shared" ref="H280:H301" si="52">B280-C280+D280-G280</f>
        <v>31</v>
      </c>
      <c r="I280" s="10">
        <f t="shared" ref="I280:I301" si="53">G280*6</f>
        <v>6</v>
      </c>
    </row>
    <row r="281" spans="1:9" ht="12.75">
      <c r="A281" s="8" t="s">
        <v>11</v>
      </c>
      <c r="B281" s="9">
        <f t="shared" si="50"/>
        <v>19</v>
      </c>
      <c r="C281" s="11"/>
      <c r="D281" s="8"/>
      <c r="E281" s="8">
        <v>6</v>
      </c>
      <c r="F281" s="8">
        <v>4</v>
      </c>
      <c r="G281" s="9">
        <f t="shared" si="51"/>
        <v>2</v>
      </c>
      <c r="H281" s="9">
        <f t="shared" si="52"/>
        <v>17</v>
      </c>
      <c r="I281" s="10">
        <f t="shared" si="53"/>
        <v>12</v>
      </c>
    </row>
    <row r="282" spans="1:9" ht="12.75">
      <c r="A282" s="8" t="s">
        <v>12</v>
      </c>
      <c r="B282" s="9">
        <f t="shared" si="50"/>
        <v>10</v>
      </c>
      <c r="C282" s="8">
        <v>1</v>
      </c>
      <c r="D282" s="8"/>
      <c r="E282" s="8">
        <v>6</v>
      </c>
      <c r="F282" s="8">
        <v>5</v>
      </c>
      <c r="G282" s="9">
        <f t="shared" si="51"/>
        <v>1</v>
      </c>
      <c r="H282" s="9">
        <f t="shared" si="52"/>
        <v>8</v>
      </c>
      <c r="I282" s="10">
        <f t="shared" si="53"/>
        <v>6</v>
      </c>
    </row>
    <row r="283" spans="1:9" ht="12.75">
      <c r="A283" s="8" t="s">
        <v>13</v>
      </c>
      <c r="B283" s="9">
        <f t="shared" si="50"/>
        <v>19</v>
      </c>
      <c r="C283" s="8"/>
      <c r="D283" s="8"/>
      <c r="E283" s="8">
        <v>6</v>
      </c>
      <c r="F283" s="8">
        <v>2</v>
      </c>
      <c r="G283" s="9">
        <f t="shared" si="51"/>
        <v>4</v>
      </c>
      <c r="H283" s="9">
        <f t="shared" si="52"/>
        <v>15</v>
      </c>
      <c r="I283" s="10">
        <f t="shared" si="53"/>
        <v>24</v>
      </c>
    </row>
    <row r="284" spans="1:9" ht="12.75">
      <c r="A284" s="8" t="s">
        <v>14</v>
      </c>
      <c r="B284" s="9">
        <f t="shared" si="50"/>
        <v>34</v>
      </c>
      <c r="C284" s="8"/>
      <c r="D284" s="8"/>
      <c r="E284" s="8">
        <v>4</v>
      </c>
      <c r="F284" s="8">
        <v>3</v>
      </c>
      <c r="G284" s="9">
        <f t="shared" si="51"/>
        <v>1</v>
      </c>
      <c r="H284" s="9">
        <f t="shared" si="52"/>
        <v>33</v>
      </c>
      <c r="I284" s="10">
        <f t="shared" si="53"/>
        <v>6</v>
      </c>
    </row>
    <row r="285" spans="1:9" ht="12.75">
      <c r="A285" s="8" t="s">
        <v>15</v>
      </c>
      <c r="B285" s="9">
        <f t="shared" si="50"/>
        <v>18</v>
      </c>
      <c r="C285" s="8"/>
      <c r="D285" s="8"/>
      <c r="E285" s="8">
        <v>6</v>
      </c>
      <c r="F285" s="8">
        <v>5</v>
      </c>
      <c r="G285" s="9">
        <f t="shared" si="51"/>
        <v>1</v>
      </c>
      <c r="H285" s="9">
        <f t="shared" si="52"/>
        <v>17</v>
      </c>
      <c r="I285" s="10">
        <f t="shared" si="53"/>
        <v>6</v>
      </c>
    </row>
    <row r="286" spans="1:9" ht="12.75">
      <c r="A286" s="8" t="s">
        <v>16</v>
      </c>
      <c r="B286" s="9">
        <f t="shared" si="50"/>
        <v>18</v>
      </c>
      <c r="C286" s="8">
        <v>16</v>
      </c>
      <c r="D286" s="8">
        <v>30</v>
      </c>
      <c r="E286" s="8">
        <v>3</v>
      </c>
      <c r="F286" s="8">
        <v>2</v>
      </c>
      <c r="G286" s="9">
        <v>1</v>
      </c>
      <c r="H286" s="9">
        <f t="shared" si="52"/>
        <v>31</v>
      </c>
      <c r="I286" s="10">
        <f t="shared" si="53"/>
        <v>6</v>
      </c>
    </row>
    <row r="287" spans="1:9" ht="12.75">
      <c r="A287" s="8" t="s">
        <v>17</v>
      </c>
      <c r="B287" s="9">
        <f t="shared" si="50"/>
        <v>32</v>
      </c>
      <c r="C287" s="8"/>
      <c r="D287" s="8"/>
      <c r="E287" s="8">
        <v>4</v>
      </c>
      <c r="F287" s="8">
        <v>3</v>
      </c>
      <c r="G287" s="9">
        <f t="shared" ref="G287:G301" si="54">E287-F287</f>
        <v>1</v>
      </c>
      <c r="H287" s="9">
        <f t="shared" si="52"/>
        <v>31</v>
      </c>
      <c r="I287" s="10">
        <f t="shared" si="53"/>
        <v>6</v>
      </c>
    </row>
    <row r="288" spans="1:9" ht="12.75">
      <c r="A288" s="8" t="s">
        <v>18</v>
      </c>
      <c r="B288" s="9">
        <f t="shared" si="50"/>
        <v>33</v>
      </c>
      <c r="C288" s="8"/>
      <c r="D288" s="8"/>
      <c r="E288" s="8">
        <v>6</v>
      </c>
      <c r="F288" s="8">
        <v>4</v>
      </c>
      <c r="G288" s="9">
        <f t="shared" si="54"/>
        <v>2</v>
      </c>
      <c r="H288" s="9">
        <f t="shared" si="52"/>
        <v>31</v>
      </c>
      <c r="I288" s="10">
        <f t="shared" si="53"/>
        <v>12</v>
      </c>
    </row>
    <row r="289" spans="1:9" ht="12.75">
      <c r="A289" s="8" t="s">
        <v>19</v>
      </c>
      <c r="B289" s="9">
        <f t="shared" si="50"/>
        <v>15</v>
      </c>
      <c r="C289" s="8"/>
      <c r="D289" s="8"/>
      <c r="E289" s="8">
        <v>6</v>
      </c>
      <c r="F289" s="8">
        <v>5</v>
      </c>
      <c r="G289" s="9">
        <f t="shared" si="54"/>
        <v>1</v>
      </c>
      <c r="H289" s="9">
        <f t="shared" si="52"/>
        <v>14</v>
      </c>
      <c r="I289" s="10">
        <f t="shared" si="53"/>
        <v>6</v>
      </c>
    </row>
    <row r="290" spans="1:9" ht="12.75">
      <c r="A290" s="8" t="s">
        <v>20</v>
      </c>
      <c r="B290" s="9">
        <f t="shared" si="50"/>
        <v>27</v>
      </c>
      <c r="C290" s="8"/>
      <c r="D290" s="8"/>
      <c r="E290" s="8">
        <v>6</v>
      </c>
      <c r="F290" s="8">
        <v>4</v>
      </c>
      <c r="G290" s="9">
        <f t="shared" si="54"/>
        <v>2</v>
      </c>
      <c r="H290" s="9">
        <f t="shared" si="52"/>
        <v>25</v>
      </c>
      <c r="I290" s="10">
        <f t="shared" si="53"/>
        <v>12</v>
      </c>
    </row>
    <row r="291" spans="1:9" ht="12.75">
      <c r="A291" s="8" t="s">
        <v>21</v>
      </c>
      <c r="B291" s="9">
        <f t="shared" si="50"/>
        <v>11</v>
      </c>
      <c r="C291" s="8"/>
      <c r="D291" s="8"/>
      <c r="E291" s="8">
        <v>2</v>
      </c>
      <c r="F291" s="8">
        <v>2</v>
      </c>
      <c r="G291" s="9">
        <f t="shared" si="54"/>
        <v>0</v>
      </c>
      <c r="H291" s="9">
        <f t="shared" si="52"/>
        <v>11</v>
      </c>
      <c r="I291" s="10">
        <f t="shared" si="53"/>
        <v>0</v>
      </c>
    </row>
    <row r="292" spans="1:9" ht="12.75">
      <c r="A292" s="8" t="s">
        <v>22</v>
      </c>
      <c r="B292" s="9">
        <f t="shared" si="50"/>
        <v>14</v>
      </c>
      <c r="C292" s="8"/>
      <c r="D292" s="8"/>
      <c r="E292" s="8">
        <v>5</v>
      </c>
      <c r="F292" s="8">
        <v>4</v>
      </c>
      <c r="G292" s="9">
        <f t="shared" si="54"/>
        <v>1</v>
      </c>
      <c r="H292" s="9">
        <f t="shared" si="52"/>
        <v>13</v>
      </c>
      <c r="I292" s="10">
        <f t="shared" si="53"/>
        <v>6</v>
      </c>
    </row>
    <row r="293" spans="1:9" ht="12.75">
      <c r="A293" s="8" t="s">
        <v>23</v>
      </c>
      <c r="B293" s="9">
        <f t="shared" si="50"/>
        <v>22</v>
      </c>
      <c r="C293" s="11"/>
      <c r="D293" s="8"/>
      <c r="E293" s="8">
        <v>6</v>
      </c>
      <c r="F293" s="8">
        <v>4</v>
      </c>
      <c r="G293" s="9">
        <f t="shared" si="54"/>
        <v>2</v>
      </c>
      <c r="H293" s="9">
        <f t="shared" si="52"/>
        <v>20</v>
      </c>
      <c r="I293" s="10">
        <f t="shared" si="53"/>
        <v>12</v>
      </c>
    </row>
    <row r="294" spans="1:9" ht="12.75">
      <c r="A294" s="8" t="s">
        <v>24</v>
      </c>
      <c r="B294" s="9">
        <f t="shared" si="50"/>
        <v>27</v>
      </c>
      <c r="C294" s="8"/>
      <c r="D294" s="8"/>
      <c r="E294" s="8">
        <v>4</v>
      </c>
      <c r="F294" s="8">
        <v>4</v>
      </c>
      <c r="G294" s="9">
        <f t="shared" si="54"/>
        <v>0</v>
      </c>
      <c r="H294" s="9">
        <f t="shared" si="52"/>
        <v>27</v>
      </c>
      <c r="I294" s="10">
        <f t="shared" si="53"/>
        <v>0</v>
      </c>
    </row>
    <row r="295" spans="1:9" ht="12.75">
      <c r="A295" s="8" t="s">
        <v>25</v>
      </c>
      <c r="B295" s="9">
        <f t="shared" si="50"/>
        <v>24</v>
      </c>
      <c r="C295" s="8"/>
      <c r="D295" s="8"/>
      <c r="E295" s="8">
        <v>10</v>
      </c>
      <c r="F295" s="8">
        <v>4</v>
      </c>
      <c r="G295" s="9">
        <f t="shared" si="54"/>
        <v>6</v>
      </c>
      <c r="H295" s="9">
        <f t="shared" si="52"/>
        <v>18</v>
      </c>
      <c r="I295" s="10">
        <f t="shared" si="53"/>
        <v>36</v>
      </c>
    </row>
    <row r="296" spans="1:9" ht="12.75">
      <c r="A296" s="8" t="s">
        <v>26</v>
      </c>
      <c r="B296" s="9">
        <f t="shared" si="50"/>
        <v>26</v>
      </c>
      <c r="C296" s="8"/>
      <c r="D296" s="8"/>
      <c r="E296" s="8">
        <v>6</v>
      </c>
      <c r="F296" s="8">
        <v>5</v>
      </c>
      <c r="G296" s="9">
        <f t="shared" si="54"/>
        <v>1</v>
      </c>
      <c r="H296" s="9">
        <f t="shared" si="52"/>
        <v>25</v>
      </c>
      <c r="I296" s="10">
        <f t="shared" si="53"/>
        <v>6</v>
      </c>
    </row>
    <row r="297" spans="1:9" ht="12.75">
      <c r="A297" s="8" t="s">
        <v>27</v>
      </c>
      <c r="B297" s="9">
        <f t="shared" si="50"/>
        <v>33</v>
      </c>
      <c r="C297" s="8"/>
      <c r="D297" s="8"/>
      <c r="E297" s="8">
        <v>4</v>
      </c>
      <c r="F297" s="8">
        <v>3</v>
      </c>
      <c r="G297" s="9">
        <f t="shared" si="54"/>
        <v>1</v>
      </c>
      <c r="H297" s="9">
        <f t="shared" si="52"/>
        <v>32</v>
      </c>
      <c r="I297" s="10">
        <f t="shared" si="53"/>
        <v>6</v>
      </c>
    </row>
    <row r="298" spans="1:9" ht="12.75">
      <c r="A298" s="8" t="s">
        <v>28</v>
      </c>
      <c r="B298" s="9">
        <f t="shared" si="50"/>
        <v>14</v>
      </c>
      <c r="C298" s="8">
        <v>1</v>
      </c>
      <c r="D298" s="8"/>
      <c r="E298" s="8">
        <v>8</v>
      </c>
      <c r="F298" s="8">
        <v>4</v>
      </c>
      <c r="G298" s="9">
        <f t="shared" si="54"/>
        <v>4</v>
      </c>
      <c r="H298" s="9">
        <f t="shared" si="52"/>
        <v>9</v>
      </c>
      <c r="I298" s="10">
        <f t="shared" si="53"/>
        <v>24</v>
      </c>
    </row>
    <row r="299" spans="1:9" ht="12.75">
      <c r="A299" s="8" t="s">
        <v>30</v>
      </c>
      <c r="B299" s="9">
        <f t="shared" si="50"/>
        <v>31</v>
      </c>
      <c r="C299" s="8"/>
      <c r="D299" s="8"/>
      <c r="E299" s="8">
        <v>2</v>
      </c>
      <c r="F299" s="8">
        <v>1</v>
      </c>
      <c r="G299" s="9">
        <f t="shared" si="54"/>
        <v>1</v>
      </c>
      <c r="H299" s="9">
        <f t="shared" si="52"/>
        <v>30</v>
      </c>
      <c r="I299" s="10">
        <f t="shared" si="53"/>
        <v>6</v>
      </c>
    </row>
    <row r="300" spans="1:9" ht="12.75">
      <c r="A300" s="13" t="s">
        <v>31</v>
      </c>
      <c r="B300" s="9">
        <v>21</v>
      </c>
      <c r="C300" s="8"/>
      <c r="D300" s="8">
        <v>19</v>
      </c>
      <c r="E300" s="8">
        <v>3</v>
      </c>
      <c r="F300" s="8">
        <v>3</v>
      </c>
      <c r="G300" s="9">
        <f t="shared" si="54"/>
        <v>0</v>
      </c>
      <c r="H300" s="9">
        <f t="shared" si="52"/>
        <v>40</v>
      </c>
      <c r="I300" s="10">
        <f t="shared" si="53"/>
        <v>0</v>
      </c>
    </row>
    <row r="301" spans="1:9" ht="12.75">
      <c r="A301" s="13" t="s">
        <v>32</v>
      </c>
      <c r="B301" s="9">
        <f>H273</f>
        <v>15</v>
      </c>
      <c r="C301" s="8"/>
      <c r="D301" s="8"/>
      <c r="E301" s="8">
        <v>3</v>
      </c>
      <c r="F301" s="8">
        <v>3</v>
      </c>
      <c r="G301" s="9">
        <f t="shared" si="54"/>
        <v>0</v>
      </c>
      <c r="H301" s="9">
        <f t="shared" si="52"/>
        <v>15</v>
      </c>
      <c r="I301" s="10">
        <f t="shared" si="53"/>
        <v>0</v>
      </c>
    </row>
    <row r="302" spans="1:9" ht="12.75">
      <c r="A302" s="14" t="s">
        <v>33</v>
      </c>
      <c r="B302" s="15">
        <f>SUM(B280:B301)</f>
        <v>495</v>
      </c>
      <c r="C302" s="14"/>
      <c r="D302" s="14"/>
      <c r="E302" s="15">
        <f t="shared" ref="E302:G302" si="55">SUM(E279:E301)</f>
        <v>112</v>
      </c>
      <c r="F302" s="15">
        <f t="shared" si="55"/>
        <v>79</v>
      </c>
      <c r="G302" s="15">
        <f t="shared" si="55"/>
        <v>33</v>
      </c>
      <c r="H302" s="15">
        <f>SUM(H280:H301)</f>
        <v>493</v>
      </c>
      <c r="I302" s="16">
        <f>SUM(I279:I301)</f>
        <v>198</v>
      </c>
    </row>
    <row r="303" spans="1:9" ht="12.75">
      <c r="A303" s="17"/>
      <c r="B303" s="17"/>
      <c r="C303" s="17"/>
      <c r="D303" s="17"/>
      <c r="E303" s="17"/>
      <c r="F303" s="134" t="s">
        <v>34</v>
      </c>
      <c r="G303" s="133"/>
      <c r="H303" s="18"/>
      <c r="I303" s="19"/>
    </row>
    <row r="305" spans="1:9" ht="12.7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>
      <c r="A306" s="1"/>
      <c r="B306" s="131" t="s">
        <v>98</v>
      </c>
      <c r="C306" s="132"/>
      <c r="D306" s="132"/>
      <c r="E306" s="132"/>
      <c r="F306" s="132"/>
      <c r="G306" s="132"/>
      <c r="H306" s="132"/>
      <c r="I306" s="133"/>
    </row>
    <row r="307" spans="1:9" ht="45">
      <c r="A307" s="2" t="s">
        <v>1</v>
      </c>
      <c r="B307" s="3" t="s">
        <v>2</v>
      </c>
      <c r="C307" s="4" t="s">
        <v>3</v>
      </c>
      <c r="D307" s="5" t="s">
        <v>4</v>
      </c>
      <c r="E307" s="2" t="s">
        <v>5</v>
      </c>
      <c r="F307" s="2" t="s">
        <v>6</v>
      </c>
      <c r="G307" s="2" t="s">
        <v>7</v>
      </c>
      <c r="H307" s="6" t="s">
        <v>8</v>
      </c>
      <c r="I307" s="7" t="s">
        <v>9</v>
      </c>
    </row>
    <row r="308" spans="1:9" ht="12.75">
      <c r="A308" s="8" t="s">
        <v>10</v>
      </c>
      <c r="B308" s="9">
        <f t="shared" ref="B308:B327" si="56">H280</f>
        <v>31</v>
      </c>
      <c r="C308" s="8">
        <v>7</v>
      </c>
      <c r="D308" s="8"/>
      <c r="E308" s="8">
        <v>6</v>
      </c>
      <c r="F308" s="8">
        <v>5</v>
      </c>
      <c r="G308" s="9">
        <f t="shared" ref="G308:G329" si="57">E308-F308</f>
        <v>1</v>
      </c>
      <c r="H308" s="9">
        <f t="shared" ref="H308:H329" si="58">B308-C308+D308-G308</f>
        <v>23</v>
      </c>
      <c r="I308" s="10">
        <f t="shared" ref="I308:I329" si="59">G308*6</f>
        <v>6</v>
      </c>
    </row>
    <row r="309" spans="1:9" ht="12.75">
      <c r="A309" s="8" t="s">
        <v>11</v>
      </c>
      <c r="B309" s="9">
        <f t="shared" si="56"/>
        <v>17</v>
      </c>
      <c r="C309" s="11"/>
      <c r="D309" s="8"/>
      <c r="E309" s="8">
        <v>6</v>
      </c>
      <c r="F309" s="8">
        <v>4</v>
      </c>
      <c r="G309" s="9">
        <f t="shared" si="57"/>
        <v>2</v>
      </c>
      <c r="H309" s="9">
        <f t="shared" si="58"/>
        <v>15</v>
      </c>
      <c r="I309" s="10">
        <f t="shared" si="59"/>
        <v>12</v>
      </c>
    </row>
    <row r="310" spans="1:9" ht="12.75">
      <c r="A310" s="8" t="s">
        <v>12</v>
      </c>
      <c r="B310" s="9">
        <f t="shared" si="56"/>
        <v>8</v>
      </c>
      <c r="C310" s="8"/>
      <c r="D310" s="8"/>
      <c r="E310" s="8">
        <v>6</v>
      </c>
      <c r="F310" s="8">
        <v>6</v>
      </c>
      <c r="G310" s="9">
        <f t="shared" si="57"/>
        <v>0</v>
      </c>
      <c r="H310" s="9">
        <f t="shared" si="58"/>
        <v>8</v>
      </c>
      <c r="I310" s="10">
        <f t="shared" si="59"/>
        <v>0</v>
      </c>
    </row>
    <row r="311" spans="1:9" ht="12.75">
      <c r="A311" s="8" t="s">
        <v>13</v>
      </c>
      <c r="B311" s="9">
        <f t="shared" si="56"/>
        <v>15</v>
      </c>
      <c r="C311" s="8"/>
      <c r="D311" s="8"/>
      <c r="E311" s="8">
        <v>6</v>
      </c>
      <c r="F311" s="8">
        <v>3</v>
      </c>
      <c r="G311" s="9">
        <f t="shared" si="57"/>
        <v>3</v>
      </c>
      <c r="H311" s="9">
        <f t="shared" si="58"/>
        <v>12</v>
      </c>
      <c r="I311" s="10">
        <f t="shared" si="59"/>
        <v>18</v>
      </c>
    </row>
    <row r="312" spans="1:9" ht="12.75">
      <c r="A312" s="8" t="s">
        <v>14</v>
      </c>
      <c r="B312" s="9">
        <f t="shared" si="56"/>
        <v>33</v>
      </c>
      <c r="C312" s="8"/>
      <c r="D312" s="8"/>
      <c r="E312" s="8">
        <v>4</v>
      </c>
      <c r="F312" s="8">
        <v>3</v>
      </c>
      <c r="G312" s="9">
        <f t="shared" si="57"/>
        <v>1</v>
      </c>
      <c r="H312" s="9">
        <f t="shared" si="58"/>
        <v>32</v>
      </c>
      <c r="I312" s="10">
        <f t="shared" si="59"/>
        <v>6</v>
      </c>
    </row>
    <row r="313" spans="1:9" ht="12.75">
      <c r="A313" s="8" t="s">
        <v>15</v>
      </c>
      <c r="B313" s="9">
        <f t="shared" si="56"/>
        <v>17</v>
      </c>
      <c r="C313" s="8"/>
      <c r="D313" s="8"/>
      <c r="E313" s="8">
        <v>6</v>
      </c>
      <c r="F313" s="8">
        <v>6</v>
      </c>
      <c r="G313" s="9">
        <f t="shared" si="57"/>
        <v>0</v>
      </c>
      <c r="H313" s="9">
        <f t="shared" si="58"/>
        <v>17</v>
      </c>
      <c r="I313" s="10">
        <f t="shared" si="59"/>
        <v>0</v>
      </c>
    </row>
    <row r="314" spans="1:9" ht="12.75">
      <c r="A314" s="8" t="s">
        <v>16</v>
      </c>
      <c r="B314" s="9">
        <f t="shared" si="56"/>
        <v>31</v>
      </c>
      <c r="C314" s="8"/>
      <c r="D314" s="8"/>
      <c r="E314" s="8">
        <v>5</v>
      </c>
      <c r="F314" s="8">
        <v>3</v>
      </c>
      <c r="G314" s="9">
        <f t="shared" si="57"/>
        <v>2</v>
      </c>
      <c r="H314" s="9">
        <f t="shared" si="58"/>
        <v>29</v>
      </c>
      <c r="I314" s="10">
        <f t="shared" si="59"/>
        <v>12</v>
      </c>
    </row>
    <row r="315" spans="1:9" ht="12.75">
      <c r="A315" s="8" t="s">
        <v>17</v>
      </c>
      <c r="B315" s="9">
        <f t="shared" si="56"/>
        <v>31</v>
      </c>
      <c r="C315" s="8"/>
      <c r="D315" s="8"/>
      <c r="E315" s="8">
        <v>4</v>
      </c>
      <c r="F315" s="8">
        <v>4</v>
      </c>
      <c r="G315" s="9">
        <f t="shared" si="57"/>
        <v>0</v>
      </c>
      <c r="H315" s="9">
        <f t="shared" si="58"/>
        <v>31</v>
      </c>
      <c r="I315" s="10">
        <f t="shared" si="59"/>
        <v>0</v>
      </c>
    </row>
    <row r="316" spans="1:9" ht="12.75">
      <c r="A316" s="8" t="s">
        <v>18</v>
      </c>
      <c r="B316" s="9">
        <f t="shared" si="56"/>
        <v>31</v>
      </c>
      <c r="C316" s="8"/>
      <c r="D316" s="8"/>
      <c r="E316" s="8">
        <v>6</v>
      </c>
      <c r="F316" s="8">
        <v>6</v>
      </c>
      <c r="G316" s="9">
        <f t="shared" si="57"/>
        <v>0</v>
      </c>
      <c r="H316" s="9">
        <f t="shared" si="58"/>
        <v>31</v>
      </c>
      <c r="I316" s="10">
        <f t="shared" si="59"/>
        <v>0</v>
      </c>
    </row>
    <row r="317" spans="1:9" ht="12.75">
      <c r="A317" s="8" t="s">
        <v>19</v>
      </c>
      <c r="B317" s="9">
        <f t="shared" si="56"/>
        <v>14</v>
      </c>
      <c r="C317" s="8"/>
      <c r="D317" s="8"/>
      <c r="E317" s="8">
        <v>6</v>
      </c>
      <c r="F317" s="8">
        <v>6</v>
      </c>
      <c r="G317" s="9">
        <f t="shared" si="57"/>
        <v>0</v>
      </c>
      <c r="H317" s="9">
        <f t="shared" si="58"/>
        <v>14</v>
      </c>
      <c r="I317" s="10">
        <f t="shared" si="59"/>
        <v>0</v>
      </c>
    </row>
    <row r="318" spans="1:9" ht="12.75">
      <c r="A318" s="8" t="s">
        <v>20</v>
      </c>
      <c r="B318" s="9">
        <f t="shared" si="56"/>
        <v>25</v>
      </c>
      <c r="C318" s="8"/>
      <c r="D318" s="8"/>
      <c r="E318" s="8">
        <v>6</v>
      </c>
      <c r="F318" s="8">
        <v>6</v>
      </c>
      <c r="G318" s="9">
        <f t="shared" si="57"/>
        <v>0</v>
      </c>
      <c r="H318" s="9">
        <f t="shared" si="58"/>
        <v>25</v>
      </c>
      <c r="I318" s="10">
        <f t="shared" si="59"/>
        <v>0</v>
      </c>
    </row>
    <row r="319" spans="1:9" ht="12.75">
      <c r="A319" s="8" t="s">
        <v>21</v>
      </c>
      <c r="B319" s="9">
        <f t="shared" si="56"/>
        <v>11</v>
      </c>
      <c r="C319" s="8"/>
      <c r="D319" s="8"/>
      <c r="E319" s="8">
        <v>2</v>
      </c>
      <c r="F319" s="8">
        <v>1</v>
      </c>
      <c r="G319" s="9">
        <f t="shared" si="57"/>
        <v>1</v>
      </c>
      <c r="H319" s="9">
        <f t="shared" si="58"/>
        <v>10</v>
      </c>
      <c r="I319" s="10">
        <f t="shared" si="59"/>
        <v>6</v>
      </c>
    </row>
    <row r="320" spans="1:9" ht="12.75">
      <c r="A320" s="8" t="s">
        <v>22</v>
      </c>
      <c r="B320" s="9">
        <f t="shared" si="56"/>
        <v>13</v>
      </c>
      <c r="C320" s="8"/>
      <c r="D320" s="8"/>
      <c r="E320" s="8">
        <v>5</v>
      </c>
      <c r="F320" s="8">
        <v>5</v>
      </c>
      <c r="G320" s="9">
        <f t="shared" si="57"/>
        <v>0</v>
      </c>
      <c r="H320" s="9">
        <f t="shared" si="58"/>
        <v>13</v>
      </c>
      <c r="I320" s="10">
        <f t="shared" si="59"/>
        <v>0</v>
      </c>
    </row>
    <row r="321" spans="1:9" ht="12.75">
      <c r="A321" s="8" t="s">
        <v>23</v>
      </c>
      <c r="B321" s="9">
        <f t="shared" si="56"/>
        <v>20</v>
      </c>
      <c r="C321" s="11"/>
      <c r="D321" s="8"/>
      <c r="E321" s="8">
        <v>6</v>
      </c>
      <c r="F321" s="8">
        <v>5</v>
      </c>
      <c r="G321" s="9">
        <f t="shared" si="57"/>
        <v>1</v>
      </c>
      <c r="H321" s="9">
        <f t="shared" si="58"/>
        <v>19</v>
      </c>
      <c r="I321" s="10">
        <f t="shared" si="59"/>
        <v>6</v>
      </c>
    </row>
    <row r="322" spans="1:9" ht="12.75">
      <c r="A322" s="8" t="s">
        <v>24</v>
      </c>
      <c r="B322" s="9">
        <f t="shared" si="56"/>
        <v>27</v>
      </c>
      <c r="C322" s="8"/>
      <c r="D322" s="8"/>
      <c r="E322" s="8">
        <v>4</v>
      </c>
      <c r="F322" s="8">
        <v>3</v>
      </c>
      <c r="G322" s="9">
        <f t="shared" si="57"/>
        <v>1</v>
      </c>
      <c r="H322" s="9">
        <f t="shared" si="58"/>
        <v>26</v>
      </c>
      <c r="I322" s="10">
        <f t="shared" si="59"/>
        <v>6</v>
      </c>
    </row>
    <row r="323" spans="1:9" ht="12.75">
      <c r="A323" s="8" t="s">
        <v>25</v>
      </c>
      <c r="B323" s="9">
        <f t="shared" si="56"/>
        <v>18</v>
      </c>
      <c r="C323" s="8"/>
      <c r="D323" s="8"/>
      <c r="E323" s="8">
        <v>10</v>
      </c>
      <c r="F323" s="8">
        <v>6</v>
      </c>
      <c r="G323" s="9">
        <f t="shared" si="57"/>
        <v>4</v>
      </c>
      <c r="H323" s="9">
        <f t="shared" si="58"/>
        <v>14</v>
      </c>
      <c r="I323" s="10">
        <f t="shared" si="59"/>
        <v>24</v>
      </c>
    </row>
    <row r="324" spans="1:9" ht="12.75">
      <c r="A324" s="8" t="s">
        <v>26</v>
      </c>
      <c r="B324" s="9">
        <f t="shared" si="56"/>
        <v>25</v>
      </c>
      <c r="C324" s="8"/>
      <c r="D324" s="8"/>
      <c r="E324" s="8">
        <v>6</v>
      </c>
      <c r="F324" s="8">
        <v>5</v>
      </c>
      <c r="G324" s="9">
        <f t="shared" si="57"/>
        <v>1</v>
      </c>
      <c r="H324" s="9">
        <f t="shared" si="58"/>
        <v>24</v>
      </c>
      <c r="I324" s="10">
        <f t="shared" si="59"/>
        <v>6</v>
      </c>
    </row>
    <row r="325" spans="1:9" ht="12.75">
      <c r="A325" s="8" t="s">
        <v>27</v>
      </c>
      <c r="B325" s="9">
        <f t="shared" si="56"/>
        <v>32</v>
      </c>
      <c r="C325" s="8"/>
      <c r="D325" s="8"/>
      <c r="E325" s="8">
        <v>4</v>
      </c>
      <c r="F325" s="8">
        <v>3</v>
      </c>
      <c r="G325" s="9">
        <f t="shared" si="57"/>
        <v>1</v>
      </c>
      <c r="H325" s="9">
        <f t="shared" si="58"/>
        <v>31</v>
      </c>
      <c r="I325" s="10">
        <f t="shared" si="59"/>
        <v>6</v>
      </c>
    </row>
    <row r="326" spans="1:9" ht="12.75">
      <c r="A326" s="8" t="s">
        <v>28</v>
      </c>
      <c r="B326" s="9">
        <f t="shared" si="56"/>
        <v>9</v>
      </c>
      <c r="C326" s="8"/>
      <c r="D326" s="8"/>
      <c r="E326" s="8">
        <v>8</v>
      </c>
      <c r="F326" s="8">
        <v>4</v>
      </c>
      <c r="G326" s="9">
        <f t="shared" si="57"/>
        <v>4</v>
      </c>
      <c r="H326" s="9">
        <f t="shared" si="58"/>
        <v>5</v>
      </c>
      <c r="I326" s="10">
        <f t="shared" si="59"/>
        <v>24</v>
      </c>
    </row>
    <row r="327" spans="1:9" ht="12.75">
      <c r="A327" s="8" t="s">
        <v>30</v>
      </c>
      <c r="B327" s="9">
        <f t="shared" si="56"/>
        <v>30</v>
      </c>
      <c r="C327" s="8"/>
      <c r="D327" s="8"/>
      <c r="E327" s="8">
        <v>2</v>
      </c>
      <c r="F327" s="8">
        <v>2</v>
      </c>
      <c r="G327" s="9">
        <f t="shared" si="57"/>
        <v>0</v>
      </c>
      <c r="H327" s="9">
        <f t="shared" si="58"/>
        <v>30</v>
      </c>
      <c r="I327" s="10">
        <f t="shared" si="59"/>
        <v>0</v>
      </c>
    </row>
    <row r="328" spans="1:9" ht="12.75">
      <c r="A328" s="13" t="s">
        <v>31</v>
      </c>
      <c r="B328" s="9">
        <v>21</v>
      </c>
      <c r="C328" s="8"/>
      <c r="D328" s="8"/>
      <c r="E328" s="8">
        <v>3</v>
      </c>
      <c r="F328" s="8">
        <v>3</v>
      </c>
      <c r="G328" s="9">
        <f t="shared" si="57"/>
        <v>0</v>
      </c>
      <c r="H328" s="9">
        <f t="shared" si="58"/>
        <v>21</v>
      </c>
      <c r="I328" s="10">
        <f t="shared" si="59"/>
        <v>0</v>
      </c>
    </row>
    <row r="329" spans="1:9" ht="12.75">
      <c r="A329" s="13" t="s">
        <v>32</v>
      </c>
      <c r="B329" s="9">
        <f>H301</f>
        <v>15</v>
      </c>
      <c r="C329" s="8"/>
      <c r="D329" s="8"/>
      <c r="E329" s="8">
        <v>3</v>
      </c>
      <c r="F329" s="8">
        <v>2</v>
      </c>
      <c r="G329" s="9">
        <f t="shared" si="57"/>
        <v>1</v>
      </c>
      <c r="H329" s="9">
        <f t="shared" si="58"/>
        <v>14</v>
      </c>
      <c r="I329" s="10">
        <f t="shared" si="59"/>
        <v>6</v>
      </c>
    </row>
    <row r="330" spans="1:9" ht="12.75">
      <c r="A330" s="14" t="s">
        <v>33</v>
      </c>
      <c r="B330" s="15">
        <f>SUM(B308:B329)</f>
        <v>474</v>
      </c>
      <c r="C330" s="14"/>
      <c r="D330" s="14"/>
      <c r="E330" s="15">
        <f t="shared" ref="E330:G330" si="60">SUM(E307:E329)</f>
        <v>114</v>
      </c>
      <c r="F330" s="15">
        <f t="shared" si="60"/>
        <v>91</v>
      </c>
      <c r="G330" s="15">
        <f t="shared" si="60"/>
        <v>23</v>
      </c>
      <c r="H330" s="15">
        <f>SUM(H308:H329)</f>
        <v>444</v>
      </c>
      <c r="I330" s="16">
        <f>SUM(I307:I329)</f>
        <v>138</v>
      </c>
    </row>
    <row r="331" spans="1:9" ht="12.75">
      <c r="A331" s="17"/>
      <c r="B331" s="17"/>
      <c r="C331" s="17"/>
      <c r="D331" s="17"/>
      <c r="E331" s="17"/>
      <c r="F331" s="134" t="s">
        <v>34</v>
      </c>
      <c r="G331" s="133"/>
      <c r="H331" s="18"/>
      <c r="I331" s="19"/>
    </row>
    <row r="333" spans="1:9" ht="12.7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>
      <c r="A334" s="1"/>
      <c r="B334" s="131" t="s">
        <v>99</v>
      </c>
      <c r="C334" s="132"/>
      <c r="D334" s="132"/>
      <c r="E334" s="132"/>
      <c r="F334" s="132"/>
      <c r="G334" s="132"/>
      <c r="H334" s="132"/>
      <c r="I334" s="133"/>
    </row>
    <row r="335" spans="1:9" ht="45">
      <c r="A335" s="2" t="s">
        <v>1</v>
      </c>
      <c r="B335" s="3" t="s">
        <v>2</v>
      </c>
      <c r="C335" s="4" t="s">
        <v>3</v>
      </c>
      <c r="D335" s="5" t="s">
        <v>4</v>
      </c>
      <c r="E335" s="2" t="s">
        <v>5</v>
      </c>
      <c r="F335" s="2" t="s">
        <v>6</v>
      </c>
      <c r="G335" s="2" t="s">
        <v>7</v>
      </c>
      <c r="H335" s="6" t="s">
        <v>8</v>
      </c>
      <c r="I335" s="7" t="s">
        <v>9</v>
      </c>
    </row>
    <row r="336" spans="1:9" ht="12.75">
      <c r="A336" s="8" t="s">
        <v>10</v>
      </c>
      <c r="B336" s="9">
        <f t="shared" ref="B336:B355" si="61">H308</f>
        <v>23</v>
      </c>
      <c r="C336" s="8"/>
      <c r="D336" s="8"/>
      <c r="E336" s="8">
        <v>6</v>
      </c>
      <c r="F336" s="8">
        <v>4</v>
      </c>
      <c r="G336" s="9">
        <f t="shared" ref="G336:G357" si="62">E336-F336</f>
        <v>2</v>
      </c>
      <c r="H336" s="9">
        <f t="shared" ref="H336:H357" si="63">B336-C336+D336-G336</f>
        <v>21</v>
      </c>
      <c r="I336" s="10">
        <f t="shared" ref="I336:I357" si="64">G336*6</f>
        <v>12</v>
      </c>
    </row>
    <row r="337" spans="1:9" ht="12.75">
      <c r="A337" s="8" t="s">
        <v>11</v>
      </c>
      <c r="B337" s="9">
        <f t="shared" si="61"/>
        <v>15</v>
      </c>
      <c r="C337" s="11">
        <v>1</v>
      </c>
      <c r="D337" s="8"/>
      <c r="E337" s="8">
        <v>6</v>
      </c>
      <c r="F337" s="8">
        <v>5</v>
      </c>
      <c r="G337" s="9">
        <f t="shared" si="62"/>
        <v>1</v>
      </c>
      <c r="H337" s="9">
        <f t="shared" si="63"/>
        <v>13</v>
      </c>
      <c r="I337" s="10">
        <f t="shared" si="64"/>
        <v>6</v>
      </c>
    </row>
    <row r="338" spans="1:9" ht="12.75">
      <c r="A338" s="8" t="s">
        <v>12</v>
      </c>
      <c r="B338" s="9">
        <f t="shared" si="61"/>
        <v>8</v>
      </c>
      <c r="C338" s="8"/>
      <c r="D338" s="8">
        <v>37</v>
      </c>
      <c r="E338" s="8">
        <v>6</v>
      </c>
      <c r="F338" s="8">
        <v>5</v>
      </c>
      <c r="G338" s="9">
        <f t="shared" si="62"/>
        <v>1</v>
      </c>
      <c r="H338" s="9">
        <f t="shared" si="63"/>
        <v>44</v>
      </c>
      <c r="I338" s="10">
        <f t="shared" si="64"/>
        <v>6</v>
      </c>
    </row>
    <row r="339" spans="1:9" ht="12.75">
      <c r="A339" s="8" t="s">
        <v>13</v>
      </c>
      <c r="B339" s="9">
        <f t="shared" si="61"/>
        <v>12</v>
      </c>
      <c r="C339" s="8"/>
      <c r="D339" s="8">
        <v>28</v>
      </c>
      <c r="E339" s="8">
        <v>6</v>
      </c>
      <c r="F339" s="8">
        <v>3</v>
      </c>
      <c r="G339" s="9">
        <f t="shared" si="62"/>
        <v>3</v>
      </c>
      <c r="H339" s="9">
        <f t="shared" si="63"/>
        <v>37</v>
      </c>
      <c r="I339" s="10">
        <f t="shared" si="64"/>
        <v>18</v>
      </c>
    </row>
    <row r="340" spans="1:9" ht="12.75">
      <c r="A340" s="8" t="s">
        <v>14</v>
      </c>
      <c r="B340" s="9">
        <f t="shared" si="61"/>
        <v>32</v>
      </c>
      <c r="C340" s="8"/>
      <c r="D340" s="8"/>
      <c r="E340" s="8">
        <v>4</v>
      </c>
      <c r="F340" s="8">
        <v>3</v>
      </c>
      <c r="G340" s="9">
        <f t="shared" si="62"/>
        <v>1</v>
      </c>
      <c r="H340" s="9">
        <f t="shared" si="63"/>
        <v>31</v>
      </c>
      <c r="I340" s="10">
        <f t="shared" si="64"/>
        <v>6</v>
      </c>
    </row>
    <row r="341" spans="1:9" ht="12.75">
      <c r="A341" s="8" t="s">
        <v>15</v>
      </c>
      <c r="B341" s="9">
        <f t="shared" si="61"/>
        <v>17</v>
      </c>
      <c r="C341" s="8"/>
      <c r="D341" s="8"/>
      <c r="E341" s="8">
        <v>6</v>
      </c>
      <c r="F341" s="8">
        <v>6</v>
      </c>
      <c r="G341" s="9">
        <f t="shared" si="62"/>
        <v>0</v>
      </c>
      <c r="H341" s="9">
        <f t="shared" si="63"/>
        <v>17</v>
      </c>
      <c r="I341" s="10">
        <f t="shared" si="64"/>
        <v>0</v>
      </c>
    </row>
    <row r="342" spans="1:9" ht="12.75">
      <c r="A342" s="8" t="s">
        <v>16</v>
      </c>
      <c r="B342" s="9">
        <f t="shared" si="61"/>
        <v>29</v>
      </c>
      <c r="C342" s="8"/>
      <c r="D342" s="8"/>
      <c r="E342" s="8">
        <v>5</v>
      </c>
      <c r="F342" s="8">
        <v>3</v>
      </c>
      <c r="G342" s="9">
        <f t="shared" si="62"/>
        <v>2</v>
      </c>
      <c r="H342" s="9">
        <f t="shared" si="63"/>
        <v>27</v>
      </c>
      <c r="I342" s="10">
        <f t="shared" si="64"/>
        <v>12</v>
      </c>
    </row>
    <row r="343" spans="1:9" ht="12.75">
      <c r="A343" s="8" t="s">
        <v>17</v>
      </c>
      <c r="B343" s="9">
        <f t="shared" si="61"/>
        <v>31</v>
      </c>
      <c r="C343" s="8"/>
      <c r="D343" s="8"/>
      <c r="E343" s="8">
        <v>4</v>
      </c>
      <c r="F343" s="8">
        <v>3</v>
      </c>
      <c r="G343" s="9">
        <f t="shared" si="62"/>
        <v>1</v>
      </c>
      <c r="H343" s="9">
        <f t="shared" si="63"/>
        <v>30</v>
      </c>
      <c r="I343" s="10">
        <f t="shared" si="64"/>
        <v>6</v>
      </c>
    </row>
    <row r="344" spans="1:9" ht="12.75">
      <c r="A344" s="8" t="s">
        <v>18</v>
      </c>
      <c r="B344" s="9">
        <f t="shared" si="61"/>
        <v>31</v>
      </c>
      <c r="C344" s="8"/>
      <c r="D344" s="8"/>
      <c r="E344" s="8">
        <v>6</v>
      </c>
      <c r="F344" s="8">
        <v>4</v>
      </c>
      <c r="G344" s="9">
        <f t="shared" si="62"/>
        <v>2</v>
      </c>
      <c r="H344" s="9">
        <f t="shared" si="63"/>
        <v>29</v>
      </c>
      <c r="I344" s="10">
        <f t="shared" si="64"/>
        <v>12</v>
      </c>
    </row>
    <row r="345" spans="1:9" ht="12.75">
      <c r="A345" s="8" t="s">
        <v>19</v>
      </c>
      <c r="B345" s="9">
        <f t="shared" si="61"/>
        <v>14</v>
      </c>
      <c r="C345" s="8"/>
      <c r="D345" s="8"/>
      <c r="E345" s="8">
        <v>6</v>
      </c>
      <c r="F345" s="8">
        <v>6</v>
      </c>
      <c r="G345" s="9">
        <f t="shared" si="62"/>
        <v>0</v>
      </c>
      <c r="H345" s="9">
        <f t="shared" si="63"/>
        <v>14</v>
      </c>
      <c r="I345" s="10">
        <f t="shared" si="64"/>
        <v>0</v>
      </c>
    </row>
    <row r="346" spans="1:9" ht="12.75">
      <c r="A346" s="8" t="s">
        <v>20</v>
      </c>
      <c r="B346" s="9">
        <f t="shared" si="61"/>
        <v>25</v>
      </c>
      <c r="C346" s="8"/>
      <c r="D346" s="8"/>
      <c r="E346" s="8">
        <v>6</v>
      </c>
      <c r="F346" s="8">
        <v>2</v>
      </c>
      <c r="G346" s="9">
        <f t="shared" si="62"/>
        <v>4</v>
      </c>
      <c r="H346" s="9">
        <f t="shared" si="63"/>
        <v>21</v>
      </c>
      <c r="I346" s="10">
        <f t="shared" si="64"/>
        <v>24</v>
      </c>
    </row>
    <row r="347" spans="1:9" ht="12.75">
      <c r="A347" s="8" t="s">
        <v>21</v>
      </c>
      <c r="B347" s="9">
        <f t="shared" si="61"/>
        <v>10</v>
      </c>
      <c r="C347" s="8"/>
      <c r="D347" s="8"/>
      <c r="E347" s="8">
        <v>2</v>
      </c>
      <c r="F347" s="8">
        <v>2</v>
      </c>
      <c r="G347" s="9">
        <f t="shared" si="62"/>
        <v>0</v>
      </c>
      <c r="H347" s="9">
        <f t="shared" si="63"/>
        <v>10</v>
      </c>
      <c r="I347" s="10">
        <f t="shared" si="64"/>
        <v>0</v>
      </c>
    </row>
    <row r="348" spans="1:9" ht="12.75">
      <c r="A348" s="8" t="s">
        <v>22</v>
      </c>
      <c r="B348" s="9">
        <f t="shared" si="61"/>
        <v>13</v>
      </c>
      <c r="C348" s="8">
        <v>1</v>
      </c>
      <c r="D348" s="8"/>
      <c r="E348" s="8">
        <v>5</v>
      </c>
      <c r="F348" s="8">
        <v>5</v>
      </c>
      <c r="G348" s="9">
        <f t="shared" si="62"/>
        <v>0</v>
      </c>
      <c r="H348" s="9">
        <f t="shared" si="63"/>
        <v>12</v>
      </c>
      <c r="I348" s="10">
        <f t="shared" si="64"/>
        <v>0</v>
      </c>
    </row>
    <row r="349" spans="1:9" ht="12.75">
      <c r="A349" s="8" t="s">
        <v>23</v>
      </c>
      <c r="B349" s="9">
        <f t="shared" si="61"/>
        <v>19</v>
      </c>
      <c r="C349" s="11"/>
      <c r="D349" s="8"/>
      <c r="E349" s="8">
        <v>6</v>
      </c>
      <c r="F349" s="8">
        <v>5</v>
      </c>
      <c r="G349" s="9">
        <f t="shared" si="62"/>
        <v>1</v>
      </c>
      <c r="H349" s="9">
        <f t="shared" si="63"/>
        <v>18</v>
      </c>
      <c r="I349" s="10">
        <f t="shared" si="64"/>
        <v>6</v>
      </c>
    </row>
    <row r="350" spans="1:9" ht="12.75">
      <c r="A350" s="8" t="s">
        <v>24</v>
      </c>
      <c r="B350" s="9">
        <f t="shared" si="61"/>
        <v>26</v>
      </c>
      <c r="C350" s="8"/>
      <c r="D350" s="8"/>
      <c r="E350" s="8">
        <v>4</v>
      </c>
      <c r="F350" s="8">
        <v>4</v>
      </c>
      <c r="G350" s="9">
        <f t="shared" si="62"/>
        <v>0</v>
      </c>
      <c r="H350" s="9">
        <f t="shared" si="63"/>
        <v>26</v>
      </c>
      <c r="I350" s="10">
        <f t="shared" si="64"/>
        <v>0</v>
      </c>
    </row>
    <row r="351" spans="1:9" ht="12.75">
      <c r="A351" s="8" t="s">
        <v>25</v>
      </c>
      <c r="B351" s="9">
        <f t="shared" si="61"/>
        <v>14</v>
      </c>
      <c r="C351" s="8"/>
      <c r="D351" s="8">
        <v>30</v>
      </c>
      <c r="E351" s="8">
        <v>10</v>
      </c>
      <c r="F351" s="8">
        <v>3</v>
      </c>
      <c r="G351" s="9">
        <f t="shared" si="62"/>
        <v>7</v>
      </c>
      <c r="H351" s="9">
        <f t="shared" si="63"/>
        <v>37</v>
      </c>
      <c r="I351" s="10">
        <f t="shared" si="64"/>
        <v>42</v>
      </c>
    </row>
    <row r="352" spans="1:9" ht="12.75">
      <c r="A352" s="8" t="s">
        <v>26</v>
      </c>
      <c r="B352" s="9">
        <f t="shared" si="61"/>
        <v>24</v>
      </c>
      <c r="C352" s="8"/>
      <c r="D352" s="8"/>
      <c r="E352" s="8">
        <v>6</v>
      </c>
      <c r="F352" s="8">
        <v>4</v>
      </c>
      <c r="G352" s="9">
        <f t="shared" si="62"/>
        <v>2</v>
      </c>
      <c r="H352" s="9">
        <f t="shared" si="63"/>
        <v>22</v>
      </c>
      <c r="I352" s="10">
        <f t="shared" si="64"/>
        <v>12</v>
      </c>
    </row>
    <row r="353" spans="1:9" ht="12.75">
      <c r="A353" s="8" t="s">
        <v>27</v>
      </c>
      <c r="B353" s="9">
        <f t="shared" si="61"/>
        <v>31</v>
      </c>
      <c r="C353" s="8"/>
      <c r="D353" s="8"/>
      <c r="E353" s="8">
        <v>4</v>
      </c>
      <c r="F353" s="8">
        <v>4</v>
      </c>
      <c r="G353" s="9">
        <f t="shared" si="62"/>
        <v>0</v>
      </c>
      <c r="H353" s="9">
        <f t="shared" si="63"/>
        <v>31</v>
      </c>
      <c r="I353" s="10">
        <f t="shared" si="64"/>
        <v>0</v>
      </c>
    </row>
    <row r="354" spans="1:9" ht="12.75">
      <c r="A354" s="8" t="s">
        <v>28</v>
      </c>
      <c r="B354" s="9">
        <f t="shared" si="61"/>
        <v>5</v>
      </c>
      <c r="C354" s="8"/>
      <c r="D354" s="8">
        <v>33</v>
      </c>
      <c r="E354" s="8">
        <v>5</v>
      </c>
      <c r="F354" s="8">
        <v>0</v>
      </c>
      <c r="G354" s="9">
        <f t="shared" si="62"/>
        <v>5</v>
      </c>
      <c r="H354" s="9">
        <f t="shared" si="63"/>
        <v>33</v>
      </c>
      <c r="I354" s="10">
        <f t="shared" si="64"/>
        <v>30</v>
      </c>
    </row>
    <row r="355" spans="1:9" ht="12.75">
      <c r="A355" s="8" t="s">
        <v>30</v>
      </c>
      <c r="B355" s="9">
        <f t="shared" si="61"/>
        <v>30</v>
      </c>
      <c r="C355" s="8"/>
      <c r="D355" s="8"/>
      <c r="E355" s="8">
        <v>2</v>
      </c>
      <c r="F355" s="8">
        <v>0</v>
      </c>
      <c r="G355" s="9">
        <f t="shared" si="62"/>
        <v>2</v>
      </c>
      <c r="H355" s="9">
        <f t="shared" si="63"/>
        <v>28</v>
      </c>
      <c r="I355" s="10">
        <f t="shared" si="64"/>
        <v>12</v>
      </c>
    </row>
    <row r="356" spans="1:9" ht="12.75">
      <c r="A356" s="13" t="s">
        <v>31</v>
      </c>
      <c r="B356" s="9">
        <v>21</v>
      </c>
      <c r="C356" s="8"/>
      <c r="D356" s="8"/>
      <c r="E356" s="8">
        <v>3</v>
      </c>
      <c r="F356" s="8">
        <v>2</v>
      </c>
      <c r="G356" s="9">
        <f t="shared" si="62"/>
        <v>1</v>
      </c>
      <c r="H356" s="9">
        <f t="shared" si="63"/>
        <v>20</v>
      </c>
      <c r="I356" s="10">
        <f t="shared" si="64"/>
        <v>6</v>
      </c>
    </row>
    <row r="357" spans="1:9" ht="12.75">
      <c r="A357" s="13" t="s">
        <v>32</v>
      </c>
      <c r="B357" s="9">
        <f>H329</f>
        <v>14</v>
      </c>
      <c r="C357" s="8"/>
      <c r="D357" s="8"/>
      <c r="E357" s="8">
        <v>3</v>
      </c>
      <c r="F357" s="8">
        <v>0</v>
      </c>
      <c r="G357" s="9">
        <f t="shared" si="62"/>
        <v>3</v>
      </c>
      <c r="H357" s="9">
        <f t="shared" si="63"/>
        <v>11</v>
      </c>
      <c r="I357" s="10">
        <f t="shared" si="64"/>
        <v>18</v>
      </c>
    </row>
    <row r="358" spans="1:9" ht="12.75">
      <c r="A358" s="14" t="s">
        <v>33</v>
      </c>
      <c r="B358" s="15">
        <f>SUM(B336:B357)</f>
        <v>444</v>
      </c>
      <c r="C358" s="14"/>
      <c r="D358" s="14"/>
      <c r="E358" s="15">
        <f t="shared" ref="E358:G358" si="65">SUM(E335:E357)</f>
        <v>111</v>
      </c>
      <c r="F358" s="15">
        <f t="shared" si="65"/>
        <v>73</v>
      </c>
      <c r="G358" s="15">
        <f t="shared" si="65"/>
        <v>38</v>
      </c>
      <c r="H358" s="15">
        <f>SUM(H336:H357)</f>
        <v>532</v>
      </c>
      <c r="I358" s="16">
        <f>SUM(I335:I357)</f>
        <v>228</v>
      </c>
    </row>
    <row r="359" spans="1:9" ht="12.75">
      <c r="A359" s="17"/>
      <c r="B359" s="17"/>
      <c r="C359" s="17"/>
      <c r="D359" s="17"/>
      <c r="E359" s="17"/>
      <c r="F359" s="134" t="s">
        <v>34</v>
      </c>
      <c r="G359" s="133"/>
      <c r="H359" s="18"/>
      <c r="I359" s="19"/>
    </row>
    <row r="361" spans="1:9" ht="12.75">
      <c r="A361" s="17"/>
      <c r="B361" s="17"/>
      <c r="C361" s="17"/>
      <c r="D361" s="17"/>
      <c r="E361" s="17"/>
      <c r="F361" s="17"/>
      <c r="G361" s="17"/>
      <c r="H361" s="17"/>
      <c r="I361" s="17"/>
    </row>
    <row r="362" spans="1:9">
      <c r="A362" s="1"/>
      <c r="B362" s="131" t="s">
        <v>100</v>
      </c>
      <c r="C362" s="132"/>
      <c r="D362" s="132"/>
      <c r="E362" s="132"/>
      <c r="F362" s="132"/>
      <c r="G362" s="132"/>
      <c r="H362" s="132"/>
      <c r="I362" s="133"/>
    </row>
    <row r="363" spans="1:9" ht="45">
      <c r="A363" s="2" t="s">
        <v>1</v>
      </c>
      <c r="B363" s="3" t="s">
        <v>2</v>
      </c>
      <c r="C363" s="4" t="s">
        <v>3</v>
      </c>
      <c r="D363" s="5" t="s">
        <v>4</v>
      </c>
      <c r="E363" s="2" t="s">
        <v>5</v>
      </c>
      <c r="F363" s="2" t="s">
        <v>6</v>
      </c>
      <c r="G363" s="2" t="s">
        <v>7</v>
      </c>
      <c r="H363" s="6" t="s">
        <v>8</v>
      </c>
      <c r="I363" s="7" t="s">
        <v>9</v>
      </c>
    </row>
    <row r="364" spans="1:9" ht="12.75">
      <c r="A364" s="8" t="s">
        <v>10</v>
      </c>
      <c r="B364" s="9">
        <f t="shared" ref="B364:B383" si="66">H336</f>
        <v>21</v>
      </c>
      <c r="C364" s="8"/>
      <c r="D364" s="8"/>
      <c r="E364" s="8">
        <v>6</v>
      </c>
      <c r="F364" s="8">
        <v>6</v>
      </c>
      <c r="G364" s="9">
        <f t="shared" ref="G364:G385" si="67">E364-F364</f>
        <v>0</v>
      </c>
      <c r="H364" s="9">
        <f t="shared" ref="H364:H385" si="68">B364-C364+D364-G364</f>
        <v>21</v>
      </c>
      <c r="I364" s="10">
        <f t="shared" ref="I364:I385" si="69">G364*6</f>
        <v>0</v>
      </c>
    </row>
    <row r="365" spans="1:9" ht="12.75">
      <c r="A365" s="8" t="s">
        <v>11</v>
      </c>
      <c r="B365" s="9">
        <f t="shared" si="66"/>
        <v>13</v>
      </c>
      <c r="C365" s="11"/>
      <c r="D365" s="8"/>
      <c r="E365" s="8">
        <v>6</v>
      </c>
      <c r="F365" s="8">
        <v>5</v>
      </c>
      <c r="G365" s="9">
        <f t="shared" si="67"/>
        <v>1</v>
      </c>
      <c r="H365" s="9">
        <f t="shared" si="68"/>
        <v>12</v>
      </c>
      <c r="I365" s="10">
        <f t="shared" si="69"/>
        <v>6</v>
      </c>
    </row>
    <row r="366" spans="1:9" ht="12.75">
      <c r="A366" s="8" t="s">
        <v>12</v>
      </c>
      <c r="B366" s="9">
        <f t="shared" si="66"/>
        <v>44</v>
      </c>
      <c r="C366" s="8"/>
      <c r="D366" s="8"/>
      <c r="E366" s="8">
        <v>6</v>
      </c>
      <c r="F366" s="8">
        <v>5</v>
      </c>
      <c r="G366" s="9">
        <f t="shared" si="67"/>
        <v>1</v>
      </c>
      <c r="H366" s="9">
        <f t="shared" si="68"/>
        <v>43</v>
      </c>
      <c r="I366" s="10">
        <f t="shared" si="69"/>
        <v>6</v>
      </c>
    </row>
    <row r="367" spans="1:9" ht="12.75">
      <c r="A367" s="8" t="s">
        <v>13</v>
      </c>
      <c r="B367" s="9">
        <f t="shared" si="66"/>
        <v>37</v>
      </c>
      <c r="C367" s="8"/>
      <c r="D367" s="8"/>
      <c r="E367" s="8">
        <v>6</v>
      </c>
      <c r="F367" s="8">
        <v>2</v>
      </c>
      <c r="G367" s="9">
        <f t="shared" si="67"/>
        <v>4</v>
      </c>
      <c r="H367" s="9">
        <f t="shared" si="68"/>
        <v>33</v>
      </c>
      <c r="I367" s="10">
        <f t="shared" si="69"/>
        <v>24</v>
      </c>
    </row>
    <row r="368" spans="1:9" ht="12.75">
      <c r="A368" s="8" t="s">
        <v>14</v>
      </c>
      <c r="B368" s="9">
        <f t="shared" si="66"/>
        <v>31</v>
      </c>
      <c r="C368" s="8"/>
      <c r="D368" s="8"/>
      <c r="E368" s="8">
        <v>4</v>
      </c>
      <c r="F368" s="8">
        <v>3</v>
      </c>
      <c r="G368" s="9">
        <f t="shared" si="67"/>
        <v>1</v>
      </c>
      <c r="H368" s="9">
        <f t="shared" si="68"/>
        <v>30</v>
      </c>
      <c r="I368" s="10">
        <f t="shared" si="69"/>
        <v>6</v>
      </c>
    </row>
    <row r="369" spans="1:9" ht="12.75">
      <c r="A369" s="8" t="s">
        <v>15</v>
      </c>
      <c r="B369" s="9">
        <f t="shared" si="66"/>
        <v>17</v>
      </c>
      <c r="C369" s="8"/>
      <c r="D369" s="8"/>
      <c r="E369" s="8">
        <v>6</v>
      </c>
      <c r="F369" s="8">
        <v>6</v>
      </c>
      <c r="G369" s="9">
        <f t="shared" si="67"/>
        <v>0</v>
      </c>
      <c r="H369" s="9">
        <f t="shared" si="68"/>
        <v>17</v>
      </c>
      <c r="I369" s="10">
        <f t="shared" si="69"/>
        <v>0</v>
      </c>
    </row>
    <row r="370" spans="1:9" ht="12.75">
      <c r="A370" s="8" t="s">
        <v>16</v>
      </c>
      <c r="B370" s="9">
        <f t="shared" si="66"/>
        <v>27</v>
      </c>
      <c r="C370" s="8"/>
      <c r="D370" s="8"/>
      <c r="E370" s="8">
        <v>5</v>
      </c>
      <c r="F370" s="8">
        <v>4</v>
      </c>
      <c r="G370" s="9">
        <f t="shared" si="67"/>
        <v>1</v>
      </c>
      <c r="H370" s="9">
        <f t="shared" si="68"/>
        <v>26</v>
      </c>
      <c r="I370" s="10">
        <f t="shared" si="69"/>
        <v>6</v>
      </c>
    </row>
    <row r="371" spans="1:9" ht="12.75">
      <c r="A371" s="8" t="s">
        <v>17</v>
      </c>
      <c r="B371" s="9">
        <f t="shared" si="66"/>
        <v>30</v>
      </c>
      <c r="C371" s="8"/>
      <c r="D371" s="8"/>
      <c r="E371" s="8">
        <v>4</v>
      </c>
      <c r="F371" s="8">
        <v>4</v>
      </c>
      <c r="G371" s="9">
        <f t="shared" si="67"/>
        <v>0</v>
      </c>
      <c r="H371" s="9">
        <f t="shared" si="68"/>
        <v>30</v>
      </c>
      <c r="I371" s="10">
        <f t="shared" si="69"/>
        <v>0</v>
      </c>
    </row>
    <row r="372" spans="1:9" ht="12.75">
      <c r="A372" s="8" t="s">
        <v>18</v>
      </c>
      <c r="B372" s="9">
        <f t="shared" si="66"/>
        <v>29</v>
      </c>
      <c r="C372" s="8"/>
      <c r="D372" s="8"/>
      <c r="E372" s="8">
        <v>6</v>
      </c>
      <c r="F372" s="8">
        <v>6</v>
      </c>
      <c r="G372" s="9">
        <f t="shared" si="67"/>
        <v>0</v>
      </c>
      <c r="H372" s="9">
        <f t="shared" si="68"/>
        <v>29</v>
      </c>
      <c r="I372" s="10">
        <f t="shared" si="69"/>
        <v>0</v>
      </c>
    </row>
    <row r="373" spans="1:9" ht="12.75">
      <c r="A373" s="8" t="s">
        <v>19</v>
      </c>
      <c r="B373" s="9">
        <f t="shared" si="66"/>
        <v>14</v>
      </c>
      <c r="C373" s="8"/>
      <c r="D373" s="8"/>
      <c r="E373" s="8">
        <v>6</v>
      </c>
      <c r="F373" s="8">
        <v>6</v>
      </c>
      <c r="G373" s="9">
        <f t="shared" si="67"/>
        <v>0</v>
      </c>
      <c r="H373" s="9">
        <f t="shared" si="68"/>
        <v>14</v>
      </c>
      <c r="I373" s="10">
        <f t="shared" si="69"/>
        <v>0</v>
      </c>
    </row>
    <row r="374" spans="1:9" ht="12.75">
      <c r="A374" s="8" t="s">
        <v>20</v>
      </c>
      <c r="B374" s="9">
        <f t="shared" si="66"/>
        <v>21</v>
      </c>
      <c r="C374" s="8"/>
      <c r="D374" s="8"/>
      <c r="E374" s="8">
        <v>6</v>
      </c>
      <c r="F374" s="8">
        <v>6</v>
      </c>
      <c r="G374" s="9">
        <f t="shared" si="67"/>
        <v>0</v>
      </c>
      <c r="H374" s="9">
        <f t="shared" si="68"/>
        <v>21</v>
      </c>
      <c r="I374" s="10">
        <f t="shared" si="69"/>
        <v>0</v>
      </c>
    </row>
    <row r="375" spans="1:9" ht="12.75">
      <c r="A375" s="8" t="s">
        <v>21</v>
      </c>
      <c r="B375" s="9">
        <f t="shared" si="66"/>
        <v>10</v>
      </c>
      <c r="C375" s="8"/>
      <c r="D375" s="8"/>
      <c r="E375" s="8">
        <v>2</v>
      </c>
      <c r="F375" s="8">
        <v>2</v>
      </c>
      <c r="G375" s="9">
        <f t="shared" si="67"/>
        <v>0</v>
      </c>
      <c r="H375" s="9">
        <f t="shared" si="68"/>
        <v>10</v>
      </c>
      <c r="I375" s="10">
        <f t="shared" si="69"/>
        <v>0</v>
      </c>
    </row>
    <row r="376" spans="1:9" ht="12.75">
      <c r="A376" s="8" t="s">
        <v>22</v>
      </c>
      <c r="B376" s="9">
        <f t="shared" si="66"/>
        <v>12</v>
      </c>
      <c r="C376" s="8"/>
      <c r="D376" s="8"/>
      <c r="E376" s="8">
        <v>5</v>
      </c>
      <c r="F376" s="8">
        <v>5</v>
      </c>
      <c r="G376" s="9">
        <f t="shared" si="67"/>
        <v>0</v>
      </c>
      <c r="H376" s="9">
        <f t="shared" si="68"/>
        <v>12</v>
      </c>
      <c r="I376" s="10">
        <f t="shared" si="69"/>
        <v>0</v>
      </c>
    </row>
    <row r="377" spans="1:9" ht="12.75">
      <c r="A377" s="8" t="s">
        <v>23</v>
      </c>
      <c r="B377" s="9">
        <f t="shared" si="66"/>
        <v>18</v>
      </c>
      <c r="C377" s="11"/>
      <c r="D377" s="8"/>
      <c r="E377" s="8">
        <v>6</v>
      </c>
      <c r="F377" s="8">
        <v>5</v>
      </c>
      <c r="G377" s="9">
        <f t="shared" si="67"/>
        <v>1</v>
      </c>
      <c r="H377" s="9">
        <f t="shared" si="68"/>
        <v>17</v>
      </c>
      <c r="I377" s="10">
        <f t="shared" si="69"/>
        <v>6</v>
      </c>
    </row>
    <row r="378" spans="1:9" ht="12.75">
      <c r="A378" s="8" t="s">
        <v>24</v>
      </c>
      <c r="B378" s="9">
        <f t="shared" si="66"/>
        <v>26</v>
      </c>
      <c r="C378" s="8"/>
      <c r="D378" s="8"/>
      <c r="E378" s="8">
        <v>4</v>
      </c>
      <c r="F378" s="8">
        <v>4</v>
      </c>
      <c r="G378" s="9">
        <f t="shared" si="67"/>
        <v>0</v>
      </c>
      <c r="H378" s="9">
        <f t="shared" si="68"/>
        <v>26</v>
      </c>
      <c r="I378" s="10">
        <f t="shared" si="69"/>
        <v>0</v>
      </c>
    </row>
    <row r="379" spans="1:9" ht="12.75">
      <c r="A379" s="8" t="s">
        <v>25</v>
      </c>
      <c r="B379" s="9">
        <f t="shared" si="66"/>
        <v>37</v>
      </c>
      <c r="C379" s="8"/>
      <c r="D379" s="8"/>
      <c r="E379" s="8">
        <v>10</v>
      </c>
      <c r="F379" s="8">
        <v>9</v>
      </c>
      <c r="G379" s="9">
        <f t="shared" si="67"/>
        <v>1</v>
      </c>
      <c r="H379" s="9">
        <f t="shared" si="68"/>
        <v>36</v>
      </c>
      <c r="I379" s="10">
        <f t="shared" si="69"/>
        <v>6</v>
      </c>
    </row>
    <row r="380" spans="1:9" ht="12.75">
      <c r="A380" s="8" t="s">
        <v>26</v>
      </c>
      <c r="B380" s="9">
        <f t="shared" si="66"/>
        <v>22</v>
      </c>
      <c r="C380" s="8"/>
      <c r="D380" s="8"/>
      <c r="E380" s="8">
        <v>6</v>
      </c>
      <c r="F380" s="8">
        <v>6</v>
      </c>
      <c r="G380" s="9">
        <f t="shared" si="67"/>
        <v>0</v>
      </c>
      <c r="H380" s="9">
        <f t="shared" si="68"/>
        <v>22</v>
      </c>
      <c r="I380" s="10">
        <f t="shared" si="69"/>
        <v>0</v>
      </c>
    </row>
    <row r="381" spans="1:9" ht="12.75">
      <c r="A381" s="8" t="s">
        <v>27</v>
      </c>
      <c r="B381" s="9">
        <f t="shared" si="66"/>
        <v>31</v>
      </c>
      <c r="C381" s="8"/>
      <c r="D381" s="8"/>
      <c r="E381" s="8">
        <v>4</v>
      </c>
      <c r="F381" s="8">
        <v>4</v>
      </c>
      <c r="G381" s="9">
        <f t="shared" si="67"/>
        <v>0</v>
      </c>
      <c r="H381" s="9">
        <f t="shared" si="68"/>
        <v>31</v>
      </c>
      <c r="I381" s="10">
        <f t="shared" si="69"/>
        <v>0</v>
      </c>
    </row>
    <row r="382" spans="1:9" ht="12.75">
      <c r="A382" s="8" t="s">
        <v>28</v>
      </c>
      <c r="B382" s="9">
        <f t="shared" si="66"/>
        <v>33</v>
      </c>
      <c r="C382" s="8"/>
      <c r="D382" s="8"/>
      <c r="E382" s="8">
        <v>8</v>
      </c>
      <c r="F382" s="8">
        <v>8</v>
      </c>
      <c r="G382" s="9">
        <f t="shared" si="67"/>
        <v>0</v>
      </c>
      <c r="H382" s="9">
        <f t="shared" si="68"/>
        <v>33</v>
      </c>
      <c r="I382" s="10">
        <f t="shared" si="69"/>
        <v>0</v>
      </c>
    </row>
    <row r="383" spans="1:9" ht="12.75">
      <c r="A383" s="8" t="s">
        <v>30</v>
      </c>
      <c r="B383" s="9">
        <f t="shared" si="66"/>
        <v>28</v>
      </c>
      <c r="C383" s="8"/>
      <c r="D383" s="8"/>
      <c r="E383" s="8">
        <v>2</v>
      </c>
      <c r="F383" s="8">
        <v>2</v>
      </c>
      <c r="G383" s="9">
        <f t="shared" si="67"/>
        <v>0</v>
      </c>
      <c r="H383" s="9">
        <f t="shared" si="68"/>
        <v>28</v>
      </c>
      <c r="I383" s="10">
        <f t="shared" si="69"/>
        <v>0</v>
      </c>
    </row>
    <row r="384" spans="1:9" ht="12.75">
      <c r="A384" s="13" t="s">
        <v>31</v>
      </c>
      <c r="B384" s="9">
        <v>21</v>
      </c>
      <c r="C384" s="8"/>
      <c r="D384" s="8"/>
      <c r="E384" s="8">
        <v>3</v>
      </c>
      <c r="F384" s="8">
        <v>3</v>
      </c>
      <c r="G384" s="9">
        <f t="shared" si="67"/>
        <v>0</v>
      </c>
      <c r="H384" s="9">
        <f t="shared" si="68"/>
        <v>21</v>
      </c>
      <c r="I384" s="10">
        <f t="shared" si="69"/>
        <v>0</v>
      </c>
    </row>
    <row r="385" spans="1:9" ht="12.75">
      <c r="A385" s="13" t="s">
        <v>32</v>
      </c>
      <c r="B385" s="9">
        <f>H357</f>
        <v>11</v>
      </c>
      <c r="C385" s="8"/>
      <c r="D385" s="8"/>
      <c r="E385" s="8">
        <v>3</v>
      </c>
      <c r="F385" s="8">
        <v>2</v>
      </c>
      <c r="G385" s="9">
        <f t="shared" si="67"/>
        <v>1</v>
      </c>
      <c r="H385" s="9">
        <f t="shared" si="68"/>
        <v>10</v>
      </c>
      <c r="I385" s="10">
        <f t="shared" si="69"/>
        <v>6</v>
      </c>
    </row>
    <row r="386" spans="1:9" ht="12.75">
      <c r="A386" s="14" t="s">
        <v>33</v>
      </c>
      <c r="B386" s="15">
        <f>SUM(B364:B385)</f>
        <v>533</v>
      </c>
      <c r="C386" s="14"/>
      <c r="D386" s="14"/>
      <c r="E386" s="15">
        <f t="shared" ref="E386:G386" si="70">SUM(E363:E385)</f>
        <v>114</v>
      </c>
      <c r="F386" s="15">
        <f t="shared" si="70"/>
        <v>103</v>
      </c>
      <c r="G386" s="15">
        <f t="shared" si="70"/>
        <v>11</v>
      </c>
      <c r="H386" s="15">
        <f>SUM(H364:H385)</f>
        <v>522</v>
      </c>
      <c r="I386" s="16">
        <f>SUM(I363:I385)</f>
        <v>66</v>
      </c>
    </row>
    <row r="387" spans="1:9" ht="12.75">
      <c r="A387" s="17"/>
      <c r="B387" s="17"/>
      <c r="C387" s="17"/>
      <c r="D387" s="17"/>
      <c r="E387" s="17"/>
      <c r="F387" s="134" t="s">
        <v>34</v>
      </c>
      <c r="G387" s="133"/>
      <c r="H387" s="18"/>
      <c r="I387" s="19"/>
    </row>
    <row r="389" spans="1:9" ht="12.75">
      <c r="A389" s="17"/>
      <c r="B389" s="17"/>
      <c r="C389" s="17"/>
      <c r="D389" s="17"/>
      <c r="E389" s="17"/>
      <c r="F389" s="17"/>
      <c r="G389" s="17"/>
      <c r="H389" s="17"/>
      <c r="I389" s="17"/>
    </row>
    <row r="390" spans="1:9">
      <c r="A390" s="1"/>
      <c r="B390" s="131" t="s">
        <v>101</v>
      </c>
      <c r="C390" s="132"/>
      <c r="D390" s="132"/>
      <c r="E390" s="132"/>
      <c r="F390" s="132"/>
      <c r="G390" s="132"/>
      <c r="H390" s="132"/>
      <c r="I390" s="133"/>
    </row>
    <row r="391" spans="1:9" ht="45">
      <c r="A391" s="2" t="s">
        <v>1</v>
      </c>
      <c r="B391" s="3" t="s">
        <v>2</v>
      </c>
      <c r="C391" s="4" t="s">
        <v>3</v>
      </c>
      <c r="D391" s="5" t="s">
        <v>4</v>
      </c>
      <c r="E391" s="2" t="s">
        <v>5</v>
      </c>
      <c r="F391" s="2" t="s">
        <v>6</v>
      </c>
      <c r="G391" s="2" t="s">
        <v>7</v>
      </c>
      <c r="H391" s="6" t="s">
        <v>8</v>
      </c>
      <c r="I391" s="7" t="s">
        <v>9</v>
      </c>
    </row>
    <row r="392" spans="1:9" ht="12.75">
      <c r="A392" s="8" t="s">
        <v>10</v>
      </c>
      <c r="B392" s="9">
        <f t="shared" ref="B392:B411" si="71">H364</f>
        <v>21</v>
      </c>
      <c r="C392" s="8"/>
      <c r="D392" s="8"/>
      <c r="E392" s="8">
        <v>6</v>
      </c>
      <c r="F392" s="8">
        <v>5</v>
      </c>
      <c r="G392" s="9">
        <f t="shared" ref="G392:G413" si="72">E392-F392</f>
        <v>1</v>
      </c>
      <c r="H392" s="9">
        <f t="shared" ref="H392:H413" si="73">B392-C392+D392-G392</f>
        <v>20</v>
      </c>
      <c r="I392" s="10">
        <f t="shared" ref="I392:I413" si="74">G392*6</f>
        <v>6</v>
      </c>
    </row>
    <row r="393" spans="1:9" ht="12.75">
      <c r="A393" s="8" t="s">
        <v>11</v>
      </c>
      <c r="B393" s="9">
        <f t="shared" si="71"/>
        <v>12</v>
      </c>
      <c r="C393" s="11"/>
      <c r="D393" s="8">
        <v>31</v>
      </c>
      <c r="E393" s="8">
        <v>6</v>
      </c>
      <c r="F393" s="8">
        <v>5</v>
      </c>
      <c r="G393" s="9">
        <f t="shared" si="72"/>
        <v>1</v>
      </c>
      <c r="H393" s="9">
        <f t="shared" si="73"/>
        <v>42</v>
      </c>
      <c r="I393" s="10">
        <f t="shared" si="74"/>
        <v>6</v>
      </c>
    </row>
    <row r="394" spans="1:9" ht="12.75">
      <c r="A394" s="8" t="s">
        <v>12</v>
      </c>
      <c r="B394" s="9">
        <f t="shared" si="71"/>
        <v>43</v>
      </c>
      <c r="C394" s="8"/>
      <c r="D394" s="8"/>
      <c r="E394" s="8">
        <v>6</v>
      </c>
      <c r="F394" s="8">
        <v>5</v>
      </c>
      <c r="G394" s="9">
        <f t="shared" si="72"/>
        <v>1</v>
      </c>
      <c r="H394" s="9">
        <f t="shared" si="73"/>
        <v>42</v>
      </c>
      <c r="I394" s="10">
        <f t="shared" si="74"/>
        <v>6</v>
      </c>
    </row>
    <row r="395" spans="1:9" ht="12.75">
      <c r="A395" s="8" t="s">
        <v>13</v>
      </c>
      <c r="B395" s="9">
        <f t="shared" si="71"/>
        <v>33</v>
      </c>
      <c r="C395" s="8"/>
      <c r="D395" s="8"/>
      <c r="E395" s="8">
        <v>6</v>
      </c>
      <c r="F395" s="8">
        <v>5</v>
      </c>
      <c r="G395" s="9">
        <f t="shared" si="72"/>
        <v>1</v>
      </c>
      <c r="H395" s="9">
        <f t="shared" si="73"/>
        <v>32</v>
      </c>
      <c r="I395" s="10">
        <f t="shared" si="74"/>
        <v>6</v>
      </c>
    </row>
    <row r="396" spans="1:9" ht="12.75">
      <c r="A396" s="8" t="s">
        <v>14</v>
      </c>
      <c r="B396" s="9">
        <f t="shared" si="71"/>
        <v>30</v>
      </c>
      <c r="C396" s="8"/>
      <c r="D396" s="8"/>
      <c r="E396" s="8">
        <v>4</v>
      </c>
      <c r="F396" s="8">
        <v>3</v>
      </c>
      <c r="G396" s="9">
        <f t="shared" si="72"/>
        <v>1</v>
      </c>
      <c r="H396" s="9">
        <f t="shared" si="73"/>
        <v>29</v>
      </c>
      <c r="I396" s="10">
        <f t="shared" si="74"/>
        <v>6</v>
      </c>
    </row>
    <row r="397" spans="1:9" ht="12.75">
      <c r="A397" s="8" t="s">
        <v>15</v>
      </c>
      <c r="B397" s="9">
        <f t="shared" si="71"/>
        <v>17</v>
      </c>
      <c r="C397" s="8"/>
      <c r="D397" s="8"/>
      <c r="E397" s="8">
        <v>6</v>
      </c>
      <c r="F397" s="8">
        <v>5</v>
      </c>
      <c r="G397" s="9">
        <f t="shared" si="72"/>
        <v>1</v>
      </c>
      <c r="H397" s="9">
        <f t="shared" si="73"/>
        <v>16</v>
      </c>
      <c r="I397" s="10">
        <f t="shared" si="74"/>
        <v>6</v>
      </c>
    </row>
    <row r="398" spans="1:9" ht="12.75">
      <c r="A398" s="8" t="s">
        <v>16</v>
      </c>
      <c r="B398" s="9">
        <f t="shared" si="71"/>
        <v>26</v>
      </c>
      <c r="C398" s="8"/>
      <c r="D398" s="8"/>
      <c r="E398" s="8">
        <v>5</v>
      </c>
      <c r="F398" s="8">
        <v>5</v>
      </c>
      <c r="G398" s="9">
        <f t="shared" si="72"/>
        <v>0</v>
      </c>
      <c r="H398" s="9">
        <f t="shared" si="73"/>
        <v>26</v>
      </c>
      <c r="I398" s="10">
        <f t="shared" si="74"/>
        <v>0</v>
      </c>
    </row>
    <row r="399" spans="1:9" ht="12.75">
      <c r="A399" s="8" t="s">
        <v>17</v>
      </c>
      <c r="B399" s="9">
        <f t="shared" si="71"/>
        <v>30</v>
      </c>
      <c r="C399" s="8"/>
      <c r="D399" s="8"/>
      <c r="E399" s="8">
        <v>4</v>
      </c>
      <c r="F399" s="8">
        <v>4</v>
      </c>
      <c r="G399" s="9">
        <f t="shared" si="72"/>
        <v>0</v>
      </c>
      <c r="H399" s="9">
        <f t="shared" si="73"/>
        <v>30</v>
      </c>
      <c r="I399" s="10">
        <f t="shared" si="74"/>
        <v>0</v>
      </c>
    </row>
    <row r="400" spans="1:9" ht="12.75">
      <c r="A400" s="8" t="s">
        <v>18</v>
      </c>
      <c r="B400" s="9">
        <f t="shared" si="71"/>
        <v>29</v>
      </c>
      <c r="C400" s="8"/>
      <c r="D400" s="8"/>
      <c r="E400" s="8">
        <v>6</v>
      </c>
      <c r="F400" s="8">
        <v>5</v>
      </c>
      <c r="G400" s="9">
        <f t="shared" si="72"/>
        <v>1</v>
      </c>
      <c r="H400" s="9">
        <f t="shared" si="73"/>
        <v>28</v>
      </c>
      <c r="I400" s="10">
        <f t="shared" si="74"/>
        <v>6</v>
      </c>
    </row>
    <row r="401" spans="1:9" ht="12.75">
      <c r="A401" s="8" t="s">
        <v>19</v>
      </c>
      <c r="B401" s="9">
        <f t="shared" si="71"/>
        <v>14</v>
      </c>
      <c r="C401" s="8"/>
      <c r="D401" s="8"/>
      <c r="E401" s="8">
        <v>6</v>
      </c>
      <c r="F401" s="8">
        <v>5</v>
      </c>
      <c r="G401" s="9">
        <f t="shared" si="72"/>
        <v>1</v>
      </c>
      <c r="H401" s="9">
        <f t="shared" si="73"/>
        <v>13</v>
      </c>
      <c r="I401" s="10">
        <f t="shared" si="74"/>
        <v>6</v>
      </c>
    </row>
    <row r="402" spans="1:9" ht="12.75">
      <c r="A402" s="8" t="s">
        <v>20</v>
      </c>
      <c r="B402" s="9">
        <f t="shared" si="71"/>
        <v>21</v>
      </c>
      <c r="C402" s="8"/>
      <c r="D402" s="8"/>
      <c r="E402" s="8">
        <v>6</v>
      </c>
      <c r="F402" s="8">
        <v>5</v>
      </c>
      <c r="G402" s="9">
        <f t="shared" si="72"/>
        <v>1</v>
      </c>
      <c r="H402" s="9">
        <f t="shared" si="73"/>
        <v>20</v>
      </c>
      <c r="I402" s="10">
        <f t="shared" si="74"/>
        <v>6</v>
      </c>
    </row>
    <row r="403" spans="1:9" ht="12.75">
      <c r="A403" s="8" t="s">
        <v>21</v>
      </c>
      <c r="B403" s="9">
        <f t="shared" si="71"/>
        <v>10</v>
      </c>
      <c r="C403" s="8"/>
      <c r="D403" s="8"/>
      <c r="E403" s="8">
        <v>2</v>
      </c>
      <c r="F403" s="8">
        <v>2</v>
      </c>
      <c r="G403" s="9">
        <f t="shared" si="72"/>
        <v>0</v>
      </c>
      <c r="H403" s="9">
        <f t="shared" si="73"/>
        <v>10</v>
      </c>
      <c r="I403" s="10">
        <f t="shared" si="74"/>
        <v>0</v>
      </c>
    </row>
    <row r="404" spans="1:9" ht="12.75">
      <c r="A404" s="8" t="s">
        <v>22</v>
      </c>
      <c r="B404" s="9">
        <f t="shared" si="71"/>
        <v>12</v>
      </c>
      <c r="C404" s="8"/>
      <c r="D404" s="8"/>
      <c r="E404" s="8">
        <v>5</v>
      </c>
      <c r="F404" s="8">
        <v>5</v>
      </c>
      <c r="G404" s="9">
        <f t="shared" si="72"/>
        <v>0</v>
      </c>
      <c r="H404" s="9">
        <f t="shared" si="73"/>
        <v>12</v>
      </c>
      <c r="I404" s="10">
        <f t="shared" si="74"/>
        <v>0</v>
      </c>
    </row>
    <row r="405" spans="1:9" ht="12.75">
      <c r="A405" s="8" t="s">
        <v>23</v>
      </c>
      <c r="B405" s="9">
        <f t="shared" si="71"/>
        <v>17</v>
      </c>
      <c r="C405" s="11"/>
      <c r="D405" s="8">
        <v>28</v>
      </c>
      <c r="E405" s="8">
        <v>6</v>
      </c>
      <c r="F405" s="8">
        <v>0</v>
      </c>
      <c r="G405" s="9">
        <f t="shared" si="72"/>
        <v>6</v>
      </c>
      <c r="H405" s="9">
        <f t="shared" si="73"/>
        <v>39</v>
      </c>
      <c r="I405" s="10">
        <f t="shared" si="74"/>
        <v>36</v>
      </c>
    </row>
    <row r="406" spans="1:9" ht="12.75">
      <c r="A406" s="8" t="s">
        <v>24</v>
      </c>
      <c r="B406" s="9">
        <f t="shared" si="71"/>
        <v>26</v>
      </c>
      <c r="C406" s="8"/>
      <c r="D406" s="8"/>
      <c r="E406" s="8">
        <v>4</v>
      </c>
      <c r="F406" s="8">
        <v>3</v>
      </c>
      <c r="G406" s="9">
        <f t="shared" si="72"/>
        <v>1</v>
      </c>
      <c r="H406" s="9">
        <f t="shared" si="73"/>
        <v>25</v>
      </c>
      <c r="I406" s="10">
        <f t="shared" si="74"/>
        <v>6</v>
      </c>
    </row>
    <row r="407" spans="1:9" ht="12.75">
      <c r="A407" s="8" t="s">
        <v>25</v>
      </c>
      <c r="B407" s="9">
        <f t="shared" si="71"/>
        <v>36</v>
      </c>
      <c r="C407" s="8"/>
      <c r="D407" s="8"/>
      <c r="E407" s="8">
        <v>10</v>
      </c>
      <c r="F407" s="8">
        <v>7</v>
      </c>
      <c r="G407" s="9">
        <f t="shared" si="72"/>
        <v>3</v>
      </c>
      <c r="H407" s="9">
        <f t="shared" si="73"/>
        <v>33</v>
      </c>
      <c r="I407" s="10">
        <f t="shared" si="74"/>
        <v>18</v>
      </c>
    </row>
    <row r="408" spans="1:9" ht="12.75">
      <c r="A408" s="8" t="s">
        <v>26</v>
      </c>
      <c r="B408" s="9">
        <f t="shared" si="71"/>
        <v>22</v>
      </c>
      <c r="C408" s="8"/>
      <c r="D408" s="8"/>
      <c r="E408" s="8">
        <v>6</v>
      </c>
      <c r="F408" s="8">
        <v>3</v>
      </c>
      <c r="G408" s="9">
        <f t="shared" si="72"/>
        <v>3</v>
      </c>
      <c r="H408" s="9">
        <f t="shared" si="73"/>
        <v>19</v>
      </c>
      <c r="I408" s="10">
        <f t="shared" si="74"/>
        <v>18</v>
      </c>
    </row>
    <row r="409" spans="1:9" ht="12.75">
      <c r="A409" s="8" t="s">
        <v>27</v>
      </c>
      <c r="B409" s="9">
        <f t="shared" si="71"/>
        <v>31</v>
      </c>
      <c r="C409" s="8">
        <v>1</v>
      </c>
      <c r="D409" s="8"/>
      <c r="E409" s="8">
        <v>4</v>
      </c>
      <c r="F409" s="8">
        <v>4</v>
      </c>
      <c r="G409" s="9">
        <f t="shared" si="72"/>
        <v>0</v>
      </c>
      <c r="H409" s="9">
        <f t="shared" si="73"/>
        <v>30</v>
      </c>
      <c r="I409" s="10">
        <f t="shared" si="74"/>
        <v>0</v>
      </c>
    </row>
    <row r="410" spans="1:9" ht="12.75">
      <c r="A410" s="8" t="s">
        <v>28</v>
      </c>
      <c r="B410" s="9">
        <f t="shared" si="71"/>
        <v>33</v>
      </c>
      <c r="C410" s="8"/>
      <c r="D410" s="8"/>
      <c r="E410" s="8">
        <v>8</v>
      </c>
      <c r="F410" s="8">
        <v>4</v>
      </c>
      <c r="G410" s="9">
        <f t="shared" si="72"/>
        <v>4</v>
      </c>
      <c r="H410" s="9">
        <f t="shared" si="73"/>
        <v>29</v>
      </c>
      <c r="I410" s="10">
        <f t="shared" si="74"/>
        <v>24</v>
      </c>
    </row>
    <row r="411" spans="1:9" ht="12.75">
      <c r="A411" s="8" t="s">
        <v>30</v>
      </c>
      <c r="B411" s="9">
        <f t="shared" si="71"/>
        <v>28</v>
      </c>
      <c r="C411" s="8"/>
      <c r="D411" s="8"/>
      <c r="E411" s="8">
        <v>2</v>
      </c>
      <c r="F411" s="8">
        <v>1</v>
      </c>
      <c r="G411" s="9">
        <f t="shared" si="72"/>
        <v>1</v>
      </c>
      <c r="H411" s="9">
        <f t="shared" si="73"/>
        <v>27</v>
      </c>
      <c r="I411" s="10">
        <f t="shared" si="74"/>
        <v>6</v>
      </c>
    </row>
    <row r="412" spans="1:9" ht="12.75">
      <c r="A412" s="13" t="s">
        <v>31</v>
      </c>
      <c r="B412" s="9">
        <v>21</v>
      </c>
      <c r="C412" s="8"/>
      <c r="D412" s="8"/>
      <c r="E412" s="8">
        <v>3</v>
      </c>
      <c r="F412" s="8">
        <v>3</v>
      </c>
      <c r="G412" s="9">
        <f t="shared" si="72"/>
        <v>0</v>
      </c>
      <c r="H412" s="9">
        <f t="shared" si="73"/>
        <v>21</v>
      </c>
      <c r="I412" s="10">
        <f t="shared" si="74"/>
        <v>0</v>
      </c>
    </row>
    <row r="413" spans="1:9" ht="12.75">
      <c r="A413" s="13" t="s">
        <v>32</v>
      </c>
      <c r="B413" s="9">
        <f>H385</f>
        <v>10</v>
      </c>
      <c r="C413" s="8"/>
      <c r="D413" s="8"/>
      <c r="E413" s="8">
        <v>3</v>
      </c>
      <c r="F413" s="8">
        <v>3</v>
      </c>
      <c r="G413" s="9">
        <f t="shared" si="72"/>
        <v>0</v>
      </c>
      <c r="H413" s="9">
        <f t="shared" si="73"/>
        <v>10</v>
      </c>
      <c r="I413" s="10">
        <f t="shared" si="74"/>
        <v>0</v>
      </c>
    </row>
    <row r="414" spans="1:9" ht="12.75">
      <c r="A414" s="14" t="s">
        <v>33</v>
      </c>
      <c r="B414" s="15">
        <f>SUM(B392:B413)</f>
        <v>522</v>
      </c>
      <c r="C414" s="14"/>
      <c r="D414" s="14"/>
      <c r="E414" s="15">
        <f t="shared" ref="E414:G414" si="75">SUM(E391:E413)</f>
        <v>114</v>
      </c>
      <c r="F414" s="15">
        <f t="shared" si="75"/>
        <v>87</v>
      </c>
      <c r="G414" s="15">
        <f t="shared" si="75"/>
        <v>27</v>
      </c>
      <c r="H414" s="15">
        <f>SUM(H392:H413)</f>
        <v>553</v>
      </c>
      <c r="I414" s="16">
        <f>SUM(I391:I413)</f>
        <v>162</v>
      </c>
    </row>
    <row r="415" spans="1:9" ht="12.75">
      <c r="A415" s="17"/>
      <c r="B415" s="17"/>
      <c r="C415" s="17"/>
      <c r="D415" s="17"/>
      <c r="E415" s="17"/>
      <c r="F415" s="134" t="s">
        <v>34</v>
      </c>
      <c r="G415" s="133"/>
      <c r="H415" s="18"/>
      <c r="I415" s="19"/>
    </row>
    <row r="417" spans="1:9" ht="12.75">
      <c r="A417" s="17"/>
      <c r="B417" s="17"/>
      <c r="C417" s="17"/>
      <c r="D417" s="17"/>
      <c r="E417" s="17"/>
      <c r="F417" s="17"/>
      <c r="G417" s="17"/>
      <c r="H417" s="17"/>
      <c r="I417" s="17"/>
    </row>
    <row r="418" spans="1:9">
      <c r="A418" s="1"/>
      <c r="B418" s="131" t="s">
        <v>102</v>
      </c>
      <c r="C418" s="132"/>
      <c r="D418" s="132"/>
      <c r="E418" s="132"/>
      <c r="F418" s="132"/>
      <c r="G418" s="132"/>
      <c r="H418" s="132"/>
      <c r="I418" s="133"/>
    </row>
    <row r="419" spans="1:9" ht="45">
      <c r="A419" s="2" t="s">
        <v>1</v>
      </c>
      <c r="B419" s="3" t="s">
        <v>2</v>
      </c>
      <c r="C419" s="4" t="s">
        <v>3</v>
      </c>
      <c r="D419" s="5" t="s">
        <v>4</v>
      </c>
      <c r="E419" s="2" t="s">
        <v>5</v>
      </c>
      <c r="F419" s="2" t="s">
        <v>6</v>
      </c>
      <c r="G419" s="2" t="s">
        <v>7</v>
      </c>
      <c r="H419" s="6" t="s">
        <v>8</v>
      </c>
      <c r="I419" s="7" t="s">
        <v>9</v>
      </c>
    </row>
    <row r="420" spans="1:9" ht="12.75">
      <c r="A420" s="8" t="s">
        <v>10</v>
      </c>
      <c r="B420" s="9">
        <f t="shared" ref="B420:B439" si="76">H392</f>
        <v>20</v>
      </c>
      <c r="C420" s="8"/>
      <c r="D420" s="8"/>
      <c r="E420" s="8">
        <v>6</v>
      </c>
      <c r="F420" s="8">
        <v>6</v>
      </c>
      <c r="G420" s="9">
        <f t="shared" ref="G420:G441" si="77">E420-F420</f>
        <v>0</v>
      </c>
      <c r="H420" s="9">
        <f t="shared" ref="H420:H441" si="78">B420-C420+D420-G420</f>
        <v>20</v>
      </c>
      <c r="I420" s="10">
        <f t="shared" ref="I420:I441" si="79">G420*6</f>
        <v>0</v>
      </c>
    </row>
    <row r="421" spans="1:9" ht="12.75">
      <c r="A421" s="8" t="s">
        <v>11</v>
      </c>
      <c r="B421" s="9">
        <f t="shared" si="76"/>
        <v>42</v>
      </c>
      <c r="C421" s="11"/>
      <c r="D421" s="8"/>
      <c r="E421" s="8">
        <v>6</v>
      </c>
      <c r="F421" s="8">
        <v>6</v>
      </c>
      <c r="G421" s="9">
        <f t="shared" si="77"/>
        <v>0</v>
      </c>
      <c r="H421" s="9">
        <f t="shared" si="78"/>
        <v>42</v>
      </c>
      <c r="I421" s="10">
        <f t="shared" si="79"/>
        <v>0</v>
      </c>
    </row>
    <row r="422" spans="1:9" ht="12.75">
      <c r="A422" s="8" t="s">
        <v>12</v>
      </c>
      <c r="B422" s="9">
        <f t="shared" si="76"/>
        <v>42</v>
      </c>
      <c r="C422" s="8"/>
      <c r="D422" s="8"/>
      <c r="E422" s="8">
        <v>6</v>
      </c>
      <c r="F422" s="8">
        <v>5</v>
      </c>
      <c r="G422" s="9">
        <f t="shared" si="77"/>
        <v>1</v>
      </c>
      <c r="H422" s="9">
        <f t="shared" si="78"/>
        <v>41</v>
      </c>
      <c r="I422" s="10">
        <f t="shared" si="79"/>
        <v>6</v>
      </c>
    </row>
    <row r="423" spans="1:9" ht="12.75">
      <c r="A423" s="8" t="s">
        <v>13</v>
      </c>
      <c r="B423" s="9">
        <f t="shared" si="76"/>
        <v>32</v>
      </c>
      <c r="C423" s="8"/>
      <c r="D423" s="8"/>
      <c r="E423" s="8">
        <v>6</v>
      </c>
      <c r="F423" s="8">
        <v>5</v>
      </c>
      <c r="G423" s="9">
        <f t="shared" si="77"/>
        <v>1</v>
      </c>
      <c r="H423" s="9">
        <f t="shared" si="78"/>
        <v>31</v>
      </c>
      <c r="I423" s="10">
        <f t="shared" si="79"/>
        <v>6</v>
      </c>
    </row>
    <row r="424" spans="1:9" ht="12.75">
      <c r="A424" s="8" t="s">
        <v>14</v>
      </c>
      <c r="B424" s="9">
        <f t="shared" si="76"/>
        <v>29</v>
      </c>
      <c r="C424" s="8"/>
      <c r="D424" s="8"/>
      <c r="E424" s="8">
        <v>4</v>
      </c>
      <c r="F424" s="8">
        <v>4</v>
      </c>
      <c r="G424" s="9">
        <f t="shared" si="77"/>
        <v>0</v>
      </c>
      <c r="H424" s="9">
        <f t="shared" si="78"/>
        <v>29</v>
      </c>
      <c r="I424" s="10">
        <f t="shared" si="79"/>
        <v>0</v>
      </c>
    </row>
    <row r="425" spans="1:9" ht="12.75">
      <c r="A425" s="8" t="s">
        <v>15</v>
      </c>
      <c r="B425" s="9">
        <f t="shared" si="76"/>
        <v>16</v>
      </c>
      <c r="C425" s="8"/>
      <c r="D425" s="8"/>
      <c r="E425" s="8">
        <v>6</v>
      </c>
      <c r="F425" s="8">
        <v>6</v>
      </c>
      <c r="G425" s="9">
        <f t="shared" si="77"/>
        <v>0</v>
      </c>
      <c r="H425" s="9">
        <f t="shared" si="78"/>
        <v>16</v>
      </c>
      <c r="I425" s="10">
        <f t="shared" si="79"/>
        <v>0</v>
      </c>
    </row>
    <row r="426" spans="1:9" ht="12.75">
      <c r="A426" s="8" t="s">
        <v>16</v>
      </c>
      <c r="B426" s="9">
        <f t="shared" si="76"/>
        <v>26</v>
      </c>
      <c r="C426" s="8"/>
      <c r="D426" s="8"/>
      <c r="E426" s="8">
        <v>5</v>
      </c>
      <c r="F426" s="8">
        <v>4</v>
      </c>
      <c r="G426" s="9">
        <f t="shared" si="77"/>
        <v>1</v>
      </c>
      <c r="H426" s="9">
        <f t="shared" si="78"/>
        <v>25</v>
      </c>
      <c r="I426" s="10">
        <f t="shared" si="79"/>
        <v>6</v>
      </c>
    </row>
    <row r="427" spans="1:9" ht="12.75">
      <c r="A427" s="8" t="s">
        <v>17</v>
      </c>
      <c r="B427" s="9">
        <f t="shared" si="76"/>
        <v>30</v>
      </c>
      <c r="C427" s="8"/>
      <c r="D427" s="8"/>
      <c r="E427" s="8">
        <v>4</v>
      </c>
      <c r="F427" s="8">
        <v>3</v>
      </c>
      <c r="G427" s="9">
        <f t="shared" si="77"/>
        <v>1</v>
      </c>
      <c r="H427" s="9">
        <f t="shared" si="78"/>
        <v>29</v>
      </c>
      <c r="I427" s="10">
        <f t="shared" si="79"/>
        <v>6</v>
      </c>
    </row>
    <row r="428" spans="1:9" ht="12.75">
      <c r="A428" s="8" t="s">
        <v>18</v>
      </c>
      <c r="B428" s="9">
        <f t="shared" si="76"/>
        <v>28</v>
      </c>
      <c r="C428" s="8"/>
      <c r="D428" s="8"/>
      <c r="E428" s="8">
        <v>6</v>
      </c>
      <c r="F428" s="8">
        <v>5</v>
      </c>
      <c r="G428" s="9">
        <f t="shared" si="77"/>
        <v>1</v>
      </c>
      <c r="H428" s="9">
        <f t="shared" si="78"/>
        <v>27</v>
      </c>
      <c r="I428" s="10">
        <f t="shared" si="79"/>
        <v>6</v>
      </c>
    </row>
    <row r="429" spans="1:9" ht="12.75">
      <c r="A429" s="8" t="s">
        <v>19</v>
      </c>
      <c r="B429" s="9">
        <f t="shared" si="76"/>
        <v>13</v>
      </c>
      <c r="C429" s="8"/>
      <c r="D429" s="8"/>
      <c r="E429" s="8">
        <v>6</v>
      </c>
      <c r="F429" s="8">
        <v>2</v>
      </c>
      <c r="G429" s="9">
        <f t="shared" si="77"/>
        <v>4</v>
      </c>
      <c r="H429" s="9">
        <f t="shared" si="78"/>
        <v>9</v>
      </c>
      <c r="I429" s="10">
        <f t="shared" si="79"/>
        <v>24</v>
      </c>
    </row>
    <row r="430" spans="1:9" ht="12.75">
      <c r="A430" s="8" t="s">
        <v>20</v>
      </c>
      <c r="B430" s="9">
        <f t="shared" si="76"/>
        <v>20</v>
      </c>
      <c r="C430" s="8"/>
      <c r="D430" s="8"/>
      <c r="E430" s="8">
        <v>6</v>
      </c>
      <c r="F430" s="8">
        <v>6</v>
      </c>
      <c r="G430" s="9">
        <f t="shared" si="77"/>
        <v>0</v>
      </c>
      <c r="H430" s="9">
        <f t="shared" si="78"/>
        <v>20</v>
      </c>
      <c r="I430" s="10">
        <f t="shared" si="79"/>
        <v>0</v>
      </c>
    </row>
    <row r="431" spans="1:9" ht="12.75">
      <c r="A431" s="8" t="s">
        <v>21</v>
      </c>
      <c r="B431" s="9">
        <f t="shared" si="76"/>
        <v>10</v>
      </c>
      <c r="C431" s="8"/>
      <c r="D431" s="8"/>
      <c r="E431" s="8">
        <v>2</v>
      </c>
      <c r="F431" s="8">
        <v>2</v>
      </c>
      <c r="G431" s="9">
        <f t="shared" si="77"/>
        <v>0</v>
      </c>
      <c r="H431" s="9">
        <f t="shared" si="78"/>
        <v>10</v>
      </c>
      <c r="I431" s="10">
        <f t="shared" si="79"/>
        <v>0</v>
      </c>
    </row>
    <row r="432" spans="1:9" ht="12.75">
      <c r="A432" s="8" t="s">
        <v>22</v>
      </c>
      <c r="B432" s="9">
        <f t="shared" si="76"/>
        <v>12</v>
      </c>
      <c r="C432" s="8"/>
      <c r="D432" s="8"/>
      <c r="E432" s="8">
        <v>5</v>
      </c>
      <c r="F432" s="8">
        <v>2</v>
      </c>
      <c r="G432" s="9">
        <f t="shared" si="77"/>
        <v>3</v>
      </c>
      <c r="H432" s="9">
        <f t="shared" si="78"/>
        <v>9</v>
      </c>
      <c r="I432" s="10">
        <f t="shared" si="79"/>
        <v>18</v>
      </c>
    </row>
    <row r="433" spans="1:9" ht="12.75">
      <c r="A433" s="8" t="s">
        <v>23</v>
      </c>
      <c r="B433" s="9">
        <f t="shared" si="76"/>
        <v>39</v>
      </c>
      <c r="C433" s="11"/>
      <c r="D433" s="8"/>
      <c r="E433" s="8">
        <v>6</v>
      </c>
      <c r="F433" s="8">
        <v>6</v>
      </c>
      <c r="G433" s="9">
        <f t="shared" si="77"/>
        <v>0</v>
      </c>
      <c r="H433" s="9">
        <f t="shared" si="78"/>
        <v>39</v>
      </c>
      <c r="I433" s="10">
        <f t="shared" si="79"/>
        <v>0</v>
      </c>
    </row>
    <row r="434" spans="1:9" ht="12.75">
      <c r="A434" s="8" t="s">
        <v>24</v>
      </c>
      <c r="B434" s="9">
        <f t="shared" si="76"/>
        <v>25</v>
      </c>
      <c r="C434" s="8"/>
      <c r="D434" s="8"/>
      <c r="E434" s="8">
        <v>4</v>
      </c>
      <c r="F434" s="8">
        <v>3</v>
      </c>
      <c r="G434" s="9">
        <f t="shared" si="77"/>
        <v>1</v>
      </c>
      <c r="H434" s="9">
        <f t="shared" si="78"/>
        <v>24</v>
      </c>
      <c r="I434" s="10">
        <f t="shared" si="79"/>
        <v>6</v>
      </c>
    </row>
    <row r="435" spans="1:9" ht="12.75">
      <c r="A435" s="8" t="s">
        <v>25</v>
      </c>
      <c r="B435" s="9">
        <f t="shared" si="76"/>
        <v>33</v>
      </c>
      <c r="C435" s="8"/>
      <c r="D435" s="8"/>
      <c r="E435" s="8">
        <v>10</v>
      </c>
      <c r="F435" s="8">
        <v>10</v>
      </c>
      <c r="G435" s="9">
        <f t="shared" si="77"/>
        <v>0</v>
      </c>
      <c r="H435" s="9">
        <f t="shared" si="78"/>
        <v>33</v>
      </c>
      <c r="I435" s="10">
        <f t="shared" si="79"/>
        <v>0</v>
      </c>
    </row>
    <row r="436" spans="1:9" ht="12.75">
      <c r="A436" s="8" t="s">
        <v>26</v>
      </c>
      <c r="B436" s="9">
        <f t="shared" si="76"/>
        <v>19</v>
      </c>
      <c r="C436" s="8"/>
      <c r="D436" s="8"/>
      <c r="E436" s="8">
        <v>6</v>
      </c>
      <c r="F436" s="8">
        <v>5</v>
      </c>
      <c r="G436" s="9">
        <f t="shared" si="77"/>
        <v>1</v>
      </c>
      <c r="H436" s="9">
        <f t="shared" si="78"/>
        <v>18</v>
      </c>
      <c r="I436" s="10">
        <f t="shared" si="79"/>
        <v>6</v>
      </c>
    </row>
    <row r="437" spans="1:9" ht="12.75">
      <c r="A437" s="8" t="s">
        <v>27</v>
      </c>
      <c r="B437" s="9">
        <f t="shared" si="76"/>
        <v>30</v>
      </c>
      <c r="C437" s="8"/>
      <c r="D437" s="8"/>
      <c r="E437" s="8">
        <v>4</v>
      </c>
      <c r="F437" s="8">
        <v>4</v>
      </c>
      <c r="G437" s="9">
        <f t="shared" si="77"/>
        <v>0</v>
      </c>
      <c r="H437" s="9">
        <f t="shared" si="78"/>
        <v>30</v>
      </c>
      <c r="I437" s="10">
        <f t="shared" si="79"/>
        <v>0</v>
      </c>
    </row>
    <row r="438" spans="1:9" ht="12.75">
      <c r="A438" s="8" t="s">
        <v>28</v>
      </c>
      <c r="B438" s="9">
        <f t="shared" si="76"/>
        <v>29</v>
      </c>
      <c r="C438" s="8"/>
      <c r="D438" s="8"/>
      <c r="E438" s="8">
        <v>8</v>
      </c>
      <c r="F438" s="8">
        <v>4</v>
      </c>
      <c r="G438" s="9">
        <f t="shared" si="77"/>
        <v>4</v>
      </c>
      <c r="H438" s="9">
        <f t="shared" si="78"/>
        <v>25</v>
      </c>
      <c r="I438" s="10">
        <f t="shared" si="79"/>
        <v>24</v>
      </c>
    </row>
    <row r="439" spans="1:9" ht="12.75">
      <c r="A439" s="8" t="s">
        <v>30</v>
      </c>
      <c r="B439" s="9">
        <f t="shared" si="76"/>
        <v>27</v>
      </c>
      <c r="C439" s="8"/>
      <c r="D439" s="8"/>
      <c r="E439" s="8">
        <v>2</v>
      </c>
      <c r="F439" s="8">
        <v>0</v>
      </c>
      <c r="G439" s="9">
        <f t="shared" si="77"/>
        <v>2</v>
      </c>
      <c r="H439" s="9">
        <f t="shared" si="78"/>
        <v>25</v>
      </c>
      <c r="I439" s="10">
        <f t="shared" si="79"/>
        <v>12</v>
      </c>
    </row>
    <row r="440" spans="1:9" ht="12.75">
      <c r="A440" s="13" t="s">
        <v>31</v>
      </c>
      <c r="B440" s="9">
        <v>21</v>
      </c>
      <c r="C440" s="8"/>
      <c r="D440" s="8"/>
      <c r="E440" s="8">
        <v>3</v>
      </c>
      <c r="F440" s="8">
        <v>3</v>
      </c>
      <c r="G440" s="9">
        <f t="shared" si="77"/>
        <v>0</v>
      </c>
      <c r="H440" s="9">
        <f t="shared" si="78"/>
        <v>21</v>
      </c>
      <c r="I440" s="10">
        <f t="shared" si="79"/>
        <v>0</v>
      </c>
    </row>
    <row r="441" spans="1:9" ht="12.75">
      <c r="A441" s="13" t="s">
        <v>32</v>
      </c>
      <c r="B441" s="9">
        <f>H413</f>
        <v>10</v>
      </c>
      <c r="C441" s="8"/>
      <c r="D441" s="8"/>
      <c r="E441" s="8">
        <v>3</v>
      </c>
      <c r="F441" s="8">
        <v>2</v>
      </c>
      <c r="G441" s="9">
        <f t="shared" si="77"/>
        <v>1</v>
      </c>
      <c r="H441" s="9">
        <f t="shared" si="78"/>
        <v>9</v>
      </c>
      <c r="I441" s="10">
        <f t="shared" si="79"/>
        <v>6</v>
      </c>
    </row>
    <row r="442" spans="1:9" ht="12.75">
      <c r="A442" s="14" t="s">
        <v>33</v>
      </c>
      <c r="B442" s="15">
        <f>SUM(B420:B441)</f>
        <v>553</v>
      </c>
      <c r="C442" s="14"/>
      <c r="D442" s="14"/>
      <c r="E442" s="15">
        <f t="shared" ref="E442:G442" si="80">SUM(E419:E441)</f>
        <v>114</v>
      </c>
      <c r="F442" s="15">
        <f t="shared" si="80"/>
        <v>93</v>
      </c>
      <c r="G442" s="15">
        <f t="shared" si="80"/>
        <v>21</v>
      </c>
      <c r="H442" s="15">
        <f>SUM(H420:H441)</f>
        <v>532</v>
      </c>
      <c r="I442" s="16">
        <f>SUM(I419:I441)</f>
        <v>126</v>
      </c>
    </row>
    <row r="443" spans="1:9" ht="12.75">
      <c r="A443" s="17"/>
      <c r="B443" s="17"/>
      <c r="C443" s="17"/>
      <c r="D443" s="17"/>
      <c r="E443" s="17"/>
      <c r="F443" s="134" t="s">
        <v>34</v>
      </c>
      <c r="G443" s="133"/>
      <c r="H443" s="18"/>
      <c r="I443" s="19"/>
    </row>
    <row r="445" spans="1:9" ht="12.75">
      <c r="A445" s="17"/>
      <c r="B445" s="17"/>
      <c r="C445" s="17"/>
      <c r="D445" s="17"/>
      <c r="E445" s="17"/>
      <c r="F445" s="17"/>
      <c r="G445" s="17"/>
      <c r="H445" s="17"/>
      <c r="I445" s="17"/>
    </row>
    <row r="446" spans="1:9">
      <c r="A446" s="1"/>
      <c r="B446" s="131" t="s">
        <v>103</v>
      </c>
      <c r="C446" s="132"/>
      <c r="D446" s="132"/>
      <c r="E446" s="132"/>
      <c r="F446" s="132"/>
      <c r="G446" s="132"/>
      <c r="H446" s="132"/>
      <c r="I446" s="133"/>
    </row>
    <row r="447" spans="1:9" ht="45">
      <c r="A447" s="2" t="s">
        <v>1</v>
      </c>
      <c r="B447" s="3" t="s">
        <v>2</v>
      </c>
      <c r="C447" s="4" t="s">
        <v>3</v>
      </c>
      <c r="D447" s="5" t="s">
        <v>4</v>
      </c>
      <c r="E447" s="2" t="s">
        <v>5</v>
      </c>
      <c r="F447" s="2" t="s">
        <v>6</v>
      </c>
      <c r="G447" s="2" t="s">
        <v>7</v>
      </c>
      <c r="H447" s="6" t="s">
        <v>8</v>
      </c>
      <c r="I447" s="7" t="s">
        <v>9</v>
      </c>
    </row>
    <row r="448" spans="1:9" ht="12.75">
      <c r="A448" s="8" t="s">
        <v>10</v>
      </c>
      <c r="B448" s="9">
        <f t="shared" ref="B448:B467" si="81">H420</f>
        <v>20</v>
      </c>
      <c r="C448" s="8"/>
      <c r="D448" s="8"/>
      <c r="E448" s="8">
        <v>6</v>
      </c>
      <c r="F448" s="8">
        <v>5</v>
      </c>
      <c r="G448" s="9">
        <f t="shared" ref="G448:G469" si="82">E448-F448</f>
        <v>1</v>
      </c>
      <c r="H448" s="9">
        <f t="shared" ref="H448:H469" si="83">B448-C448+D448-G448</f>
        <v>19</v>
      </c>
      <c r="I448" s="10">
        <f t="shared" ref="I448:I469" si="84">G448*6</f>
        <v>6</v>
      </c>
    </row>
    <row r="449" spans="1:9" ht="12.75">
      <c r="A449" s="8" t="s">
        <v>11</v>
      </c>
      <c r="B449" s="9">
        <f t="shared" si="81"/>
        <v>42</v>
      </c>
      <c r="C449" s="11"/>
      <c r="D449" s="8"/>
      <c r="E449" s="8">
        <v>6</v>
      </c>
      <c r="F449" s="8">
        <v>5</v>
      </c>
      <c r="G449" s="9">
        <f t="shared" si="82"/>
        <v>1</v>
      </c>
      <c r="H449" s="9">
        <f t="shared" si="83"/>
        <v>41</v>
      </c>
      <c r="I449" s="10">
        <f t="shared" si="84"/>
        <v>6</v>
      </c>
    </row>
    <row r="450" spans="1:9" ht="12.75">
      <c r="A450" s="8" t="s">
        <v>12</v>
      </c>
      <c r="B450" s="9">
        <f t="shared" si="81"/>
        <v>41</v>
      </c>
      <c r="C450" s="8"/>
      <c r="D450" s="8"/>
      <c r="E450" s="8">
        <v>6</v>
      </c>
      <c r="F450" s="8">
        <v>5</v>
      </c>
      <c r="G450" s="9">
        <f t="shared" si="82"/>
        <v>1</v>
      </c>
      <c r="H450" s="9">
        <f t="shared" si="83"/>
        <v>40</v>
      </c>
      <c r="I450" s="10">
        <f t="shared" si="84"/>
        <v>6</v>
      </c>
    </row>
    <row r="451" spans="1:9" ht="12.75">
      <c r="A451" s="8" t="s">
        <v>13</v>
      </c>
      <c r="B451" s="9">
        <f t="shared" si="81"/>
        <v>31</v>
      </c>
      <c r="C451" s="8"/>
      <c r="D451" s="8"/>
      <c r="E451" s="8">
        <v>7</v>
      </c>
      <c r="F451" s="8">
        <v>7</v>
      </c>
      <c r="G451" s="9">
        <f t="shared" si="82"/>
        <v>0</v>
      </c>
      <c r="H451" s="9">
        <f t="shared" si="83"/>
        <v>31</v>
      </c>
      <c r="I451" s="10">
        <f t="shared" si="84"/>
        <v>0</v>
      </c>
    </row>
    <row r="452" spans="1:9" ht="12.75">
      <c r="A452" s="8" t="s">
        <v>14</v>
      </c>
      <c r="B452" s="9">
        <f t="shared" si="81"/>
        <v>29</v>
      </c>
      <c r="C452" s="8"/>
      <c r="D452" s="8"/>
      <c r="E452" s="8">
        <v>4</v>
      </c>
      <c r="F452" s="8">
        <v>2</v>
      </c>
      <c r="G452" s="9">
        <f t="shared" si="82"/>
        <v>2</v>
      </c>
      <c r="H452" s="9">
        <f t="shared" si="83"/>
        <v>27</v>
      </c>
      <c r="I452" s="10">
        <f t="shared" si="84"/>
        <v>12</v>
      </c>
    </row>
    <row r="453" spans="1:9" ht="12.75">
      <c r="A453" s="8" t="s">
        <v>15</v>
      </c>
      <c r="B453" s="9">
        <f t="shared" si="81"/>
        <v>16</v>
      </c>
      <c r="C453" s="8"/>
      <c r="D453" s="8"/>
      <c r="E453" s="8">
        <v>6</v>
      </c>
      <c r="F453" s="8">
        <v>4</v>
      </c>
      <c r="G453" s="9">
        <f t="shared" si="82"/>
        <v>2</v>
      </c>
      <c r="H453" s="9">
        <f t="shared" si="83"/>
        <v>14</v>
      </c>
      <c r="I453" s="10">
        <f t="shared" si="84"/>
        <v>12</v>
      </c>
    </row>
    <row r="454" spans="1:9" ht="12.75">
      <c r="A454" s="8" t="s">
        <v>16</v>
      </c>
      <c r="B454" s="9">
        <f t="shared" si="81"/>
        <v>25</v>
      </c>
      <c r="C454" s="8"/>
      <c r="D454" s="8"/>
      <c r="E454" s="8">
        <v>5</v>
      </c>
      <c r="F454" s="8">
        <v>5</v>
      </c>
      <c r="G454" s="9">
        <f t="shared" si="82"/>
        <v>0</v>
      </c>
      <c r="H454" s="9">
        <f t="shared" si="83"/>
        <v>25</v>
      </c>
      <c r="I454" s="10">
        <f t="shared" si="84"/>
        <v>0</v>
      </c>
    </row>
    <row r="455" spans="1:9" ht="12.75">
      <c r="A455" s="8" t="s">
        <v>17</v>
      </c>
      <c r="B455" s="9">
        <f t="shared" si="81"/>
        <v>29</v>
      </c>
      <c r="C455" s="8"/>
      <c r="D455" s="8"/>
      <c r="E455" s="8">
        <v>4</v>
      </c>
      <c r="F455" s="8">
        <v>4</v>
      </c>
      <c r="G455" s="9">
        <f t="shared" si="82"/>
        <v>0</v>
      </c>
      <c r="H455" s="9">
        <f t="shared" si="83"/>
        <v>29</v>
      </c>
      <c r="I455" s="10">
        <f t="shared" si="84"/>
        <v>0</v>
      </c>
    </row>
    <row r="456" spans="1:9" ht="12.75">
      <c r="A456" s="8" t="s">
        <v>18</v>
      </c>
      <c r="B456" s="9">
        <f t="shared" si="81"/>
        <v>27</v>
      </c>
      <c r="C456" s="8"/>
      <c r="D456" s="8"/>
      <c r="E456" s="8">
        <v>6</v>
      </c>
      <c r="F456" s="8">
        <v>6</v>
      </c>
      <c r="G456" s="9">
        <f t="shared" si="82"/>
        <v>0</v>
      </c>
      <c r="H456" s="9">
        <f t="shared" si="83"/>
        <v>27</v>
      </c>
      <c r="I456" s="10">
        <f t="shared" si="84"/>
        <v>0</v>
      </c>
    </row>
    <row r="457" spans="1:9" ht="12.75">
      <c r="A457" s="8" t="s">
        <v>19</v>
      </c>
      <c r="B457" s="9">
        <f t="shared" si="81"/>
        <v>9</v>
      </c>
      <c r="C457" s="8"/>
      <c r="D457" s="8"/>
      <c r="E457" s="8">
        <v>6</v>
      </c>
      <c r="F457" s="8">
        <v>6</v>
      </c>
      <c r="G457" s="9">
        <f t="shared" si="82"/>
        <v>0</v>
      </c>
      <c r="H457" s="9">
        <f t="shared" si="83"/>
        <v>9</v>
      </c>
      <c r="I457" s="10">
        <f t="shared" si="84"/>
        <v>0</v>
      </c>
    </row>
    <row r="458" spans="1:9" ht="12.75">
      <c r="A458" s="8" t="s">
        <v>20</v>
      </c>
      <c r="B458" s="9">
        <f t="shared" si="81"/>
        <v>20</v>
      </c>
      <c r="C458" s="8"/>
      <c r="D458" s="8"/>
      <c r="E458" s="8">
        <v>6</v>
      </c>
      <c r="F458" s="8">
        <v>1</v>
      </c>
      <c r="G458" s="9">
        <f t="shared" si="82"/>
        <v>5</v>
      </c>
      <c r="H458" s="9">
        <f t="shared" si="83"/>
        <v>15</v>
      </c>
      <c r="I458" s="10">
        <f t="shared" si="84"/>
        <v>30</v>
      </c>
    </row>
    <row r="459" spans="1:9" ht="12.75">
      <c r="A459" s="8" t="s">
        <v>21</v>
      </c>
      <c r="B459" s="9">
        <f t="shared" si="81"/>
        <v>10</v>
      </c>
      <c r="C459" s="8"/>
      <c r="D459" s="8"/>
      <c r="E459" s="8">
        <v>2</v>
      </c>
      <c r="F459" s="8">
        <v>2</v>
      </c>
      <c r="G459" s="9">
        <f t="shared" si="82"/>
        <v>0</v>
      </c>
      <c r="H459" s="9">
        <f t="shared" si="83"/>
        <v>10</v>
      </c>
      <c r="I459" s="10">
        <f t="shared" si="84"/>
        <v>0</v>
      </c>
    </row>
    <row r="460" spans="1:9" ht="12.75">
      <c r="A460" s="8" t="s">
        <v>22</v>
      </c>
      <c r="B460" s="9">
        <f t="shared" si="81"/>
        <v>9</v>
      </c>
      <c r="C460" s="8">
        <v>1</v>
      </c>
      <c r="D460" s="8"/>
      <c r="E460" s="8">
        <v>5</v>
      </c>
      <c r="F460" s="8">
        <v>5</v>
      </c>
      <c r="G460" s="9">
        <f t="shared" si="82"/>
        <v>0</v>
      </c>
      <c r="H460" s="9">
        <f t="shared" si="83"/>
        <v>8</v>
      </c>
      <c r="I460" s="10">
        <f t="shared" si="84"/>
        <v>0</v>
      </c>
    </row>
    <row r="461" spans="1:9" ht="12.75">
      <c r="A461" s="8" t="s">
        <v>23</v>
      </c>
      <c r="B461" s="9">
        <f t="shared" si="81"/>
        <v>39</v>
      </c>
      <c r="C461" s="11"/>
      <c r="D461" s="8"/>
      <c r="E461" s="8">
        <v>6</v>
      </c>
      <c r="F461" s="8">
        <v>2</v>
      </c>
      <c r="G461" s="9">
        <f t="shared" si="82"/>
        <v>4</v>
      </c>
      <c r="H461" s="9">
        <f t="shared" si="83"/>
        <v>35</v>
      </c>
      <c r="I461" s="10">
        <f t="shared" si="84"/>
        <v>24</v>
      </c>
    </row>
    <row r="462" spans="1:9" ht="12.75">
      <c r="A462" s="8" t="s">
        <v>24</v>
      </c>
      <c r="B462" s="9">
        <f t="shared" si="81"/>
        <v>24</v>
      </c>
      <c r="C462" s="8"/>
      <c r="D462" s="8"/>
      <c r="E462" s="8">
        <v>4</v>
      </c>
      <c r="F462" s="8">
        <v>4</v>
      </c>
      <c r="G462" s="9">
        <f t="shared" si="82"/>
        <v>0</v>
      </c>
      <c r="H462" s="9">
        <f t="shared" si="83"/>
        <v>24</v>
      </c>
      <c r="I462" s="10">
        <f t="shared" si="84"/>
        <v>0</v>
      </c>
    </row>
    <row r="463" spans="1:9" ht="12.75">
      <c r="A463" s="8" t="s">
        <v>25</v>
      </c>
      <c r="B463" s="9">
        <f t="shared" si="81"/>
        <v>33</v>
      </c>
      <c r="C463" s="8"/>
      <c r="D463" s="8"/>
      <c r="E463" s="8">
        <v>10</v>
      </c>
      <c r="F463" s="8">
        <v>4</v>
      </c>
      <c r="G463" s="9">
        <f t="shared" si="82"/>
        <v>6</v>
      </c>
      <c r="H463" s="9">
        <f t="shared" si="83"/>
        <v>27</v>
      </c>
      <c r="I463" s="10">
        <f t="shared" si="84"/>
        <v>36</v>
      </c>
    </row>
    <row r="464" spans="1:9" ht="12.75">
      <c r="A464" s="8" t="s">
        <v>26</v>
      </c>
      <c r="B464" s="9">
        <f t="shared" si="81"/>
        <v>18</v>
      </c>
      <c r="C464" s="8"/>
      <c r="D464" s="8"/>
      <c r="E464" s="8">
        <v>6</v>
      </c>
      <c r="F464" s="8">
        <v>5</v>
      </c>
      <c r="G464" s="9">
        <f t="shared" si="82"/>
        <v>1</v>
      </c>
      <c r="H464" s="9">
        <f t="shared" si="83"/>
        <v>17</v>
      </c>
      <c r="I464" s="10">
        <f t="shared" si="84"/>
        <v>6</v>
      </c>
    </row>
    <row r="465" spans="1:9" ht="12.75">
      <c r="A465" s="8" t="s">
        <v>27</v>
      </c>
      <c r="B465" s="9">
        <f t="shared" si="81"/>
        <v>30</v>
      </c>
      <c r="C465" s="8"/>
      <c r="D465" s="8"/>
      <c r="E465" s="8">
        <v>4</v>
      </c>
      <c r="F465" s="8">
        <v>4</v>
      </c>
      <c r="G465" s="9">
        <f t="shared" si="82"/>
        <v>0</v>
      </c>
      <c r="H465" s="9">
        <f t="shared" si="83"/>
        <v>30</v>
      </c>
      <c r="I465" s="10">
        <f t="shared" si="84"/>
        <v>0</v>
      </c>
    </row>
    <row r="466" spans="1:9" ht="12.75">
      <c r="A466" s="8" t="s">
        <v>28</v>
      </c>
      <c r="B466" s="9">
        <f t="shared" si="81"/>
        <v>25</v>
      </c>
      <c r="C466" s="8"/>
      <c r="D466" s="8"/>
      <c r="E466" s="8">
        <v>8</v>
      </c>
      <c r="F466" s="8">
        <v>7</v>
      </c>
      <c r="G466" s="9">
        <f t="shared" si="82"/>
        <v>1</v>
      </c>
      <c r="H466" s="9">
        <f t="shared" si="83"/>
        <v>24</v>
      </c>
      <c r="I466" s="10">
        <f t="shared" si="84"/>
        <v>6</v>
      </c>
    </row>
    <row r="467" spans="1:9" ht="12.75">
      <c r="A467" s="8" t="s">
        <v>30</v>
      </c>
      <c r="B467" s="9">
        <f t="shared" si="81"/>
        <v>25</v>
      </c>
      <c r="C467" s="8"/>
      <c r="D467" s="8"/>
      <c r="E467" s="8">
        <v>3</v>
      </c>
      <c r="F467" s="8">
        <v>3</v>
      </c>
      <c r="G467" s="9">
        <f t="shared" si="82"/>
        <v>0</v>
      </c>
      <c r="H467" s="9">
        <f t="shared" si="83"/>
        <v>25</v>
      </c>
      <c r="I467" s="10">
        <f t="shared" si="84"/>
        <v>0</v>
      </c>
    </row>
    <row r="468" spans="1:9" ht="12.75">
      <c r="A468" s="13" t="s">
        <v>31</v>
      </c>
      <c r="B468" s="9">
        <v>21</v>
      </c>
      <c r="C468" s="8"/>
      <c r="D468" s="8"/>
      <c r="E468" s="8">
        <v>3</v>
      </c>
      <c r="F468" s="8">
        <v>3</v>
      </c>
      <c r="G468" s="9">
        <f t="shared" si="82"/>
        <v>0</v>
      </c>
      <c r="H468" s="9">
        <f t="shared" si="83"/>
        <v>21</v>
      </c>
      <c r="I468" s="10">
        <f t="shared" si="84"/>
        <v>0</v>
      </c>
    </row>
    <row r="469" spans="1:9" ht="12.75">
      <c r="A469" s="13" t="s">
        <v>32</v>
      </c>
      <c r="B469" s="9">
        <f>H441</f>
        <v>9</v>
      </c>
      <c r="C469" s="8">
        <v>1</v>
      </c>
      <c r="D469" s="8"/>
      <c r="E469" s="8">
        <v>3</v>
      </c>
      <c r="F469" s="8">
        <v>2</v>
      </c>
      <c r="G469" s="9">
        <f t="shared" si="82"/>
        <v>1</v>
      </c>
      <c r="H469" s="9">
        <f t="shared" si="83"/>
        <v>7</v>
      </c>
      <c r="I469" s="10">
        <f t="shared" si="84"/>
        <v>6</v>
      </c>
    </row>
    <row r="470" spans="1:9" ht="12.75">
      <c r="A470" s="14" t="s">
        <v>33</v>
      </c>
      <c r="B470" s="15">
        <f>SUM(B448:B469)</f>
        <v>532</v>
      </c>
      <c r="C470" s="14"/>
      <c r="D470" s="14"/>
      <c r="E470" s="15">
        <f t="shared" ref="E470:G470" si="85">SUM(E447:E469)</f>
        <v>116</v>
      </c>
      <c r="F470" s="15">
        <f t="shared" si="85"/>
        <v>91</v>
      </c>
      <c r="G470" s="15">
        <f t="shared" si="85"/>
        <v>25</v>
      </c>
      <c r="H470" s="15">
        <f>SUM(H448:H469)</f>
        <v>505</v>
      </c>
      <c r="I470" s="16">
        <f>SUM(I447:I469)</f>
        <v>150</v>
      </c>
    </row>
    <row r="471" spans="1:9" ht="12.75">
      <c r="A471" s="17"/>
      <c r="B471" s="17"/>
      <c r="C471" s="17"/>
      <c r="D471" s="17"/>
      <c r="E471" s="17"/>
      <c r="F471" s="134" t="s">
        <v>34</v>
      </c>
      <c r="G471" s="133"/>
      <c r="H471" s="18"/>
      <c r="I471" s="19"/>
    </row>
    <row r="473" spans="1:9" ht="12.75">
      <c r="A473" s="17"/>
      <c r="B473" s="17"/>
      <c r="C473" s="17"/>
      <c r="D473" s="17"/>
      <c r="E473" s="17"/>
      <c r="F473" s="17"/>
      <c r="G473" s="17"/>
      <c r="H473" s="17"/>
      <c r="I473" s="17"/>
    </row>
    <row r="474" spans="1:9">
      <c r="A474" s="1"/>
      <c r="B474" s="131" t="s">
        <v>62</v>
      </c>
      <c r="C474" s="132"/>
      <c r="D474" s="132"/>
      <c r="E474" s="132"/>
      <c r="F474" s="132"/>
      <c r="G474" s="132"/>
      <c r="H474" s="132"/>
      <c r="I474" s="133"/>
    </row>
    <row r="475" spans="1:9" ht="45">
      <c r="A475" s="2" t="s">
        <v>1</v>
      </c>
      <c r="B475" s="3" t="s">
        <v>2</v>
      </c>
      <c r="C475" s="4" t="s">
        <v>3</v>
      </c>
      <c r="D475" s="5" t="s">
        <v>4</v>
      </c>
      <c r="E475" s="2" t="s">
        <v>5</v>
      </c>
      <c r="F475" s="2" t="s">
        <v>6</v>
      </c>
      <c r="G475" s="2" t="s">
        <v>7</v>
      </c>
      <c r="H475" s="6" t="s">
        <v>8</v>
      </c>
      <c r="I475" s="7" t="s">
        <v>9</v>
      </c>
    </row>
    <row r="476" spans="1:9" ht="12.75">
      <c r="A476" s="8" t="s">
        <v>10</v>
      </c>
      <c r="B476" s="9">
        <f t="shared" ref="B476:B495" si="86">H448</f>
        <v>19</v>
      </c>
      <c r="C476" s="8"/>
      <c r="D476" s="8"/>
      <c r="E476" s="8">
        <v>6</v>
      </c>
      <c r="F476" s="8">
        <v>6</v>
      </c>
      <c r="G476" s="9">
        <f t="shared" ref="G476:G497" si="87">E476-F476</f>
        <v>0</v>
      </c>
      <c r="H476" s="9">
        <f t="shared" ref="H476:H497" si="88">B476-C476+D476-G476</f>
        <v>19</v>
      </c>
      <c r="I476" s="10">
        <f t="shared" ref="I476:I497" si="89">G476*6</f>
        <v>0</v>
      </c>
    </row>
    <row r="477" spans="1:9" ht="12.75">
      <c r="A477" s="8" t="s">
        <v>11</v>
      </c>
      <c r="B477" s="9">
        <f t="shared" si="86"/>
        <v>41</v>
      </c>
      <c r="C477" s="11"/>
      <c r="D477" s="8"/>
      <c r="E477" s="8">
        <v>6</v>
      </c>
      <c r="F477" s="8">
        <v>6</v>
      </c>
      <c r="G477" s="9">
        <f t="shared" si="87"/>
        <v>0</v>
      </c>
      <c r="H477" s="9">
        <f t="shared" si="88"/>
        <v>41</v>
      </c>
      <c r="I477" s="10">
        <f t="shared" si="89"/>
        <v>0</v>
      </c>
    </row>
    <row r="478" spans="1:9" ht="12.75">
      <c r="A478" s="8" t="s">
        <v>12</v>
      </c>
      <c r="B478" s="9">
        <f t="shared" si="86"/>
        <v>40</v>
      </c>
      <c r="C478" s="8"/>
      <c r="D478" s="8"/>
      <c r="E478" s="8">
        <v>6</v>
      </c>
      <c r="F478" s="8">
        <v>6</v>
      </c>
      <c r="G478" s="9">
        <f t="shared" si="87"/>
        <v>0</v>
      </c>
      <c r="H478" s="9">
        <f t="shared" si="88"/>
        <v>40</v>
      </c>
      <c r="I478" s="10">
        <f t="shared" si="89"/>
        <v>0</v>
      </c>
    </row>
    <row r="479" spans="1:9" ht="12.75">
      <c r="A479" s="8" t="s">
        <v>13</v>
      </c>
      <c r="B479" s="9">
        <f t="shared" si="86"/>
        <v>31</v>
      </c>
      <c r="C479" s="8">
        <v>1</v>
      </c>
      <c r="D479" s="8"/>
      <c r="E479" s="8">
        <v>6</v>
      </c>
      <c r="F479" s="8">
        <v>5</v>
      </c>
      <c r="G479" s="9">
        <f t="shared" si="87"/>
        <v>1</v>
      </c>
      <c r="H479" s="9">
        <f t="shared" si="88"/>
        <v>29</v>
      </c>
      <c r="I479" s="10">
        <f t="shared" si="89"/>
        <v>6</v>
      </c>
    </row>
    <row r="480" spans="1:9" ht="12.75">
      <c r="A480" s="8" t="s">
        <v>14</v>
      </c>
      <c r="B480" s="9">
        <f t="shared" si="86"/>
        <v>27</v>
      </c>
      <c r="C480" s="8"/>
      <c r="D480" s="8"/>
      <c r="E480" s="8">
        <v>4</v>
      </c>
      <c r="F480" s="8">
        <v>3</v>
      </c>
      <c r="G480" s="9">
        <f t="shared" si="87"/>
        <v>1</v>
      </c>
      <c r="H480" s="9">
        <f t="shared" si="88"/>
        <v>26</v>
      </c>
      <c r="I480" s="10">
        <f t="shared" si="89"/>
        <v>6</v>
      </c>
    </row>
    <row r="481" spans="1:9" ht="12.75">
      <c r="A481" s="8" t="s">
        <v>15</v>
      </c>
      <c r="B481" s="9">
        <f t="shared" si="86"/>
        <v>14</v>
      </c>
      <c r="C481" s="8"/>
      <c r="D481" s="8"/>
      <c r="E481" s="8">
        <v>6</v>
      </c>
      <c r="F481" s="8">
        <v>5</v>
      </c>
      <c r="G481" s="9">
        <f t="shared" si="87"/>
        <v>1</v>
      </c>
      <c r="H481" s="9">
        <f t="shared" si="88"/>
        <v>13</v>
      </c>
      <c r="I481" s="10">
        <f t="shared" si="89"/>
        <v>6</v>
      </c>
    </row>
    <row r="482" spans="1:9" ht="12.75">
      <c r="A482" s="8" t="s">
        <v>16</v>
      </c>
      <c r="B482" s="9">
        <f t="shared" si="86"/>
        <v>25</v>
      </c>
      <c r="C482" s="8"/>
      <c r="D482" s="8"/>
      <c r="E482" s="8">
        <v>4</v>
      </c>
      <c r="F482" s="8">
        <v>4</v>
      </c>
      <c r="G482" s="9">
        <f t="shared" si="87"/>
        <v>0</v>
      </c>
      <c r="H482" s="9">
        <f t="shared" si="88"/>
        <v>25</v>
      </c>
      <c r="I482" s="10">
        <f t="shared" si="89"/>
        <v>0</v>
      </c>
    </row>
    <row r="483" spans="1:9" ht="12.75">
      <c r="A483" s="8" t="s">
        <v>17</v>
      </c>
      <c r="B483" s="9">
        <f t="shared" si="86"/>
        <v>29</v>
      </c>
      <c r="C483" s="8"/>
      <c r="D483" s="8"/>
      <c r="E483" s="8">
        <v>4</v>
      </c>
      <c r="F483" s="8">
        <v>4</v>
      </c>
      <c r="G483" s="9">
        <f t="shared" si="87"/>
        <v>0</v>
      </c>
      <c r="H483" s="9">
        <f t="shared" si="88"/>
        <v>29</v>
      </c>
      <c r="I483" s="10">
        <f t="shared" si="89"/>
        <v>0</v>
      </c>
    </row>
    <row r="484" spans="1:9" ht="12.75">
      <c r="A484" s="8" t="s">
        <v>18</v>
      </c>
      <c r="B484" s="9">
        <f t="shared" si="86"/>
        <v>27</v>
      </c>
      <c r="C484" s="8"/>
      <c r="D484" s="8"/>
      <c r="E484" s="8">
        <v>4</v>
      </c>
      <c r="F484" s="8">
        <v>4</v>
      </c>
      <c r="G484" s="9">
        <f t="shared" si="87"/>
        <v>0</v>
      </c>
      <c r="H484" s="9">
        <f t="shared" si="88"/>
        <v>27</v>
      </c>
      <c r="I484" s="10">
        <f t="shared" si="89"/>
        <v>0</v>
      </c>
    </row>
    <row r="485" spans="1:9" ht="12.75">
      <c r="A485" s="8" t="s">
        <v>19</v>
      </c>
      <c r="B485" s="9">
        <f t="shared" si="86"/>
        <v>9</v>
      </c>
      <c r="C485" s="8"/>
      <c r="D485" s="8"/>
      <c r="E485" s="8">
        <v>4</v>
      </c>
      <c r="F485" s="8">
        <v>3</v>
      </c>
      <c r="G485" s="9">
        <f t="shared" si="87"/>
        <v>1</v>
      </c>
      <c r="H485" s="9">
        <f t="shared" si="88"/>
        <v>8</v>
      </c>
      <c r="I485" s="10">
        <f t="shared" si="89"/>
        <v>6</v>
      </c>
    </row>
    <row r="486" spans="1:9" ht="12.75">
      <c r="A486" s="8" t="s">
        <v>20</v>
      </c>
      <c r="B486" s="9">
        <f t="shared" si="86"/>
        <v>15</v>
      </c>
      <c r="C486" s="8"/>
      <c r="D486" s="8"/>
      <c r="E486" s="8">
        <v>4</v>
      </c>
      <c r="F486" s="8">
        <v>4</v>
      </c>
      <c r="G486" s="9">
        <f t="shared" si="87"/>
        <v>0</v>
      </c>
      <c r="H486" s="9">
        <f t="shared" si="88"/>
        <v>15</v>
      </c>
      <c r="I486" s="10">
        <f t="shared" si="89"/>
        <v>0</v>
      </c>
    </row>
    <row r="487" spans="1:9" ht="12.75">
      <c r="A487" s="8" t="s">
        <v>21</v>
      </c>
      <c r="B487" s="9">
        <f t="shared" si="86"/>
        <v>10</v>
      </c>
      <c r="C487" s="8"/>
      <c r="D487" s="8"/>
      <c r="E487" s="8">
        <v>2</v>
      </c>
      <c r="F487" s="8">
        <v>1</v>
      </c>
      <c r="G487" s="9">
        <f t="shared" si="87"/>
        <v>1</v>
      </c>
      <c r="H487" s="9">
        <f t="shared" si="88"/>
        <v>9</v>
      </c>
      <c r="I487" s="10">
        <f t="shared" si="89"/>
        <v>6</v>
      </c>
    </row>
    <row r="488" spans="1:9" ht="12.75">
      <c r="A488" s="8" t="s">
        <v>22</v>
      </c>
      <c r="B488" s="9">
        <f t="shared" si="86"/>
        <v>8</v>
      </c>
      <c r="C488" s="8"/>
      <c r="D488" s="8"/>
      <c r="E488" s="8">
        <v>4</v>
      </c>
      <c r="F488" s="8">
        <v>3</v>
      </c>
      <c r="G488" s="9">
        <f t="shared" si="87"/>
        <v>1</v>
      </c>
      <c r="H488" s="9">
        <f t="shared" si="88"/>
        <v>7</v>
      </c>
      <c r="I488" s="10">
        <f t="shared" si="89"/>
        <v>6</v>
      </c>
    </row>
    <row r="489" spans="1:9" ht="12.75">
      <c r="A489" s="8" t="s">
        <v>23</v>
      </c>
      <c r="B489" s="9">
        <f t="shared" si="86"/>
        <v>35</v>
      </c>
      <c r="C489" s="11"/>
      <c r="D489" s="8"/>
      <c r="E489" s="8">
        <v>6</v>
      </c>
      <c r="F489" s="8">
        <v>4</v>
      </c>
      <c r="G489" s="9">
        <f t="shared" si="87"/>
        <v>2</v>
      </c>
      <c r="H489" s="9">
        <f t="shared" si="88"/>
        <v>33</v>
      </c>
      <c r="I489" s="10">
        <f t="shared" si="89"/>
        <v>12</v>
      </c>
    </row>
    <row r="490" spans="1:9" ht="12.75">
      <c r="A490" s="8" t="s">
        <v>24</v>
      </c>
      <c r="B490" s="9">
        <f t="shared" si="86"/>
        <v>24</v>
      </c>
      <c r="C490" s="8"/>
      <c r="D490" s="8"/>
      <c r="E490" s="8">
        <v>4</v>
      </c>
      <c r="F490" s="8">
        <v>4</v>
      </c>
      <c r="G490" s="9">
        <f t="shared" si="87"/>
        <v>0</v>
      </c>
      <c r="H490" s="9">
        <f t="shared" si="88"/>
        <v>24</v>
      </c>
      <c r="I490" s="10">
        <f t="shared" si="89"/>
        <v>0</v>
      </c>
    </row>
    <row r="491" spans="1:9" ht="12.75">
      <c r="A491" s="8" t="s">
        <v>25</v>
      </c>
      <c r="B491" s="9">
        <f t="shared" si="86"/>
        <v>27</v>
      </c>
      <c r="C491" s="8"/>
      <c r="D491" s="8"/>
      <c r="E491" s="8">
        <v>8</v>
      </c>
      <c r="F491" s="8">
        <v>3</v>
      </c>
      <c r="G491" s="9">
        <f t="shared" si="87"/>
        <v>5</v>
      </c>
      <c r="H491" s="9">
        <f t="shared" si="88"/>
        <v>22</v>
      </c>
      <c r="I491" s="10">
        <f t="shared" si="89"/>
        <v>30</v>
      </c>
    </row>
    <row r="492" spans="1:9" ht="12.75">
      <c r="A492" s="8" t="s">
        <v>26</v>
      </c>
      <c r="B492" s="9">
        <f t="shared" si="86"/>
        <v>17</v>
      </c>
      <c r="C492" s="8"/>
      <c r="D492" s="8"/>
      <c r="E492" s="8">
        <v>4</v>
      </c>
      <c r="F492" s="8">
        <v>4</v>
      </c>
      <c r="G492" s="9">
        <f t="shared" si="87"/>
        <v>0</v>
      </c>
      <c r="H492" s="9">
        <f t="shared" si="88"/>
        <v>17</v>
      </c>
      <c r="I492" s="10">
        <f t="shared" si="89"/>
        <v>0</v>
      </c>
    </row>
    <row r="493" spans="1:9" ht="12.75">
      <c r="A493" s="8" t="s">
        <v>27</v>
      </c>
      <c r="B493" s="9">
        <f t="shared" si="86"/>
        <v>30</v>
      </c>
      <c r="C493" s="8"/>
      <c r="D493" s="8"/>
      <c r="E493" s="8">
        <v>4</v>
      </c>
      <c r="F493" s="8">
        <v>4</v>
      </c>
      <c r="G493" s="9">
        <f t="shared" si="87"/>
        <v>0</v>
      </c>
      <c r="H493" s="9">
        <f t="shared" si="88"/>
        <v>30</v>
      </c>
      <c r="I493" s="10">
        <f t="shared" si="89"/>
        <v>0</v>
      </c>
    </row>
    <row r="494" spans="1:9" ht="12.75">
      <c r="A494" s="8" t="s">
        <v>28</v>
      </c>
      <c r="B494" s="9">
        <f t="shared" si="86"/>
        <v>24</v>
      </c>
      <c r="C494" s="8"/>
      <c r="D494" s="8"/>
      <c r="E494" s="8">
        <v>8</v>
      </c>
      <c r="F494" s="8">
        <v>5</v>
      </c>
      <c r="G494" s="9">
        <f t="shared" si="87"/>
        <v>3</v>
      </c>
      <c r="H494" s="9">
        <f t="shared" si="88"/>
        <v>21</v>
      </c>
      <c r="I494" s="10">
        <f t="shared" si="89"/>
        <v>18</v>
      </c>
    </row>
    <row r="495" spans="1:9" ht="12.75">
      <c r="A495" s="8" t="s">
        <v>30</v>
      </c>
      <c r="B495" s="9">
        <f t="shared" si="86"/>
        <v>25</v>
      </c>
      <c r="C495" s="8"/>
      <c r="D495" s="8"/>
      <c r="E495" s="8">
        <v>2</v>
      </c>
      <c r="F495" s="8">
        <v>2</v>
      </c>
      <c r="G495" s="9">
        <f t="shared" si="87"/>
        <v>0</v>
      </c>
      <c r="H495" s="9">
        <f t="shared" si="88"/>
        <v>25</v>
      </c>
      <c r="I495" s="10">
        <f t="shared" si="89"/>
        <v>0</v>
      </c>
    </row>
    <row r="496" spans="1:9" ht="12.75">
      <c r="A496" s="13" t="s">
        <v>31</v>
      </c>
      <c r="B496" s="9">
        <v>21</v>
      </c>
      <c r="C496" s="8"/>
      <c r="D496" s="8"/>
      <c r="E496" s="8">
        <v>2</v>
      </c>
      <c r="F496" s="8">
        <v>2</v>
      </c>
      <c r="G496" s="9">
        <f t="shared" si="87"/>
        <v>0</v>
      </c>
      <c r="H496" s="9">
        <f t="shared" si="88"/>
        <v>21</v>
      </c>
      <c r="I496" s="10">
        <f t="shared" si="89"/>
        <v>0</v>
      </c>
    </row>
    <row r="497" spans="1:9" ht="12.75">
      <c r="A497" s="13" t="s">
        <v>32</v>
      </c>
      <c r="B497" s="9">
        <f>H469</f>
        <v>7</v>
      </c>
      <c r="C497" s="8"/>
      <c r="D497" s="8"/>
      <c r="E497" s="8">
        <v>2</v>
      </c>
      <c r="F497" s="8">
        <v>2</v>
      </c>
      <c r="G497" s="9">
        <f t="shared" si="87"/>
        <v>0</v>
      </c>
      <c r="H497" s="9">
        <f t="shared" si="88"/>
        <v>7</v>
      </c>
      <c r="I497" s="10">
        <f t="shared" si="89"/>
        <v>0</v>
      </c>
    </row>
    <row r="498" spans="1:9" ht="12.75">
      <c r="A498" s="14" t="s">
        <v>33</v>
      </c>
      <c r="B498" s="15">
        <f>SUM(B476:B497)</f>
        <v>505</v>
      </c>
      <c r="C498" s="14"/>
      <c r="D498" s="14"/>
      <c r="E498" s="15">
        <f t="shared" ref="E498:G498" si="90">SUM(E475:E497)</f>
        <v>100</v>
      </c>
      <c r="F498" s="15">
        <f t="shared" si="90"/>
        <v>84</v>
      </c>
      <c r="G498" s="15">
        <f t="shared" si="90"/>
        <v>16</v>
      </c>
      <c r="H498" s="15">
        <f>SUM(H476:H497)</f>
        <v>488</v>
      </c>
      <c r="I498" s="16">
        <f>SUM(I475:I497)</f>
        <v>96</v>
      </c>
    </row>
    <row r="499" spans="1:9" ht="12.75">
      <c r="A499" s="17"/>
      <c r="B499" s="17"/>
      <c r="C499" s="17"/>
      <c r="D499" s="17"/>
      <c r="E499" s="17"/>
      <c r="F499" s="134" t="s">
        <v>34</v>
      </c>
      <c r="G499" s="133"/>
      <c r="H499" s="18"/>
      <c r="I499" s="19"/>
    </row>
    <row r="501" spans="1:9" ht="12.75">
      <c r="A501" s="17"/>
      <c r="B501" s="17"/>
      <c r="C501" s="17"/>
      <c r="D501" s="17"/>
      <c r="E501" s="17"/>
      <c r="F501" s="17"/>
      <c r="G501" s="17"/>
      <c r="H501" s="17"/>
      <c r="I501" s="17"/>
    </row>
    <row r="502" spans="1:9">
      <c r="A502" s="1"/>
      <c r="B502" s="131" t="s">
        <v>104</v>
      </c>
      <c r="C502" s="132"/>
      <c r="D502" s="132"/>
      <c r="E502" s="132"/>
      <c r="F502" s="132"/>
      <c r="G502" s="132"/>
      <c r="H502" s="132"/>
      <c r="I502" s="133"/>
    </row>
    <row r="503" spans="1:9" ht="45">
      <c r="A503" s="2" t="s">
        <v>1</v>
      </c>
      <c r="B503" s="3" t="s">
        <v>2</v>
      </c>
      <c r="C503" s="4" t="s">
        <v>3</v>
      </c>
      <c r="D503" s="5" t="s">
        <v>4</v>
      </c>
      <c r="E503" s="2" t="s">
        <v>5</v>
      </c>
      <c r="F503" s="2" t="s">
        <v>6</v>
      </c>
      <c r="G503" s="2" t="s">
        <v>7</v>
      </c>
      <c r="H503" s="6" t="s">
        <v>8</v>
      </c>
      <c r="I503" s="7" t="s">
        <v>9</v>
      </c>
    </row>
    <row r="504" spans="1:9" ht="12.75">
      <c r="A504" s="8" t="s">
        <v>10</v>
      </c>
      <c r="B504" s="9">
        <f t="shared" ref="B504:B523" si="91">H476</f>
        <v>19</v>
      </c>
      <c r="C504" s="8"/>
      <c r="D504" s="8"/>
      <c r="E504" s="8"/>
      <c r="F504" s="8"/>
      <c r="G504" s="9">
        <f t="shared" ref="G504:G525" si="92">E504-F504</f>
        <v>0</v>
      </c>
      <c r="H504" s="9">
        <f t="shared" ref="H504:H525" si="93">B504-C504+D504-G504</f>
        <v>19</v>
      </c>
      <c r="I504" s="10">
        <f t="shared" ref="I504:I525" si="94">G504*6</f>
        <v>0</v>
      </c>
    </row>
    <row r="505" spans="1:9" ht="12.75">
      <c r="A505" s="8" t="s">
        <v>11</v>
      </c>
      <c r="B505" s="9">
        <f t="shared" si="91"/>
        <v>41</v>
      </c>
      <c r="C505" s="11"/>
      <c r="D505" s="8"/>
      <c r="E505" s="8"/>
      <c r="F505" s="8"/>
      <c r="G505" s="9">
        <f t="shared" si="92"/>
        <v>0</v>
      </c>
      <c r="H505" s="9">
        <f t="shared" si="93"/>
        <v>41</v>
      </c>
      <c r="I505" s="10">
        <f t="shared" si="94"/>
        <v>0</v>
      </c>
    </row>
    <row r="506" spans="1:9" ht="12.75">
      <c r="A506" s="8" t="s">
        <v>12</v>
      </c>
      <c r="B506" s="9">
        <f t="shared" si="91"/>
        <v>40</v>
      </c>
      <c r="C506" s="8"/>
      <c r="D506" s="8"/>
      <c r="E506" s="8"/>
      <c r="F506" s="8"/>
      <c r="G506" s="9">
        <f t="shared" si="92"/>
        <v>0</v>
      </c>
      <c r="H506" s="9">
        <f t="shared" si="93"/>
        <v>40</v>
      </c>
      <c r="I506" s="10">
        <f t="shared" si="94"/>
        <v>0</v>
      </c>
    </row>
    <row r="507" spans="1:9" ht="12.75">
      <c r="A507" s="8" t="s">
        <v>13</v>
      </c>
      <c r="B507" s="9">
        <f t="shared" si="91"/>
        <v>29</v>
      </c>
      <c r="C507" s="8"/>
      <c r="D507" s="8"/>
      <c r="E507" s="8"/>
      <c r="F507" s="8"/>
      <c r="G507" s="9">
        <f t="shared" si="92"/>
        <v>0</v>
      </c>
      <c r="H507" s="9">
        <f t="shared" si="93"/>
        <v>29</v>
      </c>
      <c r="I507" s="10">
        <f t="shared" si="94"/>
        <v>0</v>
      </c>
    </row>
    <row r="508" spans="1:9" ht="12.75">
      <c r="A508" s="8" t="s">
        <v>14</v>
      </c>
      <c r="B508" s="9">
        <f t="shared" si="91"/>
        <v>26</v>
      </c>
      <c r="C508" s="8"/>
      <c r="D508" s="8"/>
      <c r="E508" s="8"/>
      <c r="F508" s="8"/>
      <c r="G508" s="9">
        <f t="shared" si="92"/>
        <v>0</v>
      </c>
      <c r="H508" s="9">
        <f t="shared" si="93"/>
        <v>26</v>
      </c>
      <c r="I508" s="10">
        <f t="shared" si="94"/>
        <v>0</v>
      </c>
    </row>
    <row r="509" spans="1:9" ht="12.75">
      <c r="A509" s="8" t="s">
        <v>15</v>
      </c>
      <c r="B509" s="9">
        <f t="shared" si="91"/>
        <v>13</v>
      </c>
      <c r="C509" s="8"/>
      <c r="D509" s="8"/>
      <c r="E509" s="8"/>
      <c r="F509" s="8"/>
      <c r="G509" s="9">
        <f t="shared" si="92"/>
        <v>0</v>
      </c>
      <c r="H509" s="9">
        <f t="shared" si="93"/>
        <v>13</v>
      </c>
      <c r="I509" s="10">
        <f t="shared" si="94"/>
        <v>0</v>
      </c>
    </row>
    <row r="510" spans="1:9" ht="12.75">
      <c r="A510" s="8" t="s">
        <v>16</v>
      </c>
      <c r="B510" s="9">
        <f t="shared" si="91"/>
        <v>25</v>
      </c>
      <c r="C510" s="8"/>
      <c r="D510" s="8"/>
      <c r="E510" s="8"/>
      <c r="F510" s="8"/>
      <c r="G510" s="9">
        <f t="shared" si="92"/>
        <v>0</v>
      </c>
      <c r="H510" s="9">
        <f t="shared" si="93"/>
        <v>25</v>
      </c>
      <c r="I510" s="10">
        <f t="shared" si="94"/>
        <v>0</v>
      </c>
    </row>
    <row r="511" spans="1:9" ht="12.75">
      <c r="A511" s="8" t="s">
        <v>17</v>
      </c>
      <c r="B511" s="9">
        <f t="shared" si="91"/>
        <v>29</v>
      </c>
      <c r="C511" s="8"/>
      <c r="D511" s="8"/>
      <c r="E511" s="8"/>
      <c r="F511" s="8"/>
      <c r="G511" s="9">
        <f t="shared" si="92"/>
        <v>0</v>
      </c>
      <c r="H511" s="9">
        <f t="shared" si="93"/>
        <v>29</v>
      </c>
      <c r="I511" s="10">
        <f t="shared" si="94"/>
        <v>0</v>
      </c>
    </row>
    <row r="512" spans="1:9" ht="12.75">
      <c r="A512" s="8" t="s">
        <v>18</v>
      </c>
      <c r="B512" s="9">
        <f t="shared" si="91"/>
        <v>27</v>
      </c>
      <c r="C512" s="8"/>
      <c r="D512" s="8"/>
      <c r="E512" s="8"/>
      <c r="F512" s="8"/>
      <c r="G512" s="9">
        <f t="shared" si="92"/>
        <v>0</v>
      </c>
      <c r="H512" s="9">
        <f t="shared" si="93"/>
        <v>27</v>
      </c>
      <c r="I512" s="10">
        <f t="shared" si="94"/>
        <v>0</v>
      </c>
    </row>
    <row r="513" spans="1:9" ht="12.75">
      <c r="A513" s="8" t="s">
        <v>19</v>
      </c>
      <c r="B513" s="9">
        <f t="shared" si="91"/>
        <v>8</v>
      </c>
      <c r="C513" s="8"/>
      <c r="D513" s="8"/>
      <c r="E513" s="8"/>
      <c r="F513" s="8"/>
      <c r="G513" s="9">
        <f t="shared" si="92"/>
        <v>0</v>
      </c>
      <c r="H513" s="9">
        <f t="shared" si="93"/>
        <v>8</v>
      </c>
      <c r="I513" s="10">
        <f t="shared" si="94"/>
        <v>0</v>
      </c>
    </row>
    <row r="514" spans="1:9" ht="12.75">
      <c r="A514" s="8" t="s">
        <v>20</v>
      </c>
      <c r="B514" s="9">
        <f t="shared" si="91"/>
        <v>15</v>
      </c>
      <c r="C514" s="8"/>
      <c r="D514" s="8"/>
      <c r="E514" s="8"/>
      <c r="F514" s="8"/>
      <c r="G514" s="9">
        <f t="shared" si="92"/>
        <v>0</v>
      </c>
      <c r="H514" s="9">
        <f t="shared" si="93"/>
        <v>15</v>
      </c>
      <c r="I514" s="10">
        <f t="shared" si="94"/>
        <v>0</v>
      </c>
    </row>
    <row r="515" spans="1:9" ht="12.75">
      <c r="A515" s="8" t="s">
        <v>21</v>
      </c>
      <c r="B515" s="9">
        <f t="shared" si="91"/>
        <v>9</v>
      </c>
      <c r="C515" s="8"/>
      <c r="D515" s="8"/>
      <c r="E515" s="8"/>
      <c r="F515" s="8"/>
      <c r="G515" s="9">
        <f t="shared" si="92"/>
        <v>0</v>
      </c>
      <c r="H515" s="9">
        <f t="shared" si="93"/>
        <v>9</v>
      </c>
      <c r="I515" s="10">
        <f t="shared" si="94"/>
        <v>0</v>
      </c>
    </row>
    <row r="516" spans="1:9" ht="12.75">
      <c r="A516" s="8" t="s">
        <v>22</v>
      </c>
      <c r="B516" s="9">
        <f t="shared" si="91"/>
        <v>7</v>
      </c>
      <c r="C516" s="8"/>
      <c r="D516" s="8"/>
      <c r="E516" s="8"/>
      <c r="F516" s="8"/>
      <c r="G516" s="9">
        <f t="shared" si="92"/>
        <v>0</v>
      </c>
      <c r="H516" s="9">
        <f t="shared" si="93"/>
        <v>7</v>
      </c>
      <c r="I516" s="10">
        <f t="shared" si="94"/>
        <v>0</v>
      </c>
    </row>
    <row r="517" spans="1:9" ht="12.75">
      <c r="A517" s="8" t="s">
        <v>23</v>
      </c>
      <c r="B517" s="9">
        <f t="shared" si="91"/>
        <v>33</v>
      </c>
      <c r="C517" s="11"/>
      <c r="D517" s="8"/>
      <c r="E517" s="8"/>
      <c r="F517" s="8"/>
      <c r="G517" s="9">
        <f t="shared" si="92"/>
        <v>0</v>
      </c>
      <c r="H517" s="9">
        <f t="shared" si="93"/>
        <v>33</v>
      </c>
      <c r="I517" s="10">
        <f t="shared" si="94"/>
        <v>0</v>
      </c>
    </row>
    <row r="518" spans="1:9" ht="12.75">
      <c r="A518" s="8" t="s">
        <v>24</v>
      </c>
      <c r="B518" s="9">
        <f t="shared" si="91"/>
        <v>24</v>
      </c>
      <c r="C518" s="8"/>
      <c r="D518" s="8"/>
      <c r="E518" s="8"/>
      <c r="F518" s="8"/>
      <c r="G518" s="9">
        <f t="shared" si="92"/>
        <v>0</v>
      </c>
      <c r="H518" s="9">
        <f t="shared" si="93"/>
        <v>24</v>
      </c>
      <c r="I518" s="10">
        <f t="shared" si="94"/>
        <v>0</v>
      </c>
    </row>
    <row r="519" spans="1:9" ht="12.75">
      <c r="A519" s="8" t="s">
        <v>25</v>
      </c>
      <c r="B519" s="9">
        <f t="shared" si="91"/>
        <v>22</v>
      </c>
      <c r="C519" s="8"/>
      <c r="D519" s="8"/>
      <c r="E519" s="8"/>
      <c r="F519" s="8"/>
      <c r="G519" s="9">
        <f t="shared" si="92"/>
        <v>0</v>
      </c>
      <c r="H519" s="9">
        <f t="shared" si="93"/>
        <v>22</v>
      </c>
      <c r="I519" s="10">
        <f t="shared" si="94"/>
        <v>0</v>
      </c>
    </row>
    <row r="520" spans="1:9" ht="12.75">
      <c r="A520" s="8" t="s">
        <v>26</v>
      </c>
      <c r="B520" s="9">
        <f t="shared" si="91"/>
        <v>17</v>
      </c>
      <c r="C520" s="8"/>
      <c r="D520" s="8"/>
      <c r="E520" s="8"/>
      <c r="F520" s="8"/>
      <c r="G520" s="9">
        <f t="shared" si="92"/>
        <v>0</v>
      </c>
      <c r="H520" s="9">
        <f t="shared" si="93"/>
        <v>17</v>
      </c>
      <c r="I520" s="10">
        <f t="shared" si="94"/>
        <v>0</v>
      </c>
    </row>
    <row r="521" spans="1:9" ht="12.75">
      <c r="A521" s="8" t="s">
        <v>27</v>
      </c>
      <c r="B521" s="9">
        <f t="shared" si="91"/>
        <v>30</v>
      </c>
      <c r="C521" s="8"/>
      <c r="D521" s="8"/>
      <c r="E521" s="8"/>
      <c r="F521" s="8"/>
      <c r="G521" s="9">
        <f t="shared" si="92"/>
        <v>0</v>
      </c>
      <c r="H521" s="9">
        <f t="shared" si="93"/>
        <v>30</v>
      </c>
      <c r="I521" s="10">
        <f t="shared" si="94"/>
        <v>0</v>
      </c>
    </row>
    <row r="522" spans="1:9" ht="12.75">
      <c r="A522" s="8" t="s">
        <v>28</v>
      </c>
      <c r="B522" s="9">
        <f t="shared" si="91"/>
        <v>21</v>
      </c>
      <c r="C522" s="8"/>
      <c r="D522" s="8"/>
      <c r="E522" s="8"/>
      <c r="F522" s="8"/>
      <c r="G522" s="9">
        <f t="shared" si="92"/>
        <v>0</v>
      </c>
      <c r="H522" s="9">
        <f t="shared" si="93"/>
        <v>21</v>
      </c>
      <c r="I522" s="10">
        <f t="shared" si="94"/>
        <v>0</v>
      </c>
    </row>
    <row r="523" spans="1:9" ht="12.75">
      <c r="A523" s="8" t="s">
        <v>30</v>
      </c>
      <c r="B523" s="9">
        <f t="shared" si="91"/>
        <v>25</v>
      </c>
      <c r="C523" s="8"/>
      <c r="D523" s="8"/>
      <c r="E523" s="8"/>
      <c r="F523" s="8"/>
      <c r="G523" s="9">
        <f t="shared" si="92"/>
        <v>0</v>
      </c>
      <c r="H523" s="9">
        <f t="shared" si="93"/>
        <v>25</v>
      </c>
      <c r="I523" s="10">
        <f t="shared" si="94"/>
        <v>0</v>
      </c>
    </row>
    <row r="524" spans="1:9" ht="12.75">
      <c r="A524" s="13" t="s">
        <v>31</v>
      </c>
      <c r="B524" s="9">
        <v>21</v>
      </c>
      <c r="C524" s="8"/>
      <c r="D524" s="8"/>
      <c r="E524" s="8"/>
      <c r="F524" s="8"/>
      <c r="G524" s="9">
        <f t="shared" si="92"/>
        <v>0</v>
      </c>
      <c r="H524" s="9">
        <f t="shared" si="93"/>
        <v>21</v>
      </c>
      <c r="I524" s="10">
        <f t="shared" si="94"/>
        <v>0</v>
      </c>
    </row>
    <row r="525" spans="1:9" ht="12.75">
      <c r="A525" s="13" t="s">
        <v>32</v>
      </c>
      <c r="B525" s="9">
        <f>H497</f>
        <v>7</v>
      </c>
      <c r="C525" s="8"/>
      <c r="D525" s="8"/>
      <c r="E525" s="8"/>
      <c r="F525" s="8"/>
      <c r="G525" s="9">
        <f t="shared" si="92"/>
        <v>0</v>
      </c>
      <c r="H525" s="9">
        <f t="shared" si="93"/>
        <v>7</v>
      </c>
      <c r="I525" s="10">
        <f t="shared" si="94"/>
        <v>0</v>
      </c>
    </row>
    <row r="526" spans="1:9" ht="12.75">
      <c r="A526" s="14" t="s">
        <v>33</v>
      </c>
      <c r="B526" s="15">
        <f>SUM(B504:B525)</f>
        <v>488</v>
      </c>
      <c r="C526" s="14"/>
      <c r="D526" s="14"/>
      <c r="E526" s="15">
        <f t="shared" ref="E526:G526" si="95">SUM(E503:E525)</f>
        <v>0</v>
      </c>
      <c r="F526" s="15">
        <f t="shared" si="95"/>
        <v>0</v>
      </c>
      <c r="G526" s="15">
        <f t="shared" si="95"/>
        <v>0</v>
      </c>
      <c r="H526" s="15">
        <f>SUM(H504:H525)</f>
        <v>488</v>
      </c>
      <c r="I526" s="16">
        <f>SUM(I503:I525)</f>
        <v>0</v>
      </c>
    </row>
    <row r="527" spans="1:9" ht="12.75">
      <c r="A527" s="17"/>
      <c r="B527" s="17"/>
      <c r="C527" s="17"/>
      <c r="D527" s="17"/>
      <c r="E527" s="17"/>
      <c r="F527" s="134" t="s">
        <v>34</v>
      </c>
      <c r="G527" s="133"/>
      <c r="H527" s="18"/>
      <c r="I527" s="19"/>
    </row>
  </sheetData>
  <mergeCells count="44">
    <mergeCell ref="F499:G499"/>
    <mergeCell ref="F527:G527"/>
    <mergeCell ref="F415:G415"/>
    <mergeCell ref="B418:I418"/>
    <mergeCell ref="F443:G443"/>
    <mergeCell ref="B446:I446"/>
    <mergeCell ref="F471:G471"/>
    <mergeCell ref="B474:I474"/>
    <mergeCell ref="B502:I502"/>
    <mergeCell ref="B334:I334"/>
    <mergeCell ref="F359:G359"/>
    <mergeCell ref="B362:I362"/>
    <mergeCell ref="F387:G387"/>
    <mergeCell ref="B390:I390"/>
    <mergeCell ref="F275:G275"/>
    <mergeCell ref="B278:I278"/>
    <mergeCell ref="B306:I306"/>
    <mergeCell ref="F303:G303"/>
    <mergeCell ref="F331:G331"/>
    <mergeCell ref="B194:I194"/>
    <mergeCell ref="F219:G219"/>
    <mergeCell ref="B222:I222"/>
    <mergeCell ref="F247:G247"/>
    <mergeCell ref="B250:I250"/>
    <mergeCell ref="B138:I138"/>
    <mergeCell ref="F163:G163"/>
    <mergeCell ref="E164:G164"/>
    <mergeCell ref="B166:I166"/>
    <mergeCell ref="F191:G191"/>
    <mergeCell ref="F107:G107"/>
    <mergeCell ref="E108:G108"/>
    <mergeCell ref="B110:I110"/>
    <mergeCell ref="F135:G135"/>
    <mergeCell ref="E136:G136"/>
    <mergeCell ref="E53:G53"/>
    <mergeCell ref="B55:I55"/>
    <mergeCell ref="F79:G79"/>
    <mergeCell ref="E80:G80"/>
    <mergeCell ref="B82:I82"/>
    <mergeCell ref="B1:I1"/>
    <mergeCell ref="F25:G25"/>
    <mergeCell ref="E26:G26"/>
    <mergeCell ref="B28:I28"/>
    <mergeCell ref="F52:G52"/>
  </mergeCell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485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1" max="1" width="16.85546875" customWidth="1"/>
  </cols>
  <sheetData>
    <row r="1" spans="1:9" ht="15.75" customHeight="1">
      <c r="A1" s="28"/>
      <c r="B1" s="131" t="s">
        <v>105</v>
      </c>
      <c r="C1" s="132"/>
      <c r="D1" s="132"/>
      <c r="E1" s="132"/>
      <c r="F1" s="132"/>
      <c r="G1" s="132"/>
      <c r="H1" s="132"/>
      <c r="I1" s="133"/>
    </row>
    <row r="2" spans="1:9" ht="15.75" customHeight="1">
      <c r="A2" s="2" t="s">
        <v>1</v>
      </c>
      <c r="B2" s="3" t="s">
        <v>2</v>
      </c>
      <c r="C2" s="4" t="s">
        <v>3</v>
      </c>
      <c r="D2" s="5" t="s">
        <v>4</v>
      </c>
      <c r="E2" s="2" t="s">
        <v>5</v>
      </c>
      <c r="F2" s="2" t="s">
        <v>6</v>
      </c>
      <c r="G2" s="2" t="s">
        <v>7</v>
      </c>
      <c r="H2" s="6" t="s">
        <v>8</v>
      </c>
      <c r="I2" s="7" t="s">
        <v>9</v>
      </c>
    </row>
    <row r="3" spans="1:9">
      <c r="A3" s="8" t="s">
        <v>10</v>
      </c>
      <c r="B3" s="9">
        <v>36</v>
      </c>
      <c r="C3" s="8"/>
      <c r="D3" s="8"/>
      <c r="E3" s="8">
        <v>6</v>
      </c>
      <c r="F3" s="8">
        <v>6</v>
      </c>
      <c r="G3" s="9">
        <f t="shared" ref="G3:G23" si="0">E3-F3</f>
        <v>0</v>
      </c>
      <c r="H3" s="9">
        <f t="shared" ref="H3:H23" si="1">B3-C3+D3-G3</f>
        <v>36</v>
      </c>
      <c r="I3" s="10">
        <f t="shared" ref="I3:I12" si="2">G3*6</f>
        <v>0</v>
      </c>
    </row>
    <row r="4" spans="1:9">
      <c r="A4" s="8" t="s">
        <v>11</v>
      </c>
      <c r="B4" s="9">
        <v>23</v>
      </c>
      <c r="C4" s="8"/>
      <c r="D4" s="8"/>
      <c r="E4" s="8">
        <v>5</v>
      </c>
      <c r="F4" s="8">
        <v>3</v>
      </c>
      <c r="G4" s="9">
        <f t="shared" si="0"/>
        <v>2</v>
      </c>
      <c r="H4" s="9">
        <f t="shared" si="1"/>
        <v>21</v>
      </c>
      <c r="I4" s="10">
        <f t="shared" si="2"/>
        <v>12</v>
      </c>
    </row>
    <row r="5" spans="1:9">
      <c r="A5" s="8" t="s">
        <v>12</v>
      </c>
      <c r="B5" s="9">
        <v>16</v>
      </c>
      <c r="C5" s="8"/>
      <c r="D5" s="8"/>
      <c r="E5" s="8">
        <v>6</v>
      </c>
      <c r="F5" s="8">
        <v>6</v>
      </c>
      <c r="G5" s="9">
        <f t="shared" si="0"/>
        <v>0</v>
      </c>
      <c r="H5" s="9">
        <f t="shared" si="1"/>
        <v>16</v>
      </c>
      <c r="I5" s="10">
        <f t="shared" si="2"/>
        <v>0</v>
      </c>
    </row>
    <row r="6" spans="1:9">
      <c r="A6" s="8" t="s">
        <v>13</v>
      </c>
      <c r="B6" s="9">
        <v>24</v>
      </c>
      <c r="C6" s="8"/>
      <c r="D6" s="8"/>
      <c r="E6" s="8">
        <v>7</v>
      </c>
      <c r="F6" s="8">
        <v>6</v>
      </c>
      <c r="G6" s="9">
        <f t="shared" si="0"/>
        <v>1</v>
      </c>
      <c r="H6" s="9">
        <f t="shared" si="1"/>
        <v>23</v>
      </c>
      <c r="I6" s="10">
        <f t="shared" si="2"/>
        <v>6</v>
      </c>
    </row>
    <row r="7" spans="1:9">
      <c r="A7" s="8" t="s">
        <v>14</v>
      </c>
      <c r="B7" s="9">
        <v>25</v>
      </c>
      <c r="C7" s="8"/>
      <c r="D7" s="8"/>
      <c r="E7" s="8">
        <v>4</v>
      </c>
      <c r="F7" s="8">
        <v>3</v>
      </c>
      <c r="G7" s="9">
        <f t="shared" si="0"/>
        <v>1</v>
      </c>
      <c r="H7" s="9">
        <f t="shared" si="1"/>
        <v>24</v>
      </c>
      <c r="I7" s="10">
        <f t="shared" si="2"/>
        <v>6</v>
      </c>
    </row>
    <row r="8" spans="1:9">
      <c r="A8" s="8" t="s">
        <v>15</v>
      </c>
      <c r="B8" s="9">
        <v>1</v>
      </c>
      <c r="C8" s="8"/>
      <c r="D8" s="8">
        <v>34</v>
      </c>
      <c r="E8" s="8">
        <v>8</v>
      </c>
      <c r="F8" s="8">
        <v>5</v>
      </c>
      <c r="G8" s="9">
        <f t="shared" si="0"/>
        <v>3</v>
      </c>
      <c r="H8" s="9">
        <f t="shared" si="1"/>
        <v>32</v>
      </c>
      <c r="I8" s="10">
        <f t="shared" si="2"/>
        <v>18</v>
      </c>
    </row>
    <row r="9" spans="1:9">
      <c r="A9" s="8" t="s">
        <v>16</v>
      </c>
      <c r="B9" s="9">
        <v>32</v>
      </c>
      <c r="C9" s="8"/>
      <c r="D9" s="8"/>
      <c r="E9" s="8">
        <v>5</v>
      </c>
      <c r="F9" s="8">
        <v>5</v>
      </c>
      <c r="G9" s="9">
        <f t="shared" si="0"/>
        <v>0</v>
      </c>
      <c r="H9" s="9">
        <f t="shared" si="1"/>
        <v>32</v>
      </c>
      <c r="I9" s="10">
        <f t="shared" si="2"/>
        <v>0</v>
      </c>
    </row>
    <row r="10" spans="1:9">
      <c r="A10" s="8" t="s">
        <v>17</v>
      </c>
      <c r="B10" s="9">
        <v>14</v>
      </c>
      <c r="C10" s="8"/>
      <c r="D10" s="8"/>
      <c r="E10" s="8">
        <v>4</v>
      </c>
      <c r="F10" s="8">
        <v>4</v>
      </c>
      <c r="G10" s="9">
        <f t="shared" si="0"/>
        <v>0</v>
      </c>
      <c r="H10" s="9">
        <f t="shared" si="1"/>
        <v>14</v>
      </c>
      <c r="I10" s="10">
        <f t="shared" si="2"/>
        <v>0</v>
      </c>
    </row>
    <row r="11" spans="1:9">
      <c r="A11" s="8" t="s">
        <v>18</v>
      </c>
      <c r="B11" s="9">
        <v>6</v>
      </c>
      <c r="C11" s="8"/>
      <c r="D11" s="8">
        <v>30</v>
      </c>
      <c r="E11" s="8">
        <v>5</v>
      </c>
      <c r="F11" s="8">
        <v>4</v>
      </c>
      <c r="G11" s="9">
        <f t="shared" si="0"/>
        <v>1</v>
      </c>
      <c r="H11" s="9">
        <f t="shared" si="1"/>
        <v>35</v>
      </c>
      <c r="I11" s="10">
        <f t="shared" si="2"/>
        <v>6</v>
      </c>
    </row>
    <row r="12" spans="1:9">
      <c r="A12" s="8" t="s">
        <v>19</v>
      </c>
      <c r="B12" s="9">
        <v>34</v>
      </c>
      <c r="C12" s="8"/>
      <c r="D12" s="8"/>
      <c r="E12" s="8">
        <v>6</v>
      </c>
      <c r="F12" s="8">
        <v>5</v>
      </c>
      <c r="G12" s="9">
        <f t="shared" si="0"/>
        <v>1</v>
      </c>
      <c r="H12" s="9">
        <f t="shared" si="1"/>
        <v>33</v>
      </c>
      <c r="I12" s="10">
        <f t="shared" si="2"/>
        <v>6</v>
      </c>
    </row>
    <row r="13" spans="1:9">
      <c r="A13" s="8" t="s">
        <v>20</v>
      </c>
      <c r="B13" s="9">
        <v>29</v>
      </c>
      <c r="C13" s="8"/>
      <c r="D13" s="8"/>
      <c r="E13" s="8">
        <v>6</v>
      </c>
      <c r="F13" s="8">
        <v>2</v>
      </c>
      <c r="G13" s="9">
        <f t="shared" si="0"/>
        <v>4</v>
      </c>
      <c r="H13" s="9">
        <f t="shared" si="1"/>
        <v>25</v>
      </c>
      <c r="I13" s="10">
        <f t="shared" ref="I13:I14" si="3">G14*6</f>
        <v>0</v>
      </c>
    </row>
    <row r="14" spans="1:9">
      <c r="A14" s="8" t="s">
        <v>21</v>
      </c>
      <c r="B14" s="9">
        <v>14</v>
      </c>
      <c r="C14" s="8"/>
      <c r="D14" s="8">
        <v>4</v>
      </c>
      <c r="E14" s="8">
        <v>2</v>
      </c>
      <c r="F14" s="8">
        <v>2</v>
      </c>
      <c r="G14" s="9">
        <f t="shared" si="0"/>
        <v>0</v>
      </c>
      <c r="H14" s="9">
        <f t="shared" si="1"/>
        <v>18</v>
      </c>
      <c r="I14" s="10">
        <f t="shared" si="3"/>
        <v>0</v>
      </c>
    </row>
    <row r="15" spans="1:9">
      <c r="A15" s="8" t="s">
        <v>22</v>
      </c>
      <c r="B15" s="9">
        <v>28</v>
      </c>
      <c r="C15" s="8"/>
      <c r="D15" s="8"/>
      <c r="E15" s="8">
        <v>6</v>
      </c>
      <c r="F15" s="8">
        <v>6</v>
      </c>
      <c r="G15" s="9">
        <f t="shared" si="0"/>
        <v>0</v>
      </c>
      <c r="H15" s="9">
        <f t="shared" si="1"/>
        <v>28</v>
      </c>
      <c r="I15" s="10">
        <f t="shared" ref="I15:I23" si="4">G15*6</f>
        <v>0</v>
      </c>
    </row>
    <row r="16" spans="1:9">
      <c r="A16" s="8" t="s">
        <v>23</v>
      </c>
      <c r="B16" s="9">
        <v>21</v>
      </c>
      <c r="C16" s="8"/>
      <c r="D16" s="8"/>
      <c r="E16" s="8">
        <v>6</v>
      </c>
      <c r="F16" s="8">
        <v>3</v>
      </c>
      <c r="G16" s="9">
        <f t="shared" si="0"/>
        <v>3</v>
      </c>
      <c r="H16" s="9">
        <f t="shared" si="1"/>
        <v>18</v>
      </c>
      <c r="I16" s="10">
        <f t="shared" si="4"/>
        <v>18</v>
      </c>
    </row>
    <row r="17" spans="1:9">
      <c r="A17" s="8" t="s">
        <v>24</v>
      </c>
      <c r="B17" s="9">
        <v>2</v>
      </c>
      <c r="C17" s="8">
        <v>1</v>
      </c>
      <c r="D17" s="8">
        <v>26</v>
      </c>
      <c r="E17" s="8">
        <v>4</v>
      </c>
      <c r="F17" s="8">
        <v>4</v>
      </c>
      <c r="G17" s="9">
        <f t="shared" si="0"/>
        <v>0</v>
      </c>
      <c r="H17" s="9">
        <f t="shared" si="1"/>
        <v>27</v>
      </c>
      <c r="I17" s="10">
        <f t="shared" si="4"/>
        <v>0</v>
      </c>
    </row>
    <row r="18" spans="1:9">
      <c r="A18" s="8" t="s">
        <v>25</v>
      </c>
      <c r="B18" s="9">
        <v>20</v>
      </c>
      <c r="C18" s="8"/>
      <c r="D18" s="8"/>
      <c r="E18" s="8">
        <v>8</v>
      </c>
      <c r="F18" s="8">
        <v>7</v>
      </c>
      <c r="G18" s="9">
        <f t="shared" si="0"/>
        <v>1</v>
      </c>
      <c r="H18" s="9">
        <f t="shared" si="1"/>
        <v>19</v>
      </c>
      <c r="I18" s="10">
        <f t="shared" si="4"/>
        <v>6</v>
      </c>
    </row>
    <row r="19" spans="1:9">
      <c r="A19" s="8" t="s">
        <v>26</v>
      </c>
      <c r="B19" s="9">
        <v>28</v>
      </c>
      <c r="C19" s="8"/>
      <c r="D19" s="8"/>
      <c r="E19" s="8">
        <v>6</v>
      </c>
      <c r="F19" s="8">
        <v>5</v>
      </c>
      <c r="G19" s="9">
        <f t="shared" si="0"/>
        <v>1</v>
      </c>
      <c r="H19" s="9">
        <f t="shared" si="1"/>
        <v>27</v>
      </c>
      <c r="I19" s="10">
        <f t="shared" si="4"/>
        <v>6</v>
      </c>
    </row>
    <row r="20" spans="1:9">
      <c r="A20" s="8" t="s">
        <v>27</v>
      </c>
      <c r="B20" s="9">
        <v>10</v>
      </c>
      <c r="C20" s="8"/>
      <c r="D20" s="8"/>
      <c r="E20" s="8">
        <v>4</v>
      </c>
      <c r="F20" s="8">
        <v>4</v>
      </c>
      <c r="G20" s="9">
        <f t="shared" si="0"/>
        <v>0</v>
      </c>
      <c r="H20" s="9">
        <f t="shared" si="1"/>
        <v>10</v>
      </c>
      <c r="I20" s="10">
        <f t="shared" si="4"/>
        <v>0</v>
      </c>
    </row>
    <row r="21" spans="1:9">
      <c r="A21" s="8" t="s">
        <v>28</v>
      </c>
      <c r="B21" s="9">
        <v>15</v>
      </c>
      <c r="C21" s="8"/>
      <c r="D21" s="8"/>
      <c r="E21" s="8">
        <v>8</v>
      </c>
      <c r="F21" s="8">
        <v>4</v>
      </c>
      <c r="G21" s="9">
        <f t="shared" si="0"/>
        <v>4</v>
      </c>
      <c r="H21" s="9">
        <f t="shared" si="1"/>
        <v>11</v>
      </c>
      <c r="I21" s="10">
        <f t="shared" si="4"/>
        <v>24</v>
      </c>
    </row>
    <row r="22" spans="1:9">
      <c r="A22" s="8" t="s">
        <v>30</v>
      </c>
      <c r="B22" s="9">
        <v>27</v>
      </c>
      <c r="C22" s="8"/>
      <c r="D22" s="8"/>
      <c r="E22" s="8">
        <v>2</v>
      </c>
      <c r="F22" s="8">
        <v>2</v>
      </c>
      <c r="G22" s="9">
        <f t="shared" si="0"/>
        <v>0</v>
      </c>
      <c r="H22" s="9">
        <f t="shared" si="1"/>
        <v>27</v>
      </c>
      <c r="I22" s="10">
        <f t="shared" si="4"/>
        <v>0</v>
      </c>
    </row>
    <row r="23" spans="1:9" ht="12.75">
      <c r="A23" s="13" t="s">
        <v>86</v>
      </c>
      <c r="B23" s="9">
        <v>14</v>
      </c>
      <c r="C23" s="8"/>
      <c r="D23" s="8">
        <v>21</v>
      </c>
      <c r="E23" s="8">
        <v>6</v>
      </c>
      <c r="F23" s="8">
        <v>6</v>
      </c>
      <c r="G23" s="9">
        <f t="shared" si="0"/>
        <v>0</v>
      </c>
      <c r="H23" s="9">
        <f t="shared" si="1"/>
        <v>35</v>
      </c>
      <c r="I23" s="10">
        <f t="shared" si="4"/>
        <v>0</v>
      </c>
    </row>
    <row r="24" spans="1:9" ht="12.75">
      <c r="A24" s="14" t="s">
        <v>33</v>
      </c>
      <c r="B24" s="15">
        <f>SUM(B3:B23)</f>
        <v>419</v>
      </c>
      <c r="C24" s="14"/>
      <c r="D24" s="14"/>
      <c r="E24" s="15">
        <f t="shared" ref="E24:G24" si="5">SUM(E2:E23)</f>
        <v>114</v>
      </c>
      <c r="F24" s="15">
        <f t="shared" si="5"/>
        <v>92</v>
      </c>
      <c r="G24" s="15">
        <f t="shared" si="5"/>
        <v>22</v>
      </c>
      <c r="H24" s="15">
        <f>SUM(H3:H23)</f>
        <v>511</v>
      </c>
      <c r="I24" s="16">
        <f>SUM(I2:I23)</f>
        <v>108</v>
      </c>
    </row>
    <row r="25" spans="1:9" ht="12.75">
      <c r="A25" s="17"/>
      <c r="B25" s="17"/>
      <c r="C25" s="17"/>
      <c r="D25" s="17"/>
      <c r="E25" s="17"/>
      <c r="F25" s="134" t="s">
        <v>34</v>
      </c>
      <c r="G25" s="133"/>
      <c r="H25" s="18"/>
      <c r="I25" s="19"/>
    </row>
    <row r="26" spans="1:9" ht="12.75">
      <c r="A26" s="17"/>
      <c r="B26" s="24"/>
      <c r="C26" s="24"/>
      <c r="D26" s="24"/>
      <c r="E26" s="135" t="s">
        <v>87</v>
      </c>
      <c r="F26" s="132"/>
      <c r="G26" s="133"/>
      <c r="H26" s="25"/>
      <c r="I26" s="26">
        <f>SUM(I3:I23)</f>
        <v>108</v>
      </c>
    </row>
    <row r="28" spans="1:9">
      <c r="A28" s="1"/>
      <c r="B28" s="131" t="s">
        <v>106</v>
      </c>
      <c r="C28" s="132"/>
      <c r="D28" s="132"/>
      <c r="E28" s="132"/>
      <c r="F28" s="132"/>
      <c r="G28" s="132"/>
      <c r="H28" s="132"/>
      <c r="I28" s="133"/>
    </row>
    <row r="29" spans="1:9" ht="45">
      <c r="A29" s="2" t="s">
        <v>1</v>
      </c>
      <c r="B29" s="3" t="s">
        <v>2</v>
      </c>
      <c r="C29" s="4" t="s">
        <v>3</v>
      </c>
      <c r="D29" s="5" t="s">
        <v>4</v>
      </c>
      <c r="E29" s="2" t="s">
        <v>5</v>
      </c>
      <c r="F29" s="2" t="s">
        <v>6</v>
      </c>
      <c r="G29" s="2" t="s">
        <v>7</v>
      </c>
      <c r="H29" s="6" t="s">
        <v>8</v>
      </c>
      <c r="I29" s="7" t="s">
        <v>9</v>
      </c>
    </row>
    <row r="30" spans="1:9" ht="12.75">
      <c r="A30" s="8" t="s">
        <v>10</v>
      </c>
      <c r="B30" s="9">
        <f t="shared" ref="B30:B50" si="6">H3</f>
        <v>36</v>
      </c>
      <c r="C30" s="8"/>
      <c r="D30" s="8"/>
      <c r="E30" s="8">
        <v>6</v>
      </c>
      <c r="F30" s="8">
        <v>5</v>
      </c>
      <c r="G30" s="9">
        <f t="shared" ref="G30:G50" si="7">E30-F30</f>
        <v>1</v>
      </c>
      <c r="H30" s="9">
        <f t="shared" ref="H30:H50" si="8">B30-C30+D30-G30</f>
        <v>35</v>
      </c>
      <c r="I30" s="10">
        <f t="shared" ref="I30:I39" si="9">G30*6</f>
        <v>6</v>
      </c>
    </row>
    <row r="31" spans="1:9" ht="12.75">
      <c r="A31" s="8" t="s">
        <v>11</v>
      </c>
      <c r="B31" s="9">
        <f t="shared" si="6"/>
        <v>21</v>
      </c>
      <c r="C31" s="8"/>
      <c r="D31" s="8"/>
      <c r="E31" s="8">
        <v>5</v>
      </c>
      <c r="F31" s="8">
        <v>3</v>
      </c>
      <c r="G31" s="9">
        <f t="shared" si="7"/>
        <v>2</v>
      </c>
      <c r="H31" s="9">
        <f t="shared" si="8"/>
        <v>19</v>
      </c>
      <c r="I31" s="10">
        <f t="shared" si="9"/>
        <v>12</v>
      </c>
    </row>
    <row r="32" spans="1:9" ht="12.75">
      <c r="A32" s="8" t="s">
        <v>12</v>
      </c>
      <c r="B32" s="9">
        <f t="shared" si="6"/>
        <v>16</v>
      </c>
      <c r="C32" s="8"/>
      <c r="D32" s="8"/>
      <c r="E32" s="8">
        <v>5</v>
      </c>
      <c r="F32" s="8">
        <v>5</v>
      </c>
      <c r="G32" s="9">
        <f t="shared" si="7"/>
        <v>0</v>
      </c>
      <c r="H32" s="9">
        <f t="shared" si="8"/>
        <v>16</v>
      </c>
      <c r="I32" s="10">
        <f t="shared" si="9"/>
        <v>0</v>
      </c>
    </row>
    <row r="33" spans="1:9" ht="12.75">
      <c r="A33" s="8" t="s">
        <v>13</v>
      </c>
      <c r="B33" s="9">
        <f t="shared" si="6"/>
        <v>23</v>
      </c>
      <c r="C33" s="8"/>
      <c r="D33" s="8"/>
      <c r="E33" s="8">
        <v>6</v>
      </c>
      <c r="F33" s="8">
        <v>0</v>
      </c>
      <c r="G33" s="9">
        <f t="shared" si="7"/>
        <v>6</v>
      </c>
      <c r="H33" s="9">
        <f t="shared" si="8"/>
        <v>17</v>
      </c>
      <c r="I33" s="10">
        <f t="shared" si="9"/>
        <v>36</v>
      </c>
    </row>
    <row r="34" spans="1:9" ht="12.75">
      <c r="A34" s="8" t="s">
        <v>14</v>
      </c>
      <c r="B34" s="9">
        <f t="shared" si="6"/>
        <v>24</v>
      </c>
      <c r="C34" s="8"/>
      <c r="D34" s="8"/>
      <c r="E34" s="8">
        <v>4</v>
      </c>
      <c r="F34" s="8">
        <v>4</v>
      </c>
      <c r="G34" s="9">
        <f t="shared" si="7"/>
        <v>0</v>
      </c>
      <c r="H34" s="9">
        <f t="shared" si="8"/>
        <v>24</v>
      </c>
      <c r="I34" s="10">
        <f t="shared" si="9"/>
        <v>0</v>
      </c>
    </row>
    <row r="35" spans="1:9" ht="12.75">
      <c r="A35" s="8" t="s">
        <v>15</v>
      </c>
      <c r="B35" s="9">
        <f t="shared" si="6"/>
        <v>32</v>
      </c>
      <c r="C35" s="8"/>
      <c r="D35" s="8"/>
      <c r="E35" s="8">
        <v>6</v>
      </c>
      <c r="F35" s="8">
        <v>5</v>
      </c>
      <c r="G35" s="9">
        <f t="shared" si="7"/>
        <v>1</v>
      </c>
      <c r="H35" s="9">
        <f t="shared" si="8"/>
        <v>31</v>
      </c>
      <c r="I35" s="10">
        <f t="shared" si="9"/>
        <v>6</v>
      </c>
    </row>
    <row r="36" spans="1:9" ht="12.75">
      <c r="A36" s="8" t="s">
        <v>16</v>
      </c>
      <c r="B36" s="9">
        <f t="shared" si="6"/>
        <v>32</v>
      </c>
      <c r="C36" s="8"/>
      <c r="D36" s="8"/>
      <c r="E36" s="20">
        <v>5</v>
      </c>
      <c r="F36" s="8">
        <v>5</v>
      </c>
      <c r="G36" s="9">
        <f t="shared" si="7"/>
        <v>0</v>
      </c>
      <c r="H36" s="9">
        <f t="shared" si="8"/>
        <v>32</v>
      </c>
      <c r="I36" s="10">
        <f t="shared" si="9"/>
        <v>0</v>
      </c>
    </row>
    <row r="37" spans="1:9" ht="12.75">
      <c r="A37" s="8" t="s">
        <v>17</v>
      </c>
      <c r="B37" s="9">
        <f t="shared" si="6"/>
        <v>14</v>
      </c>
      <c r="C37" s="8"/>
      <c r="D37" s="8"/>
      <c r="E37" s="8">
        <v>4</v>
      </c>
      <c r="F37" s="8">
        <v>3</v>
      </c>
      <c r="G37" s="9">
        <f t="shared" si="7"/>
        <v>1</v>
      </c>
      <c r="H37" s="9">
        <f t="shared" si="8"/>
        <v>13</v>
      </c>
      <c r="I37" s="10">
        <f t="shared" si="9"/>
        <v>6</v>
      </c>
    </row>
    <row r="38" spans="1:9" ht="12.75">
      <c r="A38" s="8" t="s">
        <v>18</v>
      </c>
      <c r="B38" s="9">
        <f t="shared" si="6"/>
        <v>35</v>
      </c>
      <c r="C38" s="8"/>
      <c r="D38" s="8"/>
      <c r="E38" s="8">
        <v>6</v>
      </c>
      <c r="F38" s="8">
        <v>6</v>
      </c>
      <c r="G38" s="9">
        <f t="shared" si="7"/>
        <v>0</v>
      </c>
      <c r="H38" s="9">
        <f t="shared" si="8"/>
        <v>35</v>
      </c>
      <c r="I38" s="10">
        <f t="shared" si="9"/>
        <v>0</v>
      </c>
    </row>
    <row r="39" spans="1:9" ht="12.75">
      <c r="A39" s="8" t="s">
        <v>19</v>
      </c>
      <c r="B39" s="9">
        <f t="shared" si="6"/>
        <v>33</v>
      </c>
      <c r="C39" s="8"/>
      <c r="D39" s="8"/>
      <c r="E39" s="8">
        <v>6</v>
      </c>
      <c r="F39" s="8">
        <v>5</v>
      </c>
      <c r="G39" s="9">
        <f t="shared" si="7"/>
        <v>1</v>
      </c>
      <c r="H39" s="9">
        <f t="shared" si="8"/>
        <v>32</v>
      </c>
      <c r="I39" s="10">
        <f t="shared" si="9"/>
        <v>6</v>
      </c>
    </row>
    <row r="40" spans="1:9" ht="12.75">
      <c r="A40" s="8" t="s">
        <v>20</v>
      </c>
      <c r="B40" s="9">
        <f t="shared" si="6"/>
        <v>25</v>
      </c>
      <c r="C40" s="8"/>
      <c r="D40" s="8"/>
      <c r="E40" s="8">
        <v>6</v>
      </c>
      <c r="F40" s="8">
        <v>3</v>
      </c>
      <c r="G40" s="9">
        <f t="shared" si="7"/>
        <v>3</v>
      </c>
      <c r="H40" s="9">
        <f t="shared" si="8"/>
        <v>22</v>
      </c>
      <c r="I40" s="10">
        <f t="shared" ref="I40:I41" si="10">G41*6</f>
        <v>0</v>
      </c>
    </row>
    <row r="41" spans="1:9" ht="12.75">
      <c r="A41" s="8" t="s">
        <v>21</v>
      </c>
      <c r="B41" s="9">
        <f t="shared" si="6"/>
        <v>18</v>
      </c>
      <c r="C41" s="8"/>
      <c r="D41" s="8"/>
      <c r="E41" s="8">
        <v>2</v>
      </c>
      <c r="F41" s="8">
        <v>2</v>
      </c>
      <c r="G41" s="9">
        <f t="shared" si="7"/>
        <v>0</v>
      </c>
      <c r="H41" s="9">
        <f t="shared" si="8"/>
        <v>18</v>
      </c>
      <c r="I41" s="10">
        <f t="shared" si="10"/>
        <v>6</v>
      </c>
    </row>
    <row r="42" spans="1:9" ht="12.75">
      <c r="A42" s="8" t="s">
        <v>22</v>
      </c>
      <c r="B42" s="9">
        <f t="shared" si="6"/>
        <v>28</v>
      </c>
      <c r="C42" s="8"/>
      <c r="D42" s="8"/>
      <c r="E42" s="8">
        <v>5</v>
      </c>
      <c r="F42" s="8">
        <v>4</v>
      </c>
      <c r="G42" s="9">
        <f t="shared" si="7"/>
        <v>1</v>
      </c>
      <c r="H42" s="9">
        <f t="shared" si="8"/>
        <v>27</v>
      </c>
      <c r="I42" s="10">
        <f t="shared" ref="I42:I50" si="11">G42*6</f>
        <v>6</v>
      </c>
    </row>
    <row r="43" spans="1:9" ht="12.75">
      <c r="A43" s="8" t="s">
        <v>23</v>
      </c>
      <c r="B43" s="9">
        <f t="shared" si="6"/>
        <v>18</v>
      </c>
      <c r="C43" s="8"/>
      <c r="D43" s="8"/>
      <c r="E43" s="8">
        <v>6</v>
      </c>
      <c r="F43" s="8">
        <v>3</v>
      </c>
      <c r="G43" s="9">
        <f t="shared" si="7"/>
        <v>3</v>
      </c>
      <c r="H43" s="9">
        <f t="shared" si="8"/>
        <v>15</v>
      </c>
      <c r="I43" s="10">
        <f t="shared" si="11"/>
        <v>18</v>
      </c>
    </row>
    <row r="44" spans="1:9" ht="12.75">
      <c r="A44" s="8" t="s">
        <v>24</v>
      </c>
      <c r="B44" s="9">
        <f t="shared" si="6"/>
        <v>27</v>
      </c>
      <c r="C44" s="8"/>
      <c r="D44" s="8"/>
      <c r="E44" s="8">
        <v>4</v>
      </c>
      <c r="F44" s="8">
        <v>3</v>
      </c>
      <c r="G44" s="9">
        <f t="shared" si="7"/>
        <v>1</v>
      </c>
      <c r="H44" s="9">
        <f t="shared" si="8"/>
        <v>26</v>
      </c>
      <c r="I44" s="10">
        <f t="shared" si="11"/>
        <v>6</v>
      </c>
    </row>
    <row r="45" spans="1:9" ht="12.75">
      <c r="A45" s="8" t="s">
        <v>25</v>
      </c>
      <c r="B45" s="9">
        <f t="shared" si="6"/>
        <v>19</v>
      </c>
      <c r="C45" s="8"/>
      <c r="D45" s="8"/>
      <c r="E45" s="8">
        <v>6</v>
      </c>
      <c r="F45" s="8">
        <v>1</v>
      </c>
      <c r="G45" s="9">
        <f t="shared" si="7"/>
        <v>5</v>
      </c>
      <c r="H45" s="9">
        <f t="shared" si="8"/>
        <v>14</v>
      </c>
      <c r="I45" s="10">
        <f t="shared" si="11"/>
        <v>30</v>
      </c>
    </row>
    <row r="46" spans="1:9" ht="12.75">
      <c r="A46" s="8" t="s">
        <v>26</v>
      </c>
      <c r="B46" s="9">
        <f t="shared" si="6"/>
        <v>27</v>
      </c>
      <c r="C46" s="8"/>
      <c r="D46" s="8"/>
      <c r="E46" s="8">
        <v>6</v>
      </c>
      <c r="F46" s="8">
        <v>3</v>
      </c>
      <c r="G46" s="9">
        <f t="shared" si="7"/>
        <v>3</v>
      </c>
      <c r="H46" s="9">
        <f t="shared" si="8"/>
        <v>24</v>
      </c>
      <c r="I46" s="10">
        <f t="shared" si="11"/>
        <v>18</v>
      </c>
    </row>
    <row r="47" spans="1:9" ht="12.75">
      <c r="A47" s="8" t="s">
        <v>27</v>
      </c>
      <c r="B47" s="9">
        <f t="shared" si="6"/>
        <v>10</v>
      </c>
      <c r="C47" s="8"/>
      <c r="D47" s="8"/>
      <c r="E47" s="8">
        <v>4</v>
      </c>
      <c r="F47" s="8">
        <v>4</v>
      </c>
      <c r="G47" s="9">
        <f t="shared" si="7"/>
        <v>0</v>
      </c>
      <c r="H47" s="9">
        <f t="shared" si="8"/>
        <v>10</v>
      </c>
      <c r="I47" s="10">
        <f t="shared" si="11"/>
        <v>0</v>
      </c>
    </row>
    <row r="48" spans="1:9" ht="12.75">
      <c r="A48" s="8" t="s">
        <v>28</v>
      </c>
      <c r="B48" s="9">
        <f t="shared" si="6"/>
        <v>11</v>
      </c>
      <c r="C48" s="8"/>
      <c r="D48" s="8">
        <v>32</v>
      </c>
      <c r="E48" s="8">
        <v>8</v>
      </c>
      <c r="F48" s="8">
        <v>4</v>
      </c>
      <c r="G48" s="9">
        <f t="shared" si="7"/>
        <v>4</v>
      </c>
      <c r="H48" s="9">
        <f t="shared" si="8"/>
        <v>39</v>
      </c>
      <c r="I48" s="10">
        <f t="shared" si="11"/>
        <v>24</v>
      </c>
    </row>
    <row r="49" spans="1:9" ht="12.75">
      <c r="A49" s="8" t="s">
        <v>30</v>
      </c>
      <c r="B49" s="9">
        <f t="shared" si="6"/>
        <v>27</v>
      </c>
      <c r="C49" s="8"/>
      <c r="D49" s="8"/>
      <c r="E49" s="8">
        <v>2</v>
      </c>
      <c r="F49" s="8">
        <v>2</v>
      </c>
      <c r="G49" s="9">
        <f t="shared" si="7"/>
        <v>0</v>
      </c>
      <c r="H49" s="9">
        <f t="shared" si="8"/>
        <v>27</v>
      </c>
      <c r="I49" s="10">
        <f t="shared" si="11"/>
        <v>0</v>
      </c>
    </row>
    <row r="50" spans="1:9" ht="12.75">
      <c r="A50" s="13" t="s">
        <v>86</v>
      </c>
      <c r="B50" s="9">
        <f t="shared" si="6"/>
        <v>35</v>
      </c>
      <c r="C50" s="8"/>
      <c r="D50" s="8"/>
      <c r="E50" s="8">
        <v>6</v>
      </c>
      <c r="F50" s="8">
        <v>6</v>
      </c>
      <c r="G50" s="9">
        <f t="shared" si="7"/>
        <v>0</v>
      </c>
      <c r="H50" s="9">
        <f t="shared" si="8"/>
        <v>35</v>
      </c>
      <c r="I50" s="10">
        <f t="shared" si="11"/>
        <v>0</v>
      </c>
    </row>
    <row r="51" spans="1:9" ht="12.75">
      <c r="A51" s="14" t="s">
        <v>33</v>
      </c>
      <c r="B51" s="15">
        <f>SUM(B30:B50)</f>
        <v>511</v>
      </c>
      <c r="C51" s="14"/>
      <c r="D51" s="14"/>
      <c r="E51" s="15">
        <f t="shared" ref="E51:G51" si="12">SUM(E29:E50)</f>
        <v>108</v>
      </c>
      <c r="F51" s="15">
        <f t="shared" si="12"/>
        <v>76</v>
      </c>
      <c r="G51" s="15">
        <f t="shared" si="12"/>
        <v>32</v>
      </c>
      <c r="H51" s="15">
        <f>SUM(H30:H50)</f>
        <v>511</v>
      </c>
      <c r="I51" s="16">
        <f>SUM(I29:I50)</f>
        <v>180</v>
      </c>
    </row>
    <row r="52" spans="1:9" ht="12.75">
      <c r="A52" s="17"/>
      <c r="B52" s="17"/>
      <c r="C52" s="17"/>
      <c r="D52" s="17"/>
      <c r="E52" s="17"/>
      <c r="F52" s="134" t="s">
        <v>34</v>
      </c>
      <c r="G52" s="133"/>
      <c r="H52" s="18"/>
      <c r="I52" s="19"/>
    </row>
    <row r="53" spans="1:9" ht="12.75">
      <c r="A53" s="17"/>
      <c r="B53" s="24"/>
      <c r="C53" s="24"/>
      <c r="D53" s="24"/>
      <c r="E53" s="135" t="s">
        <v>87</v>
      </c>
      <c r="F53" s="132"/>
      <c r="G53" s="133"/>
      <c r="H53" s="25"/>
      <c r="I53" s="26">
        <f>SUM(I30:I50)</f>
        <v>180</v>
      </c>
    </row>
    <row r="55" spans="1:9">
      <c r="A55" s="1"/>
      <c r="B55" s="131" t="s">
        <v>107</v>
      </c>
      <c r="C55" s="132"/>
      <c r="D55" s="132"/>
      <c r="E55" s="132"/>
      <c r="F55" s="132"/>
      <c r="G55" s="132"/>
      <c r="H55" s="132"/>
      <c r="I55" s="133"/>
    </row>
    <row r="56" spans="1:9" ht="45">
      <c r="A56" s="2" t="s">
        <v>1</v>
      </c>
      <c r="B56" s="3" t="s">
        <v>2</v>
      </c>
      <c r="C56" s="4" t="s">
        <v>3</v>
      </c>
      <c r="D56" s="5" t="s">
        <v>4</v>
      </c>
      <c r="E56" s="2" t="s">
        <v>5</v>
      </c>
      <c r="F56" s="2" t="s">
        <v>6</v>
      </c>
      <c r="G56" s="2" t="s">
        <v>7</v>
      </c>
      <c r="H56" s="6" t="s">
        <v>8</v>
      </c>
      <c r="I56" s="7" t="s">
        <v>9</v>
      </c>
    </row>
    <row r="57" spans="1:9" ht="12.75">
      <c r="A57" s="8" t="s">
        <v>10</v>
      </c>
      <c r="B57" s="9">
        <f t="shared" ref="B57:B77" si="13">H30</f>
        <v>35</v>
      </c>
      <c r="C57" s="8"/>
      <c r="D57" s="8"/>
      <c r="E57" s="8">
        <v>6</v>
      </c>
      <c r="F57" s="8">
        <v>6</v>
      </c>
      <c r="G57" s="9">
        <f t="shared" ref="G57:G77" si="14">E57-F57</f>
        <v>0</v>
      </c>
      <c r="H57" s="9">
        <f t="shared" ref="H57:H77" si="15">B57-C57+D57-G57</f>
        <v>35</v>
      </c>
      <c r="I57" s="10">
        <f t="shared" ref="I57:I66" si="16">G57*6</f>
        <v>0</v>
      </c>
    </row>
    <row r="58" spans="1:9" ht="12.75">
      <c r="A58" s="8" t="s">
        <v>11</v>
      </c>
      <c r="B58" s="9">
        <f t="shared" si="13"/>
        <v>19</v>
      </c>
      <c r="C58" s="8"/>
      <c r="D58" s="8"/>
      <c r="E58" s="8">
        <v>5</v>
      </c>
      <c r="F58" s="8">
        <v>4</v>
      </c>
      <c r="G58" s="9">
        <f t="shared" si="14"/>
        <v>1</v>
      </c>
      <c r="H58" s="9">
        <f t="shared" si="15"/>
        <v>18</v>
      </c>
      <c r="I58" s="10">
        <f t="shared" si="16"/>
        <v>6</v>
      </c>
    </row>
    <row r="59" spans="1:9" ht="12.75">
      <c r="A59" s="8" t="s">
        <v>12</v>
      </c>
      <c r="B59" s="9">
        <f t="shared" si="13"/>
        <v>16</v>
      </c>
      <c r="C59" s="8"/>
      <c r="D59" s="8"/>
      <c r="E59" s="8">
        <v>5</v>
      </c>
      <c r="F59" s="8">
        <v>2</v>
      </c>
      <c r="G59" s="9">
        <f t="shared" si="14"/>
        <v>3</v>
      </c>
      <c r="H59" s="9">
        <f t="shared" si="15"/>
        <v>13</v>
      </c>
      <c r="I59" s="10">
        <f t="shared" si="16"/>
        <v>18</v>
      </c>
    </row>
    <row r="60" spans="1:9" ht="12.75">
      <c r="A60" s="8" t="s">
        <v>13</v>
      </c>
      <c r="B60" s="9">
        <f t="shared" si="13"/>
        <v>17</v>
      </c>
      <c r="C60" s="8"/>
      <c r="D60" s="8"/>
      <c r="E60" s="8">
        <v>7</v>
      </c>
      <c r="F60" s="8">
        <v>6</v>
      </c>
      <c r="G60" s="9">
        <f t="shared" si="14"/>
        <v>1</v>
      </c>
      <c r="H60" s="9">
        <f t="shared" si="15"/>
        <v>16</v>
      </c>
      <c r="I60" s="10">
        <f t="shared" si="16"/>
        <v>6</v>
      </c>
    </row>
    <row r="61" spans="1:9" ht="12.75">
      <c r="A61" s="8" t="s">
        <v>14</v>
      </c>
      <c r="B61" s="9">
        <f t="shared" si="13"/>
        <v>24</v>
      </c>
      <c r="C61" s="8"/>
      <c r="D61" s="8"/>
      <c r="E61" s="8">
        <v>4</v>
      </c>
      <c r="F61" s="8">
        <v>3</v>
      </c>
      <c r="G61" s="9">
        <f t="shared" si="14"/>
        <v>1</v>
      </c>
      <c r="H61" s="9">
        <f t="shared" si="15"/>
        <v>23</v>
      </c>
      <c r="I61" s="10">
        <f t="shared" si="16"/>
        <v>6</v>
      </c>
    </row>
    <row r="62" spans="1:9" ht="12.75">
      <c r="A62" s="8" t="s">
        <v>15</v>
      </c>
      <c r="B62" s="9">
        <f t="shared" si="13"/>
        <v>31</v>
      </c>
      <c r="C62" s="8"/>
      <c r="D62" s="8"/>
      <c r="E62" s="8">
        <v>6</v>
      </c>
      <c r="F62" s="8">
        <v>5</v>
      </c>
      <c r="G62" s="9">
        <f t="shared" si="14"/>
        <v>1</v>
      </c>
      <c r="H62" s="9">
        <f t="shared" si="15"/>
        <v>30</v>
      </c>
      <c r="I62" s="10">
        <f t="shared" si="16"/>
        <v>6</v>
      </c>
    </row>
    <row r="63" spans="1:9" ht="12.75">
      <c r="A63" s="8" t="s">
        <v>16</v>
      </c>
      <c r="B63" s="9">
        <f t="shared" si="13"/>
        <v>32</v>
      </c>
      <c r="C63" s="8"/>
      <c r="D63" s="8"/>
      <c r="E63" s="8">
        <v>5</v>
      </c>
      <c r="F63" s="8">
        <v>4</v>
      </c>
      <c r="G63" s="9">
        <f t="shared" si="14"/>
        <v>1</v>
      </c>
      <c r="H63" s="9">
        <f t="shared" si="15"/>
        <v>31</v>
      </c>
      <c r="I63" s="10">
        <f t="shared" si="16"/>
        <v>6</v>
      </c>
    </row>
    <row r="64" spans="1:9" ht="12.75">
      <c r="A64" s="8" t="s">
        <v>17</v>
      </c>
      <c r="B64" s="9">
        <f t="shared" si="13"/>
        <v>13</v>
      </c>
      <c r="C64" s="8"/>
      <c r="D64" s="8"/>
      <c r="E64" s="8">
        <v>4</v>
      </c>
      <c r="F64" s="8">
        <v>3</v>
      </c>
      <c r="G64" s="9">
        <f t="shared" si="14"/>
        <v>1</v>
      </c>
      <c r="H64" s="9">
        <f t="shared" si="15"/>
        <v>12</v>
      </c>
      <c r="I64" s="10">
        <f t="shared" si="16"/>
        <v>6</v>
      </c>
    </row>
    <row r="65" spans="1:9" ht="12.75">
      <c r="A65" s="8" t="s">
        <v>18</v>
      </c>
      <c r="B65" s="9">
        <f t="shared" si="13"/>
        <v>35</v>
      </c>
      <c r="C65" s="8"/>
      <c r="D65" s="8"/>
      <c r="E65" s="8">
        <v>6</v>
      </c>
      <c r="F65" s="8">
        <v>6</v>
      </c>
      <c r="G65" s="9">
        <f t="shared" si="14"/>
        <v>0</v>
      </c>
      <c r="H65" s="9">
        <f t="shared" si="15"/>
        <v>35</v>
      </c>
      <c r="I65" s="10">
        <f t="shared" si="16"/>
        <v>0</v>
      </c>
    </row>
    <row r="66" spans="1:9" ht="12.75">
      <c r="A66" s="8" t="s">
        <v>19</v>
      </c>
      <c r="B66" s="9">
        <f t="shared" si="13"/>
        <v>32</v>
      </c>
      <c r="C66" s="8"/>
      <c r="D66" s="8"/>
      <c r="E66" s="8">
        <v>6</v>
      </c>
      <c r="F66" s="8">
        <v>4</v>
      </c>
      <c r="G66" s="9">
        <f t="shared" si="14"/>
        <v>2</v>
      </c>
      <c r="H66" s="9">
        <f t="shared" si="15"/>
        <v>30</v>
      </c>
      <c r="I66" s="10">
        <f t="shared" si="16"/>
        <v>12</v>
      </c>
    </row>
    <row r="67" spans="1:9" ht="12.75">
      <c r="A67" s="8" t="s">
        <v>20</v>
      </c>
      <c r="B67" s="9">
        <f t="shared" si="13"/>
        <v>22</v>
      </c>
      <c r="C67" s="8"/>
      <c r="D67" s="8"/>
      <c r="E67" s="8">
        <v>6</v>
      </c>
      <c r="F67" s="8">
        <v>5</v>
      </c>
      <c r="G67" s="9">
        <f t="shared" si="14"/>
        <v>1</v>
      </c>
      <c r="H67" s="9">
        <f t="shared" si="15"/>
        <v>21</v>
      </c>
      <c r="I67" s="10">
        <f t="shared" ref="I67:I68" si="17">G68*6</f>
        <v>6</v>
      </c>
    </row>
    <row r="68" spans="1:9" ht="12.75">
      <c r="A68" s="8" t="s">
        <v>21</v>
      </c>
      <c r="B68" s="9">
        <f t="shared" si="13"/>
        <v>18</v>
      </c>
      <c r="C68" s="8"/>
      <c r="D68" s="8"/>
      <c r="E68" s="8">
        <v>2</v>
      </c>
      <c r="F68" s="8">
        <v>1</v>
      </c>
      <c r="G68" s="9">
        <f t="shared" si="14"/>
        <v>1</v>
      </c>
      <c r="H68" s="9">
        <f t="shared" si="15"/>
        <v>17</v>
      </c>
      <c r="I68" s="10">
        <f t="shared" si="17"/>
        <v>0</v>
      </c>
    </row>
    <row r="69" spans="1:9" ht="12.75">
      <c r="A69" s="8" t="s">
        <v>22</v>
      </c>
      <c r="B69" s="9">
        <f t="shared" si="13"/>
        <v>27</v>
      </c>
      <c r="C69" s="8"/>
      <c r="D69" s="8"/>
      <c r="E69" s="8">
        <v>6</v>
      </c>
      <c r="F69" s="8">
        <v>6</v>
      </c>
      <c r="G69" s="9">
        <f t="shared" si="14"/>
        <v>0</v>
      </c>
      <c r="H69" s="9">
        <f t="shared" si="15"/>
        <v>27</v>
      </c>
      <c r="I69" s="10">
        <f t="shared" ref="I69:I77" si="18">G69*6</f>
        <v>0</v>
      </c>
    </row>
    <row r="70" spans="1:9" ht="12.75">
      <c r="A70" s="8" t="s">
        <v>23</v>
      </c>
      <c r="B70" s="9">
        <f t="shared" si="13"/>
        <v>15</v>
      </c>
      <c r="C70" s="8"/>
      <c r="D70" s="8"/>
      <c r="E70" s="8">
        <v>6</v>
      </c>
      <c r="F70" s="8">
        <v>3</v>
      </c>
      <c r="G70" s="9">
        <f t="shared" si="14"/>
        <v>3</v>
      </c>
      <c r="H70" s="9">
        <f t="shared" si="15"/>
        <v>12</v>
      </c>
      <c r="I70" s="10">
        <f t="shared" si="18"/>
        <v>18</v>
      </c>
    </row>
    <row r="71" spans="1:9" ht="12.75">
      <c r="A71" s="8" t="s">
        <v>24</v>
      </c>
      <c r="B71" s="9">
        <f t="shared" si="13"/>
        <v>26</v>
      </c>
      <c r="C71" s="8"/>
      <c r="D71" s="8"/>
      <c r="E71" s="8">
        <v>4</v>
      </c>
      <c r="F71" s="8">
        <v>4</v>
      </c>
      <c r="G71" s="9">
        <f t="shared" si="14"/>
        <v>0</v>
      </c>
      <c r="H71" s="9">
        <f t="shared" si="15"/>
        <v>26</v>
      </c>
      <c r="I71" s="10">
        <f t="shared" si="18"/>
        <v>0</v>
      </c>
    </row>
    <row r="72" spans="1:9" ht="12.75">
      <c r="A72" s="8" t="s">
        <v>25</v>
      </c>
      <c r="B72" s="9">
        <f t="shared" si="13"/>
        <v>14</v>
      </c>
      <c r="C72" s="8"/>
      <c r="D72" s="8">
        <v>27</v>
      </c>
      <c r="E72" s="8">
        <v>7</v>
      </c>
      <c r="F72" s="8">
        <v>0</v>
      </c>
      <c r="G72" s="9">
        <f t="shared" si="14"/>
        <v>7</v>
      </c>
      <c r="H72" s="9">
        <f t="shared" si="15"/>
        <v>34</v>
      </c>
      <c r="I72" s="10">
        <f t="shared" si="18"/>
        <v>42</v>
      </c>
    </row>
    <row r="73" spans="1:9" ht="12.75">
      <c r="A73" s="8" t="s">
        <v>26</v>
      </c>
      <c r="B73" s="9">
        <f t="shared" si="13"/>
        <v>24</v>
      </c>
      <c r="C73" s="8"/>
      <c r="D73" s="8"/>
      <c r="E73" s="8">
        <v>6</v>
      </c>
      <c r="F73" s="8">
        <v>5</v>
      </c>
      <c r="G73" s="9">
        <f t="shared" si="14"/>
        <v>1</v>
      </c>
      <c r="H73" s="9">
        <f t="shared" si="15"/>
        <v>23</v>
      </c>
      <c r="I73" s="10">
        <f t="shared" si="18"/>
        <v>6</v>
      </c>
    </row>
    <row r="74" spans="1:9" ht="12.75">
      <c r="A74" s="8" t="s">
        <v>27</v>
      </c>
      <c r="B74" s="9">
        <f t="shared" si="13"/>
        <v>10</v>
      </c>
      <c r="C74" s="8"/>
      <c r="D74" s="8"/>
      <c r="E74" s="8">
        <v>4</v>
      </c>
      <c r="F74" s="8">
        <v>1</v>
      </c>
      <c r="G74" s="9">
        <f t="shared" si="14"/>
        <v>3</v>
      </c>
      <c r="H74" s="9">
        <f t="shared" si="15"/>
        <v>7</v>
      </c>
      <c r="I74" s="10">
        <f t="shared" si="18"/>
        <v>18</v>
      </c>
    </row>
    <row r="75" spans="1:9" ht="12.75">
      <c r="A75" s="8" t="s">
        <v>28</v>
      </c>
      <c r="B75" s="9">
        <f t="shared" si="13"/>
        <v>39</v>
      </c>
      <c r="C75" s="8"/>
      <c r="D75" s="8"/>
      <c r="E75" s="8">
        <v>8</v>
      </c>
      <c r="F75" s="8">
        <v>7</v>
      </c>
      <c r="G75" s="9">
        <f t="shared" si="14"/>
        <v>1</v>
      </c>
      <c r="H75" s="9">
        <f t="shared" si="15"/>
        <v>38</v>
      </c>
      <c r="I75" s="10">
        <f t="shared" si="18"/>
        <v>6</v>
      </c>
    </row>
    <row r="76" spans="1:9" ht="12.75">
      <c r="A76" s="8" t="s">
        <v>30</v>
      </c>
      <c r="B76" s="9">
        <f t="shared" si="13"/>
        <v>27</v>
      </c>
      <c r="C76" s="8"/>
      <c r="D76" s="8"/>
      <c r="E76" s="8">
        <v>2</v>
      </c>
      <c r="F76" s="8">
        <v>2</v>
      </c>
      <c r="G76" s="9">
        <f t="shared" si="14"/>
        <v>0</v>
      </c>
      <c r="H76" s="9">
        <f t="shared" si="15"/>
        <v>27</v>
      </c>
      <c r="I76" s="10">
        <f t="shared" si="18"/>
        <v>0</v>
      </c>
    </row>
    <row r="77" spans="1:9" ht="12.75">
      <c r="A77" s="13" t="s">
        <v>86</v>
      </c>
      <c r="B77" s="9">
        <f t="shared" si="13"/>
        <v>35</v>
      </c>
      <c r="C77" s="8"/>
      <c r="D77" s="8"/>
      <c r="E77" s="8">
        <v>6</v>
      </c>
      <c r="F77" s="8">
        <v>5</v>
      </c>
      <c r="G77" s="9">
        <f t="shared" si="14"/>
        <v>1</v>
      </c>
      <c r="H77" s="9">
        <f t="shared" si="15"/>
        <v>34</v>
      </c>
      <c r="I77" s="10">
        <f t="shared" si="18"/>
        <v>6</v>
      </c>
    </row>
    <row r="78" spans="1:9" ht="12.75">
      <c r="A78" s="14" t="s">
        <v>33</v>
      </c>
      <c r="B78" s="15">
        <f>SUM(B57:B77)</f>
        <v>511</v>
      </c>
      <c r="C78" s="14"/>
      <c r="D78" s="14"/>
      <c r="E78" s="15">
        <f t="shared" ref="E78:G78" si="19">SUM(E56:E77)</f>
        <v>111</v>
      </c>
      <c r="F78" s="15">
        <f t="shared" si="19"/>
        <v>82</v>
      </c>
      <c r="G78" s="15">
        <f t="shared" si="19"/>
        <v>29</v>
      </c>
      <c r="H78" s="15">
        <f>SUM(H57:H77)</f>
        <v>509</v>
      </c>
      <c r="I78" s="16">
        <f>SUM(I56:I77)</f>
        <v>168</v>
      </c>
    </row>
    <row r="79" spans="1:9" ht="12.75">
      <c r="A79" s="17"/>
      <c r="B79" s="17"/>
      <c r="C79" s="17"/>
      <c r="D79" s="17"/>
      <c r="E79" s="17"/>
      <c r="F79" s="134" t="s">
        <v>34</v>
      </c>
      <c r="G79" s="133"/>
      <c r="H79" s="18"/>
      <c r="I79" s="19"/>
    </row>
    <row r="80" spans="1:9" ht="12.75">
      <c r="A80" s="17"/>
      <c r="B80" s="24"/>
      <c r="C80" s="24"/>
      <c r="D80" s="24"/>
      <c r="E80" s="135" t="s">
        <v>87</v>
      </c>
      <c r="F80" s="132"/>
      <c r="G80" s="133"/>
      <c r="H80" s="25"/>
      <c r="I80" s="26">
        <f>SUM(I57:I77)</f>
        <v>168</v>
      </c>
    </row>
    <row r="82" spans="1:9">
      <c r="A82" s="1"/>
      <c r="B82" s="131" t="s">
        <v>108</v>
      </c>
      <c r="C82" s="132"/>
      <c r="D82" s="132"/>
      <c r="E82" s="132"/>
      <c r="F82" s="132"/>
      <c r="G82" s="132"/>
      <c r="H82" s="132"/>
      <c r="I82" s="133"/>
    </row>
    <row r="83" spans="1:9" ht="45">
      <c r="A83" s="2" t="s">
        <v>1</v>
      </c>
      <c r="B83" s="3" t="s">
        <v>2</v>
      </c>
      <c r="C83" s="4" t="s">
        <v>3</v>
      </c>
      <c r="D83" s="5" t="s">
        <v>4</v>
      </c>
      <c r="E83" s="2" t="s">
        <v>5</v>
      </c>
      <c r="F83" s="2" t="s">
        <v>6</v>
      </c>
      <c r="G83" s="2" t="s">
        <v>7</v>
      </c>
      <c r="H83" s="6" t="s">
        <v>8</v>
      </c>
      <c r="I83" s="7" t="s">
        <v>9</v>
      </c>
    </row>
    <row r="84" spans="1:9" ht="12.75">
      <c r="A84" s="8" t="s">
        <v>10</v>
      </c>
      <c r="B84" s="9">
        <f t="shared" ref="B84:B104" si="20">H57</f>
        <v>35</v>
      </c>
      <c r="C84" s="8"/>
      <c r="D84" s="8"/>
      <c r="E84" s="8">
        <v>6</v>
      </c>
      <c r="F84" s="8">
        <v>3</v>
      </c>
      <c r="G84" s="9">
        <f t="shared" ref="G84:G104" si="21">E84-F84</f>
        <v>3</v>
      </c>
      <c r="H84" s="9">
        <f t="shared" ref="H84:H104" si="22">B84-C84+D84-G84</f>
        <v>32</v>
      </c>
      <c r="I84" s="10">
        <f t="shared" ref="I84:I93" si="23">G84*6</f>
        <v>18</v>
      </c>
    </row>
    <row r="85" spans="1:9" ht="12.75">
      <c r="A85" s="8" t="s">
        <v>11</v>
      </c>
      <c r="B85" s="9">
        <f t="shared" si="20"/>
        <v>18</v>
      </c>
      <c r="C85" s="8"/>
      <c r="D85" s="8"/>
      <c r="E85" s="8">
        <v>5</v>
      </c>
      <c r="F85" s="8">
        <v>0</v>
      </c>
      <c r="G85" s="9">
        <f t="shared" si="21"/>
        <v>5</v>
      </c>
      <c r="H85" s="9">
        <f t="shared" si="22"/>
        <v>13</v>
      </c>
      <c r="I85" s="10">
        <f t="shared" si="23"/>
        <v>30</v>
      </c>
    </row>
    <row r="86" spans="1:9" ht="12.75">
      <c r="A86" s="8" t="s">
        <v>12</v>
      </c>
      <c r="B86" s="9">
        <f t="shared" si="20"/>
        <v>13</v>
      </c>
      <c r="C86" s="8"/>
      <c r="D86" s="8"/>
      <c r="E86" s="8">
        <v>6</v>
      </c>
      <c r="F86" s="8">
        <v>5</v>
      </c>
      <c r="G86" s="9">
        <f t="shared" si="21"/>
        <v>1</v>
      </c>
      <c r="H86" s="9">
        <f t="shared" si="22"/>
        <v>12</v>
      </c>
      <c r="I86" s="10">
        <f t="shared" si="23"/>
        <v>6</v>
      </c>
    </row>
    <row r="87" spans="1:9" ht="12.75">
      <c r="A87" s="8" t="s">
        <v>13</v>
      </c>
      <c r="B87" s="9">
        <f t="shared" si="20"/>
        <v>16</v>
      </c>
      <c r="C87" s="8"/>
      <c r="D87" s="8">
        <v>27</v>
      </c>
      <c r="E87" s="8">
        <v>7</v>
      </c>
      <c r="F87" s="8">
        <v>0</v>
      </c>
      <c r="G87" s="9">
        <f t="shared" si="21"/>
        <v>7</v>
      </c>
      <c r="H87" s="9">
        <f t="shared" si="22"/>
        <v>36</v>
      </c>
      <c r="I87" s="10">
        <f t="shared" si="23"/>
        <v>42</v>
      </c>
    </row>
    <row r="88" spans="1:9" ht="12.75">
      <c r="A88" s="8" t="s">
        <v>14</v>
      </c>
      <c r="B88" s="9">
        <f t="shared" si="20"/>
        <v>23</v>
      </c>
      <c r="C88" s="8"/>
      <c r="D88" s="8"/>
      <c r="E88" s="8">
        <v>4</v>
      </c>
      <c r="F88" s="8">
        <v>3</v>
      </c>
      <c r="G88" s="9">
        <f t="shared" si="21"/>
        <v>1</v>
      </c>
      <c r="H88" s="9">
        <f t="shared" si="22"/>
        <v>22</v>
      </c>
      <c r="I88" s="10">
        <f t="shared" si="23"/>
        <v>6</v>
      </c>
    </row>
    <row r="89" spans="1:9" ht="12.75">
      <c r="A89" s="8" t="s">
        <v>15</v>
      </c>
      <c r="B89" s="9">
        <f t="shared" si="20"/>
        <v>30</v>
      </c>
      <c r="C89" s="8"/>
      <c r="D89" s="8"/>
      <c r="E89" s="8">
        <v>6</v>
      </c>
      <c r="F89" s="8">
        <v>6</v>
      </c>
      <c r="G89" s="9">
        <f t="shared" si="21"/>
        <v>0</v>
      </c>
      <c r="H89" s="9">
        <f t="shared" si="22"/>
        <v>30</v>
      </c>
      <c r="I89" s="10">
        <f t="shared" si="23"/>
        <v>0</v>
      </c>
    </row>
    <row r="90" spans="1:9" ht="12.75">
      <c r="A90" s="8" t="s">
        <v>16</v>
      </c>
      <c r="B90" s="9">
        <f t="shared" si="20"/>
        <v>31</v>
      </c>
      <c r="C90" s="8"/>
      <c r="D90" s="8"/>
      <c r="E90" s="8">
        <v>5</v>
      </c>
      <c r="F90" s="8">
        <v>4</v>
      </c>
      <c r="G90" s="9">
        <f t="shared" si="21"/>
        <v>1</v>
      </c>
      <c r="H90" s="9">
        <f t="shared" si="22"/>
        <v>30</v>
      </c>
      <c r="I90" s="10">
        <f t="shared" si="23"/>
        <v>6</v>
      </c>
    </row>
    <row r="91" spans="1:9" ht="12.75">
      <c r="A91" s="8" t="s">
        <v>17</v>
      </c>
      <c r="B91" s="9">
        <f t="shared" si="20"/>
        <v>12</v>
      </c>
      <c r="C91" s="8"/>
      <c r="D91" s="8"/>
      <c r="E91" s="8">
        <v>3</v>
      </c>
      <c r="F91" s="8">
        <v>0</v>
      </c>
      <c r="G91" s="9">
        <f t="shared" si="21"/>
        <v>3</v>
      </c>
      <c r="H91" s="9">
        <f t="shared" si="22"/>
        <v>9</v>
      </c>
      <c r="I91" s="10">
        <f t="shared" si="23"/>
        <v>18</v>
      </c>
    </row>
    <row r="92" spans="1:9" ht="12.75">
      <c r="A92" s="8" t="s">
        <v>18</v>
      </c>
      <c r="B92" s="9">
        <f t="shared" si="20"/>
        <v>35</v>
      </c>
      <c r="C92" s="8"/>
      <c r="D92" s="8"/>
      <c r="E92" s="8">
        <v>6</v>
      </c>
      <c r="F92" s="8">
        <v>4</v>
      </c>
      <c r="G92" s="9">
        <f t="shared" si="21"/>
        <v>2</v>
      </c>
      <c r="H92" s="9">
        <f t="shared" si="22"/>
        <v>33</v>
      </c>
      <c r="I92" s="10">
        <f t="shared" si="23"/>
        <v>12</v>
      </c>
    </row>
    <row r="93" spans="1:9" ht="12.75">
      <c r="A93" s="8" t="s">
        <v>19</v>
      </c>
      <c r="B93" s="9">
        <f t="shared" si="20"/>
        <v>30</v>
      </c>
      <c r="C93" s="8"/>
      <c r="D93" s="8"/>
      <c r="E93" s="8">
        <v>6</v>
      </c>
      <c r="F93" s="8">
        <v>2</v>
      </c>
      <c r="G93" s="9">
        <f t="shared" si="21"/>
        <v>4</v>
      </c>
      <c r="H93" s="9">
        <f t="shared" si="22"/>
        <v>26</v>
      </c>
      <c r="I93" s="10">
        <f t="shared" si="23"/>
        <v>24</v>
      </c>
    </row>
    <row r="94" spans="1:9" ht="12.75">
      <c r="A94" s="8" t="s">
        <v>20</v>
      </c>
      <c r="B94" s="9">
        <f t="shared" si="20"/>
        <v>21</v>
      </c>
      <c r="C94" s="8"/>
      <c r="D94" s="8"/>
      <c r="E94" s="8">
        <v>6</v>
      </c>
      <c r="F94" s="8">
        <v>5</v>
      </c>
      <c r="G94" s="9">
        <f t="shared" si="21"/>
        <v>1</v>
      </c>
      <c r="H94" s="9">
        <f t="shared" si="22"/>
        <v>20</v>
      </c>
      <c r="I94" s="10">
        <f t="shared" ref="I94:I95" si="24">G95*6</f>
        <v>0</v>
      </c>
    </row>
    <row r="95" spans="1:9" ht="12.75">
      <c r="A95" s="8" t="s">
        <v>21</v>
      </c>
      <c r="B95" s="9">
        <f t="shared" si="20"/>
        <v>17</v>
      </c>
      <c r="C95" s="8"/>
      <c r="D95" s="8"/>
      <c r="E95" s="8">
        <v>2</v>
      </c>
      <c r="F95" s="8">
        <v>2</v>
      </c>
      <c r="G95" s="9">
        <f t="shared" si="21"/>
        <v>0</v>
      </c>
      <c r="H95" s="9">
        <f t="shared" si="22"/>
        <v>17</v>
      </c>
      <c r="I95" s="10">
        <f t="shared" si="24"/>
        <v>6</v>
      </c>
    </row>
    <row r="96" spans="1:9" ht="12.75">
      <c r="A96" s="8" t="s">
        <v>22</v>
      </c>
      <c r="B96" s="9">
        <f t="shared" si="20"/>
        <v>27</v>
      </c>
      <c r="C96" s="8"/>
      <c r="D96" s="8"/>
      <c r="E96" s="8">
        <v>5</v>
      </c>
      <c r="F96" s="8">
        <v>4</v>
      </c>
      <c r="G96" s="9">
        <f t="shared" si="21"/>
        <v>1</v>
      </c>
      <c r="H96" s="9">
        <f t="shared" si="22"/>
        <v>26</v>
      </c>
      <c r="I96" s="10">
        <f t="shared" ref="I96:I104" si="25">G96*6</f>
        <v>6</v>
      </c>
    </row>
    <row r="97" spans="1:9" ht="12.75">
      <c r="A97" s="8" t="s">
        <v>23</v>
      </c>
      <c r="B97" s="9">
        <f t="shared" si="20"/>
        <v>12</v>
      </c>
      <c r="C97" s="8"/>
      <c r="D97" s="8"/>
      <c r="E97" s="8">
        <v>6</v>
      </c>
      <c r="F97" s="8">
        <v>5</v>
      </c>
      <c r="G97" s="9">
        <f t="shared" si="21"/>
        <v>1</v>
      </c>
      <c r="H97" s="9">
        <f t="shared" si="22"/>
        <v>11</v>
      </c>
      <c r="I97" s="10">
        <f t="shared" si="25"/>
        <v>6</v>
      </c>
    </row>
    <row r="98" spans="1:9" ht="12.75">
      <c r="A98" s="8" t="s">
        <v>24</v>
      </c>
      <c r="B98" s="9">
        <f t="shared" si="20"/>
        <v>26</v>
      </c>
      <c r="C98" s="8"/>
      <c r="D98" s="8"/>
      <c r="E98" s="8">
        <v>4</v>
      </c>
      <c r="F98" s="8">
        <v>3</v>
      </c>
      <c r="G98" s="9">
        <f t="shared" si="21"/>
        <v>1</v>
      </c>
      <c r="H98" s="9">
        <f t="shared" si="22"/>
        <v>25</v>
      </c>
      <c r="I98" s="10">
        <f t="shared" si="25"/>
        <v>6</v>
      </c>
    </row>
    <row r="99" spans="1:9" ht="12.75">
      <c r="A99" s="8" t="s">
        <v>25</v>
      </c>
      <c r="B99" s="9">
        <f t="shared" si="20"/>
        <v>34</v>
      </c>
      <c r="C99" s="8"/>
      <c r="D99" s="8"/>
      <c r="E99" s="8">
        <v>8</v>
      </c>
      <c r="F99" s="8">
        <v>7</v>
      </c>
      <c r="G99" s="9">
        <f t="shared" si="21"/>
        <v>1</v>
      </c>
      <c r="H99" s="9">
        <f t="shared" si="22"/>
        <v>33</v>
      </c>
      <c r="I99" s="10">
        <f t="shared" si="25"/>
        <v>6</v>
      </c>
    </row>
    <row r="100" spans="1:9" ht="12.75">
      <c r="A100" s="8" t="s">
        <v>26</v>
      </c>
      <c r="B100" s="9">
        <f t="shared" si="20"/>
        <v>23</v>
      </c>
      <c r="C100" s="8"/>
      <c r="D100" s="8"/>
      <c r="E100" s="8">
        <v>6</v>
      </c>
      <c r="F100" s="8">
        <v>5</v>
      </c>
      <c r="G100" s="9">
        <f t="shared" si="21"/>
        <v>1</v>
      </c>
      <c r="H100" s="9">
        <f t="shared" si="22"/>
        <v>22</v>
      </c>
      <c r="I100" s="10">
        <f t="shared" si="25"/>
        <v>6</v>
      </c>
    </row>
    <row r="101" spans="1:9" ht="12.75">
      <c r="A101" s="8" t="s">
        <v>27</v>
      </c>
      <c r="B101" s="9">
        <f t="shared" si="20"/>
        <v>7</v>
      </c>
      <c r="C101" s="8"/>
      <c r="D101" s="8"/>
      <c r="E101" s="8">
        <v>4</v>
      </c>
      <c r="F101" s="8">
        <v>3</v>
      </c>
      <c r="G101" s="9">
        <f t="shared" si="21"/>
        <v>1</v>
      </c>
      <c r="H101" s="9">
        <f t="shared" si="22"/>
        <v>6</v>
      </c>
      <c r="I101" s="10">
        <f t="shared" si="25"/>
        <v>6</v>
      </c>
    </row>
    <row r="102" spans="1:9" ht="12.75">
      <c r="A102" s="8" t="s">
        <v>28</v>
      </c>
      <c r="B102" s="9">
        <f t="shared" si="20"/>
        <v>38</v>
      </c>
      <c r="C102" s="8"/>
      <c r="D102" s="8"/>
      <c r="E102" s="8">
        <v>8</v>
      </c>
      <c r="F102" s="8">
        <v>6</v>
      </c>
      <c r="G102" s="9">
        <f t="shared" si="21"/>
        <v>2</v>
      </c>
      <c r="H102" s="9">
        <f t="shared" si="22"/>
        <v>36</v>
      </c>
      <c r="I102" s="10">
        <f t="shared" si="25"/>
        <v>12</v>
      </c>
    </row>
    <row r="103" spans="1:9" ht="12.75">
      <c r="A103" s="8" t="s">
        <v>30</v>
      </c>
      <c r="B103" s="9">
        <f t="shared" si="20"/>
        <v>27</v>
      </c>
      <c r="C103" s="8"/>
      <c r="D103" s="8"/>
      <c r="E103" s="8">
        <v>2</v>
      </c>
      <c r="F103" s="8">
        <v>2</v>
      </c>
      <c r="G103" s="9">
        <f t="shared" si="21"/>
        <v>0</v>
      </c>
      <c r="H103" s="9">
        <f t="shared" si="22"/>
        <v>27</v>
      </c>
      <c r="I103" s="10">
        <f t="shared" si="25"/>
        <v>0</v>
      </c>
    </row>
    <row r="104" spans="1:9" ht="12.75">
      <c r="A104" s="13" t="s">
        <v>86</v>
      </c>
      <c r="B104" s="9">
        <f t="shared" si="20"/>
        <v>34</v>
      </c>
      <c r="C104" s="8"/>
      <c r="D104" s="8"/>
      <c r="E104" s="8">
        <v>6</v>
      </c>
      <c r="F104" s="8">
        <v>6</v>
      </c>
      <c r="G104" s="9">
        <f t="shared" si="21"/>
        <v>0</v>
      </c>
      <c r="H104" s="9">
        <f t="shared" si="22"/>
        <v>34</v>
      </c>
      <c r="I104" s="10">
        <f t="shared" si="25"/>
        <v>0</v>
      </c>
    </row>
    <row r="105" spans="1:9" ht="12.75">
      <c r="A105" s="14" t="s">
        <v>33</v>
      </c>
      <c r="B105" s="15">
        <f>SUM(B84:B104)</f>
        <v>509</v>
      </c>
      <c r="C105" s="14"/>
      <c r="D105" s="14"/>
      <c r="E105" s="15">
        <f t="shared" ref="E105:G105" si="26">SUM(E83:E104)</f>
        <v>111</v>
      </c>
      <c r="F105" s="15">
        <f t="shared" si="26"/>
        <v>75</v>
      </c>
      <c r="G105" s="15">
        <f t="shared" si="26"/>
        <v>36</v>
      </c>
      <c r="H105" s="15">
        <f>SUM(H84:H104)</f>
        <v>500</v>
      </c>
      <c r="I105" s="16">
        <f>SUM(I83:I104)</f>
        <v>216</v>
      </c>
    </row>
    <row r="106" spans="1:9" ht="12.75">
      <c r="A106" s="17"/>
      <c r="B106" s="17"/>
      <c r="C106" s="17"/>
      <c r="D106" s="17"/>
      <c r="E106" s="17"/>
      <c r="F106" s="134" t="s">
        <v>34</v>
      </c>
      <c r="G106" s="133"/>
      <c r="H106" s="18"/>
      <c r="I106" s="19"/>
    </row>
    <row r="107" spans="1:9" ht="12.75">
      <c r="A107" s="17"/>
      <c r="B107" s="24"/>
      <c r="C107" s="24"/>
      <c r="D107" s="24"/>
      <c r="E107" s="135" t="s">
        <v>87</v>
      </c>
      <c r="F107" s="132"/>
      <c r="G107" s="133"/>
      <c r="H107" s="25"/>
      <c r="I107" s="26">
        <f>SUM(I84:I104)</f>
        <v>216</v>
      </c>
    </row>
    <row r="109" spans="1:9">
      <c r="A109" s="1"/>
      <c r="B109" s="131" t="s">
        <v>109</v>
      </c>
      <c r="C109" s="132"/>
      <c r="D109" s="132"/>
      <c r="E109" s="132"/>
      <c r="F109" s="132"/>
      <c r="G109" s="132"/>
      <c r="H109" s="132"/>
      <c r="I109" s="133"/>
    </row>
    <row r="110" spans="1:9" ht="45">
      <c r="A110" s="2" t="s">
        <v>1</v>
      </c>
      <c r="B110" s="3" t="s">
        <v>2</v>
      </c>
      <c r="C110" s="4" t="s">
        <v>3</v>
      </c>
      <c r="D110" s="5" t="s">
        <v>4</v>
      </c>
      <c r="E110" s="2" t="s">
        <v>5</v>
      </c>
      <c r="F110" s="2" t="s">
        <v>6</v>
      </c>
      <c r="G110" s="2" t="s">
        <v>7</v>
      </c>
      <c r="H110" s="6" t="s">
        <v>8</v>
      </c>
      <c r="I110" s="7" t="s">
        <v>9</v>
      </c>
    </row>
    <row r="111" spans="1:9" ht="12.75">
      <c r="A111" s="8" t="s">
        <v>10</v>
      </c>
      <c r="B111" s="9">
        <f t="shared" ref="B111:B131" si="27">H84</f>
        <v>32</v>
      </c>
      <c r="C111" s="8"/>
      <c r="D111" s="8"/>
      <c r="E111" s="8">
        <v>6</v>
      </c>
      <c r="F111" s="8">
        <v>5</v>
      </c>
      <c r="G111" s="9">
        <f t="shared" ref="G111:G131" si="28">E111-F111</f>
        <v>1</v>
      </c>
      <c r="H111" s="9">
        <f t="shared" ref="H111:H131" si="29">B111-C111+D111-G111</f>
        <v>31</v>
      </c>
      <c r="I111" s="10">
        <f t="shared" ref="I111:I120" si="30">G111*6</f>
        <v>6</v>
      </c>
    </row>
    <row r="112" spans="1:9" ht="12.75">
      <c r="A112" s="8" t="s">
        <v>11</v>
      </c>
      <c r="B112" s="9">
        <f t="shared" si="27"/>
        <v>13</v>
      </c>
      <c r="C112" s="8"/>
      <c r="D112" s="8"/>
      <c r="E112" s="8">
        <v>6</v>
      </c>
      <c r="F112" s="8">
        <v>3</v>
      </c>
      <c r="G112" s="9">
        <f t="shared" si="28"/>
        <v>3</v>
      </c>
      <c r="H112" s="9">
        <f t="shared" si="29"/>
        <v>10</v>
      </c>
      <c r="I112" s="10">
        <f t="shared" si="30"/>
        <v>18</v>
      </c>
    </row>
    <row r="113" spans="1:9" ht="12.75">
      <c r="A113" s="8" t="s">
        <v>12</v>
      </c>
      <c r="B113" s="9">
        <f t="shared" si="27"/>
        <v>12</v>
      </c>
      <c r="C113" s="8"/>
      <c r="D113" s="8"/>
      <c r="E113" s="8">
        <v>6</v>
      </c>
      <c r="F113" s="8">
        <v>3</v>
      </c>
      <c r="G113" s="9">
        <f t="shared" si="28"/>
        <v>3</v>
      </c>
      <c r="H113" s="9">
        <f t="shared" si="29"/>
        <v>9</v>
      </c>
      <c r="I113" s="10">
        <f t="shared" si="30"/>
        <v>18</v>
      </c>
    </row>
    <row r="114" spans="1:9" ht="12.75">
      <c r="A114" s="8" t="s">
        <v>13</v>
      </c>
      <c r="B114" s="9">
        <f t="shared" si="27"/>
        <v>36</v>
      </c>
      <c r="C114" s="8"/>
      <c r="D114" s="8"/>
      <c r="E114" s="8">
        <v>8</v>
      </c>
      <c r="F114" s="8">
        <v>6</v>
      </c>
      <c r="G114" s="9">
        <f t="shared" si="28"/>
        <v>2</v>
      </c>
      <c r="H114" s="9">
        <f t="shared" si="29"/>
        <v>34</v>
      </c>
      <c r="I114" s="10">
        <f t="shared" si="30"/>
        <v>12</v>
      </c>
    </row>
    <row r="115" spans="1:9" ht="12.75">
      <c r="A115" s="8" t="s">
        <v>14</v>
      </c>
      <c r="B115" s="9">
        <f t="shared" si="27"/>
        <v>22</v>
      </c>
      <c r="C115" s="8"/>
      <c r="D115" s="8"/>
      <c r="E115" s="8">
        <v>4</v>
      </c>
      <c r="F115" s="8">
        <v>2</v>
      </c>
      <c r="G115" s="9">
        <f t="shared" si="28"/>
        <v>2</v>
      </c>
      <c r="H115" s="9">
        <f t="shared" si="29"/>
        <v>20</v>
      </c>
      <c r="I115" s="10">
        <f t="shared" si="30"/>
        <v>12</v>
      </c>
    </row>
    <row r="116" spans="1:9" ht="12.75">
      <c r="A116" s="8" t="s">
        <v>15</v>
      </c>
      <c r="B116" s="9">
        <f t="shared" si="27"/>
        <v>30</v>
      </c>
      <c r="C116" s="8"/>
      <c r="D116" s="8"/>
      <c r="E116" s="8">
        <v>6</v>
      </c>
      <c r="F116" s="8">
        <v>4</v>
      </c>
      <c r="G116" s="9">
        <f t="shared" si="28"/>
        <v>2</v>
      </c>
      <c r="H116" s="9">
        <f t="shared" si="29"/>
        <v>28</v>
      </c>
      <c r="I116" s="10">
        <f t="shared" si="30"/>
        <v>12</v>
      </c>
    </row>
    <row r="117" spans="1:9" ht="12.75">
      <c r="A117" s="8" t="s">
        <v>16</v>
      </c>
      <c r="B117" s="9">
        <f t="shared" si="27"/>
        <v>30</v>
      </c>
      <c r="C117" s="8"/>
      <c r="D117" s="8"/>
      <c r="E117" s="8">
        <v>5</v>
      </c>
      <c r="F117" s="8">
        <v>4</v>
      </c>
      <c r="G117" s="9">
        <f t="shared" si="28"/>
        <v>1</v>
      </c>
      <c r="H117" s="9">
        <f t="shared" si="29"/>
        <v>29</v>
      </c>
      <c r="I117" s="10">
        <f t="shared" si="30"/>
        <v>6</v>
      </c>
    </row>
    <row r="118" spans="1:9" ht="12.75">
      <c r="A118" s="8" t="s">
        <v>17</v>
      </c>
      <c r="B118" s="9">
        <f t="shared" si="27"/>
        <v>9</v>
      </c>
      <c r="C118" s="8"/>
      <c r="D118" s="8">
        <v>29</v>
      </c>
      <c r="E118" s="8">
        <v>4</v>
      </c>
      <c r="F118" s="8">
        <v>3</v>
      </c>
      <c r="G118" s="9">
        <f t="shared" si="28"/>
        <v>1</v>
      </c>
      <c r="H118" s="9">
        <f t="shared" si="29"/>
        <v>37</v>
      </c>
      <c r="I118" s="10">
        <f t="shared" si="30"/>
        <v>6</v>
      </c>
    </row>
    <row r="119" spans="1:9" ht="12.75">
      <c r="A119" s="8" t="s">
        <v>18</v>
      </c>
      <c r="B119" s="9">
        <f t="shared" si="27"/>
        <v>33</v>
      </c>
      <c r="C119" s="8"/>
      <c r="D119" s="8"/>
      <c r="E119" s="8">
        <v>6</v>
      </c>
      <c r="F119" s="8">
        <v>5</v>
      </c>
      <c r="G119" s="9">
        <f t="shared" si="28"/>
        <v>1</v>
      </c>
      <c r="H119" s="9">
        <f t="shared" si="29"/>
        <v>32</v>
      </c>
      <c r="I119" s="10">
        <f t="shared" si="30"/>
        <v>6</v>
      </c>
    </row>
    <row r="120" spans="1:9" ht="12.75">
      <c r="A120" s="8" t="s">
        <v>19</v>
      </c>
      <c r="B120" s="9">
        <f t="shared" si="27"/>
        <v>26</v>
      </c>
      <c r="C120" s="8"/>
      <c r="D120" s="8"/>
      <c r="E120" s="8">
        <v>6</v>
      </c>
      <c r="F120" s="8">
        <v>4</v>
      </c>
      <c r="G120" s="9">
        <f t="shared" si="28"/>
        <v>2</v>
      </c>
      <c r="H120" s="9">
        <f t="shared" si="29"/>
        <v>24</v>
      </c>
      <c r="I120" s="10">
        <f t="shared" si="30"/>
        <v>12</v>
      </c>
    </row>
    <row r="121" spans="1:9" ht="12.75">
      <c r="A121" s="8" t="s">
        <v>20</v>
      </c>
      <c r="B121" s="9">
        <f t="shared" si="27"/>
        <v>20</v>
      </c>
      <c r="C121" s="8"/>
      <c r="D121" s="8"/>
      <c r="E121" s="8">
        <v>6</v>
      </c>
      <c r="F121" s="8">
        <v>0</v>
      </c>
      <c r="G121" s="9">
        <f t="shared" si="28"/>
        <v>6</v>
      </c>
      <c r="H121" s="9">
        <f t="shared" si="29"/>
        <v>14</v>
      </c>
      <c r="I121" s="10">
        <f t="shared" ref="I121:I122" si="31">G122*6</f>
        <v>0</v>
      </c>
    </row>
    <row r="122" spans="1:9" ht="12.75">
      <c r="A122" s="8" t="s">
        <v>21</v>
      </c>
      <c r="B122" s="9">
        <f t="shared" si="27"/>
        <v>17</v>
      </c>
      <c r="C122" s="8"/>
      <c r="D122" s="8"/>
      <c r="E122" s="8">
        <v>2</v>
      </c>
      <c r="F122" s="8">
        <v>2</v>
      </c>
      <c r="G122" s="9">
        <f t="shared" si="28"/>
        <v>0</v>
      </c>
      <c r="H122" s="9">
        <f t="shared" si="29"/>
        <v>17</v>
      </c>
      <c r="I122" s="10">
        <f t="shared" si="31"/>
        <v>24</v>
      </c>
    </row>
    <row r="123" spans="1:9" ht="12.75">
      <c r="A123" s="8" t="s">
        <v>22</v>
      </c>
      <c r="B123" s="9">
        <f t="shared" si="27"/>
        <v>26</v>
      </c>
      <c r="C123" s="8"/>
      <c r="D123" s="8"/>
      <c r="E123" s="8">
        <v>5</v>
      </c>
      <c r="F123" s="8">
        <v>1</v>
      </c>
      <c r="G123" s="9">
        <f t="shared" si="28"/>
        <v>4</v>
      </c>
      <c r="H123" s="9">
        <f t="shared" si="29"/>
        <v>22</v>
      </c>
      <c r="I123" s="10">
        <f t="shared" ref="I123:I131" si="32">G123*6</f>
        <v>24</v>
      </c>
    </row>
    <row r="124" spans="1:9" ht="12.75">
      <c r="A124" s="8" t="s">
        <v>23</v>
      </c>
      <c r="B124" s="9">
        <f t="shared" si="27"/>
        <v>11</v>
      </c>
      <c r="C124" s="8"/>
      <c r="D124" s="8"/>
      <c r="E124" s="8">
        <v>6</v>
      </c>
      <c r="F124" s="8">
        <v>5</v>
      </c>
      <c r="G124" s="9">
        <f t="shared" si="28"/>
        <v>1</v>
      </c>
      <c r="H124" s="9">
        <f t="shared" si="29"/>
        <v>10</v>
      </c>
      <c r="I124" s="10">
        <f t="shared" si="32"/>
        <v>6</v>
      </c>
    </row>
    <row r="125" spans="1:9" ht="12.75">
      <c r="A125" s="8" t="s">
        <v>24</v>
      </c>
      <c r="B125" s="9">
        <f t="shared" si="27"/>
        <v>25</v>
      </c>
      <c r="C125" s="8"/>
      <c r="D125" s="8"/>
      <c r="E125" s="8">
        <v>4</v>
      </c>
      <c r="F125" s="8">
        <v>4</v>
      </c>
      <c r="G125" s="9">
        <f t="shared" si="28"/>
        <v>0</v>
      </c>
      <c r="H125" s="9">
        <f t="shared" si="29"/>
        <v>25</v>
      </c>
      <c r="I125" s="10">
        <f t="shared" si="32"/>
        <v>0</v>
      </c>
    </row>
    <row r="126" spans="1:9" ht="12.75">
      <c r="A126" s="8" t="s">
        <v>25</v>
      </c>
      <c r="B126" s="9">
        <f t="shared" si="27"/>
        <v>33</v>
      </c>
      <c r="C126" s="8"/>
      <c r="D126" s="8"/>
      <c r="E126" s="8">
        <v>8</v>
      </c>
      <c r="F126" s="8">
        <v>5</v>
      </c>
      <c r="G126" s="9">
        <f t="shared" si="28"/>
        <v>3</v>
      </c>
      <c r="H126" s="9">
        <f t="shared" si="29"/>
        <v>30</v>
      </c>
      <c r="I126" s="10">
        <f t="shared" si="32"/>
        <v>18</v>
      </c>
    </row>
    <row r="127" spans="1:9" ht="12.75">
      <c r="A127" s="8" t="s">
        <v>26</v>
      </c>
      <c r="B127" s="9">
        <f t="shared" si="27"/>
        <v>22</v>
      </c>
      <c r="C127" s="8"/>
      <c r="D127" s="8"/>
      <c r="E127" s="8">
        <v>6</v>
      </c>
      <c r="F127" s="8">
        <v>4</v>
      </c>
      <c r="G127" s="9">
        <f t="shared" si="28"/>
        <v>2</v>
      </c>
      <c r="H127" s="9">
        <f t="shared" si="29"/>
        <v>20</v>
      </c>
      <c r="I127" s="10">
        <f t="shared" si="32"/>
        <v>12</v>
      </c>
    </row>
    <row r="128" spans="1:9" ht="12.75">
      <c r="A128" s="8" t="s">
        <v>27</v>
      </c>
      <c r="B128" s="9">
        <f t="shared" si="27"/>
        <v>6</v>
      </c>
      <c r="C128" s="8"/>
      <c r="D128" s="8">
        <v>27</v>
      </c>
      <c r="E128" s="8">
        <v>4</v>
      </c>
      <c r="F128" s="8">
        <v>3</v>
      </c>
      <c r="G128" s="9">
        <f t="shared" si="28"/>
        <v>1</v>
      </c>
      <c r="H128" s="9">
        <f t="shared" si="29"/>
        <v>32</v>
      </c>
      <c r="I128" s="10">
        <f t="shared" si="32"/>
        <v>6</v>
      </c>
    </row>
    <row r="129" spans="1:9" ht="12.75">
      <c r="A129" s="8" t="s">
        <v>28</v>
      </c>
      <c r="B129" s="9">
        <f t="shared" si="27"/>
        <v>36</v>
      </c>
      <c r="C129" s="8">
        <v>1</v>
      </c>
      <c r="D129" s="8"/>
      <c r="E129" s="8">
        <v>8</v>
      </c>
      <c r="F129" s="8">
        <v>3</v>
      </c>
      <c r="G129" s="9">
        <f t="shared" si="28"/>
        <v>5</v>
      </c>
      <c r="H129" s="9">
        <f t="shared" si="29"/>
        <v>30</v>
      </c>
      <c r="I129" s="10">
        <f t="shared" si="32"/>
        <v>30</v>
      </c>
    </row>
    <row r="130" spans="1:9" ht="12.75">
      <c r="A130" s="8" t="s">
        <v>30</v>
      </c>
      <c r="B130" s="9">
        <f t="shared" si="27"/>
        <v>27</v>
      </c>
      <c r="C130" s="8"/>
      <c r="D130" s="8"/>
      <c r="E130" s="8">
        <v>2</v>
      </c>
      <c r="F130" s="8">
        <v>1</v>
      </c>
      <c r="G130" s="9">
        <f t="shared" si="28"/>
        <v>1</v>
      </c>
      <c r="H130" s="9">
        <f t="shared" si="29"/>
        <v>26</v>
      </c>
      <c r="I130" s="10">
        <f t="shared" si="32"/>
        <v>6</v>
      </c>
    </row>
    <row r="131" spans="1:9" ht="12.75">
      <c r="A131" s="13" t="s">
        <v>86</v>
      </c>
      <c r="B131" s="9">
        <f t="shared" si="27"/>
        <v>34</v>
      </c>
      <c r="C131" s="8"/>
      <c r="D131" s="8"/>
      <c r="E131" s="8">
        <v>6</v>
      </c>
      <c r="F131" s="8">
        <v>4</v>
      </c>
      <c r="G131" s="9">
        <f t="shared" si="28"/>
        <v>2</v>
      </c>
      <c r="H131" s="9">
        <f t="shared" si="29"/>
        <v>32</v>
      </c>
      <c r="I131" s="10">
        <f t="shared" si="32"/>
        <v>12</v>
      </c>
    </row>
    <row r="132" spans="1:9" ht="12.75">
      <c r="A132" s="14" t="s">
        <v>33</v>
      </c>
      <c r="B132" s="15">
        <f>SUM(B111:B131)</f>
        <v>500</v>
      </c>
      <c r="C132" s="14"/>
      <c r="D132" s="14"/>
      <c r="E132" s="15">
        <f t="shared" ref="E132:G132" si="33">SUM(E110:E131)</f>
        <v>114</v>
      </c>
      <c r="F132" s="15">
        <f t="shared" si="33"/>
        <v>71</v>
      </c>
      <c r="G132" s="15">
        <f t="shared" si="33"/>
        <v>43</v>
      </c>
      <c r="H132" s="15">
        <f>SUM(H111:H131)</f>
        <v>512</v>
      </c>
      <c r="I132" s="16">
        <f>SUM(I110:I131)</f>
        <v>246</v>
      </c>
    </row>
    <row r="133" spans="1:9" ht="12.75">
      <c r="A133" s="17"/>
      <c r="B133" s="17"/>
      <c r="C133" s="17"/>
      <c r="D133" s="17"/>
      <c r="E133" s="17"/>
      <c r="F133" s="134" t="s">
        <v>34</v>
      </c>
      <c r="G133" s="133"/>
      <c r="H133" s="18"/>
      <c r="I133" s="19"/>
    </row>
    <row r="134" spans="1:9" ht="12.75">
      <c r="A134" s="17"/>
      <c r="B134" s="24"/>
      <c r="C134" s="24"/>
      <c r="D134" s="24"/>
      <c r="E134" s="135" t="s">
        <v>87</v>
      </c>
      <c r="F134" s="132"/>
      <c r="G134" s="133"/>
      <c r="H134" s="25"/>
      <c r="I134" s="26">
        <f>SUM(I111:I131)</f>
        <v>246</v>
      </c>
    </row>
    <row r="136" spans="1:9">
      <c r="A136" s="1"/>
      <c r="B136" s="131" t="s">
        <v>110</v>
      </c>
      <c r="C136" s="132"/>
      <c r="D136" s="132"/>
      <c r="E136" s="132"/>
      <c r="F136" s="132"/>
      <c r="G136" s="132"/>
      <c r="H136" s="132"/>
      <c r="I136" s="133"/>
    </row>
    <row r="137" spans="1:9" ht="45">
      <c r="A137" s="2" t="s">
        <v>1</v>
      </c>
      <c r="B137" s="3" t="s">
        <v>2</v>
      </c>
      <c r="C137" s="4" t="s">
        <v>3</v>
      </c>
      <c r="D137" s="5" t="s">
        <v>4</v>
      </c>
      <c r="E137" s="2" t="s">
        <v>5</v>
      </c>
      <c r="F137" s="2" t="s">
        <v>6</v>
      </c>
      <c r="G137" s="2" t="s">
        <v>7</v>
      </c>
      <c r="H137" s="6" t="s">
        <v>8</v>
      </c>
      <c r="I137" s="7" t="s">
        <v>9</v>
      </c>
    </row>
    <row r="138" spans="1:9" ht="12.75">
      <c r="A138" s="8" t="s">
        <v>10</v>
      </c>
      <c r="B138" s="9">
        <f t="shared" ref="B138:B158" si="34">H111</f>
        <v>31</v>
      </c>
      <c r="C138" s="8"/>
      <c r="D138" s="8"/>
      <c r="E138" s="8">
        <v>6</v>
      </c>
      <c r="F138" s="8">
        <v>0</v>
      </c>
      <c r="G138" s="9">
        <f t="shared" ref="G138:G158" si="35">E138-F138</f>
        <v>6</v>
      </c>
      <c r="H138" s="9">
        <f>B138-C138+D138-G138</f>
        <v>25</v>
      </c>
      <c r="I138" s="10">
        <f t="shared" ref="I138:I147" si="36">G138*6</f>
        <v>36</v>
      </c>
    </row>
    <row r="139" spans="1:9" ht="12.75">
      <c r="A139" s="8" t="s">
        <v>11</v>
      </c>
      <c r="B139" s="9">
        <f t="shared" si="34"/>
        <v>10</v>
      </c>
      <c r="C139" s="8"/>
      <c r="E139" s="8">
        <v>6</v>
      </c>
      <c r="F139" s="8">
        <v>6</v>
      </c>
      <c r="G139" s="9">
        <f t="shared" si="35"/>
        <v>0</v>
      </c>
      <c r="H139" s="9">
        <f t="shared" ref="H139:H140" si="37">B139-C139+D140-G139</f>
        <v>10</v>
      </c>
      <c r="I139" s="10">
        <f t="shared" si="36"/>
        <v>0</v>
      </c>
    </row>
    <row r="140" spans="1:9" ht="12.75">
      <c r="A140" s="8" t="s">
        <v>12</v>
      </c>
      <c r="B140" s="9">
        <f t="shared" si="34"/>
        <v>9</v>
      </c>
      <c r="C140" s="8"/>
      <c r="D140" s="8"/>
      <c r="E140" s="8">
        <v>6</v>
      </c>
      <c r="F140" s="8">
        <v>6</v>
      </c>
      <c r="G140" s="9">
        <f t="shared" si="35"/>
        <v>0</v>
      </c>
      <c r="H140" s="9">
        <f t="shared" si="37"/>
        <v>9</v>
      </c>
      <c r="I140" s="10">
        <f t="shared" si="36"/>
        <v>0</v>
      </c>
    </row>
    <row r="141" spans="1:9" ht="12.75">
      <c r="A141" s="8" t="s">
        <v>13</v>
      </c>
      <c r="B141" s="9">
        <f t="shared" si="34"/>
        <v>34</v>
      </c>
      <c r="C141" s="8">
        <v>1</v>
      </c>
      <c r="D141" s="8"/>
      <c r="E141" s="8">
        <v>6</v>
      </c>
      <c r="F141" s="8">
        <v>2</v>
      </c>
      <c r="G141" s="9">
        <f t="shared" si="35"/>
        <v>4</v>
      </c>
      <c r="H141" s="9">
        <f t="shared" ref="H141:H143" si="38">B141-C141+D141-G141</f>
        <v>29</v>
      </c>
      <c r="I141" s="10">
        <f t="shared" si="36"/>
        <v>24</v>
      </c>
    </row>
    <row r="142" spans="1:9" ht="12.75">
      <c r="A142" s="8" t="s">
        <v>14</v>
      </c>
      <c r="B142" s="9">
        <f t="shared" si="34"/>
        <v>20</v>
      </c>
      <c r="C142" s="8"/>
      <c r="D142" s="8"/>
      <c r="E142" s="8">
        <v>4</v>
      </c>
      <c r="F142" s="8">
        <v>3</v>
      </c>
      <c r="G142" s="9">
        <f t="shared" si="35"/>
        <v>1</v>
      </c>
      <c r="H142" s="9">
        <f t="shared" si="38"/>
        <v>19</v>
      </c>
      <c r="I142" s="10">
        <f t="shared" si="36"/>
        <v>6</v>
      </c>
    </row>
    <row r="143" spans="1:9" ht="12.75">
      <c r="A143" s="8" t="s">
        <v>15</v>
      </c>
      <c r="B143" s="9">
        <f t="shared" si="34"/>
        <v>28</v>
      </c>
      <c r="C143" s="8"/>
      <c r="D143" s="8"/>
      <c r="E143" s="8">
        <v>6</v>
      </c>
      <c r="F143" s="8">
        <v>4</v>
      </c>
      <c r="G143" s="9">
        <f t="shared" si="35"/>
        <v>2</v>
      </c>
      <c r="H143" s="9">
        <f t="shared" si="38"/>
        <v>26</v>
      </c>
      <c r="I143" s="10">
        <f t="shared" si="36"/>
        <v>12</v>
      </c>
    </row>
    <row r="144" spans="1:9" ht="12.75">
      <c r="A144" s="8" t="s">
        <v>16</v>
      </c>
      <c r="B144" s="9">
        <f t="shared" si="34"/>
        <v>29</v>
      </c>
      <c r="C144" s="8"/>
      <c r="D144" s="8"/>
      <c r="E144" s="8">
        <v>5</v>
      </c>
      <c r="F144" s="8">
        <v>4</v>
      </c>
      <c r="G144" s="9">
        <f t="shared" si="35"/>
        <v>1</v>
      </c>
      <c r="H144" s="9">
        <f>B144-C144+D144-H139</f>
        <v>19</v>
      </c>
      <c r="I144" s="10">
        <f t="shared" si="36"/>
        <v>6</v>
      </c>
    </row>
    <row r="145" spans="1:9" ht="12.75">
      <c r="A145" s="8" t="s">
        <v>17</v>
      </c>
      <c r="B145" s="9">
        <f t="shared" si="34"/>
        <v>37</v>
      </c>
      <c r="C145" s="8"/>
      <c r="D145" s="8"/>
      <c r="E145" s="8">
        <v>4</v>
      </c>
      <c r="F145" s="8">
        <v>3</v>
      </c>
      <c r="G145" s="9">
        <f t="shared" si="35"/>
        <v>1</v>
      </c>
      <c r="H145" s="9">
        <f t="shared" ref="H145:H158" si="39">B145-C145+D145-G145</f>
        <v>36</v>
      </c>
      <c r="I145" s="10">
        <f t="shared" si="36"/>
        <v>6</v>
      </c>
    </row>
    <row r="146" spans="1:9" ht="12.75">
      <c r="A146" s="8" t="s">
        <v>18</v>
      </c>
      <c r="B146" s="9">
        <f t="shared" si="34"/>
        <v>32</v>
      </c>
      <c r="C146" s="8"/>
      <c r="D146" s="8"/>
      <c r="E146" s="8">
        <v>6</v>
      </c>
      <c r="F146" s="8">
        <v>4</v>
      </c>
      <c r="G146" s="9">
        <f t="shared" si="35"/>
        <v>2</v>
      </c>
      <c r="H146" s="9">
        <f t="shared" si="39"/>
        <v>30</v>
      </c>
      <c r="I146" s="10">
        <f t="shared" si="36"/>
        <v>12</v>
      </c>
    </row>
    <row r="147" spans="1:9" ht="12.75">
      <c r="A147" s="8" t="s">
        <v>19</v>
      </c>
      <c r="B147" s="9">
        <f t="shared" si="34"/>
        <v>24</v>
      </c>
      <c r="C147" s="8"/>
      <c r="D147" s="8"/>
      <c r="E147" s="8">
        <v>6</v>
      </c>
      <c r="F147" s="8">
        <v>6</v>
      </c>
      <c r="G147" s="9">
        <f t="shared" si="35"/>
        <v>0</v>
      </c>
      <c r="H147" s="9">
        <f t="shared" si="39"/>
        <v>24</v>
      </c>
      <c r="I147" s="10">
        <f t="shared" si="36"/>
        <v>0</v>
      </c>
    </row>
    <row r="148" spans="1:9" ht="12.75">
      <c r="A148" s="8" t="s">
        <v>20</v>
      </c>
      <c r="B148" s="9">
        <f t="shared" si="34"/>
        <v>14</v>
      </c>
      <c r="C148" s="8"/>
      <c r="D148" s="8"/>
      <c r="E148" s="8">
        <v>6</v>
      </c>
      <c r="F148" s="8">
        <v>4</v>
      </c>
      <c r="G148" s="9">
        <f t="shared" si="35"/>
        <v>2</v>
      </c>
      <c r="H148" s="9">
        <f t="shared" si="39"/>
        <v>12</v>
      </c>
      <c r="I148" s="10">
        <f t="shared" ref="I148:I149" si="40">G149*6</f>
        <v>0</v>
      </c>
    </row>
    <row r="149" spans="1:9" ht="12.75">
      <c r="A149" s="8" t="s">
        <v>21</v>
      </c>
      <c r="B149" s="9">
        <f t="shared" si="34"/>
        <v>17</v>
      </c>
      <c r="C149" s="8"/>
      <c r="D149" s="8"/>
      <c r="E149" s="8">
        <v>2</v>
      </c>
      <c r="F149" s="8">
        <v>2</v>
      </c>
      <c r="G149" s="9">
        <f t="shared" si="35"/>
        <v>0</v>
      </c>
      <c r="H149" s="9">
        <f t="shared" si="39"/>
        <v>17</v>
      </c>
      <c r="I149" s="10">
        <f t="shared" si="40"/>
        <v>24</v>
      </c>
    </row>
    <row r="150" spans="1:9" ht="12.75">
      <c r="A150" s="8" t="s">
        <v>22</v>
      </c>
      <c r="B150" s="9">
        <f t="shared" si="34"/>
        <v>22</v>
      </c>
      <c r="C150" s="8"/>
      <c r="D150" s="8"/>
      <c r="E150" s="8">
        <v>6</v>
      </c>
      <c r="F150" s="8">
        <v>2</v>
      </c>
      <c r="G150" s="9">
        <f t="shared" si="35"/>
        <v>4</v>
      </c>
      <c r="H150" s="9">
        <f t="shared" si="39"/>
        <v>18</v>
      </c>
      <c r="I150" s="10">
        <f t="shared" ref="I150:I158" si="41">G150*6</f>
        <v>24</v>
      </c>
    </row>
    <row r="151" spans="1:9" ht="12.75">
      <c r="A151" s="8" t="s">
        <v>23</v>
      </c>
      <c r="B151" s="9">
        <f t="shared" si="34"/>
        <v>10</v>
      </c>
      <c r="C151" s="8"/>
      <c r="D151" s="8"/>
      <c r="E151" s="8">
        <v>6</v>
      </c>
      <c r="F151" s="8">
        <v>6</v>
      </c>
      <c r="G151" s="9">
        <f t="shared" si="35"/>
        <v>0</v>
      </c>
      <c r="H151" s="9">
        <f t="shared" si="39"/>
        <v>10</v>
      </c>
      <c r="I151" s="10">
        <f t="shared" si="41"/>
        <v>0</v>
      </c>
    </row>
    <row r="152" spans="1:9" ht="12.75">
      <c r="A152" s="8" t="s">
        <v>24</v>
      </c>
      <c r="B152" s="9">
        <f t="shared" si="34"/>
        <v>25</v>
      </c>
      <c r="C152" s="8"/>
      <c r="D152" s="8"/>
      <c r="E152" s="8">
        <v>4</v>
      </c>
      <c r="F152" s="8">
        <v>2</v>
      </c>
      <c r="G152" s="9">
        <f t="shared" si="35"/>
        <v>2</v>
      </c>
      <c r="H152" s="9">
        <f t="shared" si="39"/>
        <v>23</v>
      </c>
      <c r="I152" s="10">
        <f t="shared" si="41"/>
        <v>12</v>
      </c>
    </row>
    <row r="153" spans="1:9" ht="12.75">
      <c r="A153" s="8" t="s">
        <v>25</v>
      </c>
      <c r="B153" s="9">
        <f t="shared" si="34"/>
        <v>30</v>
      </c>
      <c r="C153" s="8"/>
      <c r="D153" s="8"/>
      <c r="E153" s="8">
        <v>8</v>
      </c>
      <c r="F153" s="8">
        <v>0</v>
      </c>
      <c r="G153" s="9">
        <f t="shared" si="35"/>
        <v>8</v>
      </c>
      <c r="H153" s="9">
        <f t="shared" si="39"/>
        <v>22</v>
      </c>
      <c r="I153" s="10">
        <f t="shared" si="41"/>
        <v>48</v>
      </c>
    </row>
    <row r="154" spans="1:9" ht="12.75">
      <c r="A154" s="8" t="s">
        <v>26</v>
      </c>
      <c r="B154" s="9">
        <f t="shared" si="34"/>
        <v>20</v>
      </c>
      <c r="C154" s="8"/>
      <c r="D154" s="8"/>
      <c r="E154" s="8">
        <v>6</v>
      </c>
      <c r="F154" s="8">
        <v>4</v>
      </c>
      <c r="G154" s="9">
        <f t="shared" si="35"/>
        <v>2</v>
      </c>
      <c r="H154" s="9">
        <f t="shared" si="39"/>
        <v>18</v>
      </c>
      <c r="I154" s="10">
        <f t="shared" si="41"/>
        <v>12</v>
      </c>
    </row>
    <row r="155" spans="1:9" ht="12.75">
      <c r="A155" s="8" t="s">
        <v>27</v>
      </c>
      <c r="B155" s="9">
        <f t="shared" si="34"/>
        <v>32</v>
      </c>
      <c r="C155" s="8">
        <v>1</v>
      </c>
      <c r="D155" s="8"/>
      <c r="E155" s="8">
        <v>4</v>
      </c>
      <c r="F155" s="8">
        <v>2</v>
      </c>
      <c r="G155" s="9">
        <f t="shared" si="35"/>
        <v>2</v>
      </c>
      <c r="H155" s="9">
        <f t="shared" si="39"/>
        <v>29</v>
      </c>
      <c r="I155" s="10">
        <f t="shared" si="41"/>
        <v>12</v>
      </c>
    </row>
    <row r="156" spans="1:9" ht="12.75">
      <c r="A156" s="8" t="s">
        <v>28</v>
      </c>
      <c r="B156" s="9">
        <f t="shared" si="34"/>
        <v>30</v>
      </c>
      <c r="C156" s="8"/>
      <c r="D156" s="8"/>
      <c r="E156" s="8">
        <v>8</v>
      </c>
      <c r="F156" s="8">
        <v>3</v>
      </c>
      <c r="G156" s="9">
        <f t="shared" si="35"/>
        <v>5</v>
      </c>
      <c r="H156" s="9">
        <f t="shared" si="39"/>
        <v>25</v>
      </c>
      <c r="I156" s="10">
        <f t="shared" si="41"/>
        <v>30</v>
      </c>
    </row>
    <row r="157" spans="1:9" ht="12.75">
      <c r="A157" s="8" t="s">
        <v>30</v>
      </c>
      <c r="B157" s="9">
        <f t="shared" si="34"/>
        <v>26</v>
      </c>
      <c r="C157" s="8"/>
      <c r="D157" s="8"/>
      <c r="E157" s="8">
        <v>2</v>
      </c>
      <c r="F157" s="8">
        <v>0</v>
      </c>
      <c r="G157" s="9">
        <f t="shared" si="35"/>
        <v>2</v>
      </c>
      <c r="H157" s="9">
        <f t="shared" si="39"/>
        <v>24</v>
      </c>
      <c r="I157" s="10">
        <f t="shared" si="41"/>
        <v>12</v>
      </c>
    </row>
    <row r="158" spans="1:9" ht="12.75">
      <c r="A158" s="13" t="s">
        <v>86</v>
      </c>
      <c r="B158" s="9">
        <f t="shared" si="34"/>
        <v>32</v>
      </c>
      <c r="C158" s="8"/>
      <c r="D158" s="8"/>
      <c r="E158" s="8">
        <v>6</v>
      </c>
      <c r="F158" s="8">
        <v>5</v>
      </c>
      <c r="G158" s="9">
        <f t="shared" si="35"/>
        <v>1</v>
      </c>
      <c r="H158" s="9">
        <f t="shared" si="39"/>
        <v>31</v>
      </c>
      <c r="I158" s="10">
        <f t="shared" si="41"/>
        <v>6</v>
      </c>
    </row>
    <row r="159" spans="1:9" ht="12.75">
      <c r="A159" s="14" t="s">
        <v>33</v>
      </c>
      <c r="B159" s="15">
        <f>SUM(B138:B158)</f>
        <v>512</v>
      </c>
      <c r="C159" s="14"/>
      <c r="D159" s="14"/>
      <c r="E159" s="15">
        <f t="shared" ref="E159:G159" si="42">SUM(E137:E158)</f>
        <v>113</v>
      </c>
      <c r="F159" s="15">
        <f t="shared" si="42"/>
        <v>68</v>
      </c>
      <c r="G159" s="15">
        <f t="shared" si="42"/>
        <v>45</v>
      </c>
      <c r="H159" s="15">
        <f>SUM(H138:H158)</f>
        <v>456</v>
      </c>
      <c r="I159" s="16">
        <f>SUM(I137:I158)</f>
        <v>282</v>
      </c>
    </row>
    <row r="160" spans="1:9" ht="12.75">
      <c r="A160" s="17"/>
      <c r="B160" s="17"/>
      <c r="C160" s="17"/>
      <c r="D160" s="17"/>
      <c r="E160" s="17"/>
      <c r="F160" s="134" t="s">
        <v>34</v>
      </c>
      <c r="G160" s="133"/>
      <c r="H160" s="18"/>
      <c r="I160" s="19"/>
    </row>
    <row r="161" spans="1:9" ht="12.75">
      <c r="A161" s="17"/>
      <c r="B161" s="24"/>
      <c r="C161" s="24"/>
      <c r="D161" s="24"/>
      <c r="E161" s="135" t="s">
        <v>87</v>
      </c>
      <c r="F161" s="132"/>
      <c r="G161" s="133"/>
      <c r="H161" s="25"/>
      <c r="I161" s="26">
        <f>SUM(I138:I158)</f>
        <v>282</v>
      </c>
    </row>
    <row r="163" spans="1:9">
      <c r="A163" s="1"/>
      <c r="B163" s="131" t="s">
        <v>111</v>
      </c>
      <c r="C163" s="132"/>
      <c r="D163" s="132"/>
      <c r="E163" s="132"/>
      <c r="F163" s="132"/>
      <c r="G163" s="132"/>
      <c r="H163" s="132"/>
      <c r="I163" s="133"/>
    </row>
    <row r="164" spans="1:9" ht="45">
      <c r="A164" s="2" t="s">
        <v>1</v>
      </c>
      <c r="B164" s="3" t="s">
        <v>2</v>
      </c>
      <c r="C164" s="4" t="s">
        <v>3</v>
      </c>
      <c r="D164" s="5" t="s">
        <v>4</v>
      </c>
      <c r="E164" s="2" t="s">
        <v>5</v>
      </c>
      <c r="F164" s="2" t="s">
        <v>6</v>
      </c>
      <c r="G164" s="2" t="s">
        <v>7</v>
      </c>
      <c r="H164" s="6" t="s">
        <v>8</v>
      </c>
      <c r="I164" s="7" t="s">
        <v>9</v>
      </c>
    </row>
    <row r="165" spans="1:9" ht="12.75">
      <c r="A165" s="8" t="s">
        <v>10</v>
      </c>
      <c r="B165" s="9">
        <f t="shared" ref="B165:B185" si="43">H138</f>
        <v>25</v>
      </c>
      <c r="C165" s="8"/>
      <c r="D165" s="8"/>
      <c r="E165" s="8">
        <v>6</v>
      </c>
      <c r="F165" s="8">
        <v>6</v>
      </c>
      <c r="G165" s="9">
        <f t="shared" ref="G165:G185" si="44">E165-F165</f>
        <v>0</v>
      </c>
      <c r="H165" s="9">
        <f t="shared" ref="H165:H185" si="45">B165-C165+D165-G165</f>
        <v>25</v>
      </c>
      <c r="I165" s="10">
        <f t="shared" ref="I165:I174" si="46">G165*6</f>
        <v>0</v>
      </c>
    </row>
    <row r="166" spans="1:9" ht="12.75">
      <c r="A166" s="8" t="s">
        <v>11</v>
      </c>
      <c r="B166" s="9">
        <f t="shared" si="43"/>
        <v>10</v>
      </c>
      <c r="C166" s="8"/>
      <c r="D166" s="8"/>
      <c r="E166" s="8">
        <v>6</v>
      </c>
      <c r="F166" s="8">
        <v>4</v>
      </c>
      <c r="G166" s="9">
        <f t="shared" si="44"/>
        <v>2</v>
      </c>
      <c r="H166" s="9">
        <f t="shared" si="45"/>
        <v>8</v>
      </c>
      <c r="I166" s="10">
        <f t="shared" si="46"/>
        <v>12</v>
      </c>
    </row>
    <row r="167" spans="1:9" ht="12.75">
      <c r="A167" s="8" t="s">
        <v>12</v>
      </c>
      <c r="B167" s="9">
        <f t="shared" si="43"/>
        <v>9</v>
      </c>
      <c r="C167" s="8"/>
      <c r="D167" s="8"/>
      <c r="E167" s="8">
        <v>6</v>
      </c>
      <c r="F167" s="8">
        <v>6</v>
      </c>
      <c r="G167" s="9">
        <f t="shared" si="44"/>
        <v>0</v>
      </c>
      <c r="H167" s="9">
        <f t="shared" si="45"/>
        <v>9</v>
      </c>
      <c r="I167" s="10">
        <f t="shared" si="46"/>
        <v>0</v>
      </c>
    </row>
    <row r="168" spans="1:9" ht="12.75">
      <c r="A168" s="8" t="s">
        <v>13</v>
      </c>
      <c r="B168" s="9">
        <f t="shared" si="43"/>
        <v>29</v>
      </c>
      <c r="C168" s="8">
        <v>1</v>
      </c>
      <c r="D168" s="8"/>
      <c r="E168" s="8">
        <v>7</v>
      </c>
      <c r="F168" s="8">
        <v>4</v>
      </c>
      <c r="G168" s="9">
        <f t="shared" si="44"/>
        <v>3</v>
      </c>
      <c r="H168" s="9">
        <f t="shared" si="45"/>
        <v>25</v>
      </c>
      <c r="I168" s="10">
        <f t="shared" si="46"/>
        <v>18</v>
      </c>
    </row>
    <row r="169" spans="1:9" ht="12.75">
      <c r="A169" s="8" t="s">
        <v>14</v>
      </c>
      <c r="B169" s="9">
        <f t="shared" si="43"/>
        <v>19</v>
      </c>
      <c r="C169" s="8"/>
      <c r="D169" s="8"/>
      <c r="E169" s="8">
        <v>4</v>
      </c>
      <c r="F169" s="8">
        <v>3</v>
      </c>
      <c r="G169" s="9">
        <f t="shared" si="44"/>
        <v>1</v>
      </c>
      <c r="H169" s="9">
        <f t="shared" si="45"/>
        <v>18</v>
      </c>
      <c r="I169" s="10">
        <f t="shared" si="46"/>
        <v>6</v>
      </c>
    </row>
    <row r="170" spans="1:9" ht="12.75">
      <c r="A170" s="8" t="s">
        <v>15</v>
      </c>
      <c r="B170" s="9">
        <f t="shared" si="43"/>
        <v>26</v>
      </c>
      <c r="C170" s="8"/>
      <c r="D170" s="8"/>
      <c r="E170" s="8">
        <v>6</v>
      </c>
      <c r="F170" s="8">
        <v>6</v>
      </c>
      <c r="G170" s="9">
        <f t="shared" si="44"/>
        <v>0</v>
      </c>
      <c r="H170" s="9">
        <f t="shared" si="45"/>
        <v>26</v>
      </c>
      <c r="I170" s="10">
        <f t="shared" si="46"/>
        <v>0</v>
      </c>
    </row>
    <row r="171" spans="1:9" ht="12.75">
      <c r="A171" s="8" t="s">
        <v>16</v>
      </c>
      <c r="B171" s="9">
        <f t="shared" si="43"/>
        <v>19</v>
      </c>
      <c r="C171" s="8"/>
      <c r="D171" s="8"/>
      <c r="E171" s="8">
        <v>5</v>
      </c>
      <c r="F171" s="8">
        <v>5</v>
      </c>
      <c r="G171" s="9">
        <f t="shared" si="44"/>
        <v>0</v>
      </c>
      <c r="H171" s="9">
        <f t="shared" si="45"/>
        <v>19</v>
      </c>
      <c r="I171" s="10">
        <f t="shared" si="46"/>
        <v>0</v>
      </c>
    </row>
    <row r="172" spans="1:9" ht="12.75">
      <c r="A172" s="8" t="s">
        <v>17</v>
      </c>
      <c r="B172" s="9">
        <f t="shared" si="43"/>
        <v>36</v>
      </c>
      <c r="C172" s="8"/>
      <c r="D172" s="8"/>
      <c r="E172" s="8">
        <v>4</v>
      </c>
      <c r="F172" s="8">
        <v>4</v>
      </c>
      <c r="G172" s="9">
        <f t="shared" si="44"/>
        <v>0</v>
      </c>
      <c r="H172" s="9">
        <f t="shared" si="45"/>
        <v>36</v>
      </c>
      <c r="I172" s="10">
        <f t="shared" si="46"/>
        <v>0</v>
      </c>
    </row>
    <row r="173" spans="1:9" ht="12.75">
      <c r="A173" s="8" t="s">
        <v>18</v>
      </c>
      <c r="B173" s="9">
        <f t="shared" si="43"/>
        <v>30</v>
      </c>
      <c r="C173" s="8"/>
      <c r="D173" s="8"/>
      <c r="E173" s="8">
        <v>6</v>
      </c>
      <c r="F173" s="8">
        <v>6</v>
      </c>
      <c r="G173" s="9">
        <f t="shared" si="44"/>
        <v>0</v>
      </c>
      <c r="H173" s="9">
        <f t="shared" si="45"/>
        <v>30</v>
      </c>
      <c r="I173" s="10">
        <f t="shared" si="46"/>
        <v>0</v>
      </c>
    </row>
    <row r="174" spans="1:9" ht="12.75">
      <c r="A174" s="8" t="s">
        <v>19</v>
      </c>
      <c r="B174" s="9">
        <f t="shared" si="43"/>
        <v>24</v>
      </c>
      <c r="C174" s="8"/>
      <c r="D174" s="8"/>
      <c r="E174" s="8">
        <v>6</v>
      </c>
      <c r="F174" s="8">
        <v>5</v>
      </c>
      <c r="G174" s="9">
        <f t="shared" si="44"/>
        <v>1</v>
      </c>
      <c r="H174" s="9">
        <f t="shared" si="45"/>
        <v>23</v>
      </c>
      <c r="I174" s="10">
        <f t="shared" si="46"/>
        <v>6</v>
      </c>
    </row>
    <row r="175" spans="1:9" ht="12.75">
      <c r="A175" s="8" t="s">
        <v>20</v>
      </c>
      <c r="B175" s="9">
        <f t="shared" si="43"/>
        <v>12</v>
      </c>
      <c r="C175" s="8"/>
      <c r="D175" s="8"/>
      <c r="E175" s="8">
        <v>6</v>
      </c>
      <c r="F175" s="8">
        <v>5</v>
      </c>
      <c r="G175" s="9">
        <f t="shared" si="44"/>
        <v>1</v>
      </c>
      <c r="H175" s="9">
        <f t="shared" si="45"/>
        <v>11</v>
      </c>
      <c r="I175" s="10">
        <f t="shared" ref="I175:I176" si="47">G176*6</f>
        <v>0</v>
      </c>
    </row>
    <row r="176" spans="1:9" ht="12.75">
      <c r="A176" s="8" t="s">
        <v>21</v>
      </c>
      <c r="B176" s="9">
        <f t="shared" si="43"/>
        <v>17</v>
      </c>
      <c r="C176" s="8"/>
      <c r="D176" s="8"/>
      <c r="E176" s="8">
        <v>2</v>
      </c>
      <c r="F176" s="8">
        <v>2</v>
      </c>
      <c r="G176" s="9">
        <f t="shared" si="44"/>
        <v>0</v>
      </c>
      <c r="H176" s="9">
        <f t="shared" si="45"/>
        <v>17</v>
      </c>
      <c r="I176" s="10">
        <f t="shared" si="47"/>
        <v>12</v>
      </c>
    </row>
    <row r="177" spans="1:9" ht="12.75">
      <c r="A177" s="8" t="s">
        <v>22</v>
      </c>
      <c r="B177" s="9">
        <f t="shared" si="43"/>
        <v>18</v>
      </c>
      <c r="C177" s="8"/>
      <c r="D177" s="8"/>
      <c r="E177" s="8">
        <v>6</v>
      </c>
      <c r="F177" s="8">
        <v>4</v>
      </c>
      <c r="G177" s="9">
        <f t="shared" si="44"/>
        <v>2</v>
      </c>
      <c r="H177" s="9">
        <f t="shared" si="45"/>
        <v>16</v>
      </c>
      <c r="I177" s="10">
        <f t="shared" ref="I177:I185" si="48">G177*6</f>
        <v>12</v>
      </c>
    </row>
    <row r="178" spans="1:9" ht="12.75">
      <c r="A178" s="8" t="s">
        <v>23</v>
      </c>
      <c r="B178" s="9">
        <f t="shared" si="43"/>
        <v>10</v>
      </c>
      <c r="C178" s="8"/>
      <c r="D178" s="8"/>
      <c r="E178" s="8">
        <v>6</v>
      </c>
      <c r="F178" s="8">
        <v>5</v>
      </c>
      <c r="G178" s="9">
        <f t="shared" si="44"/>
        <v>1</v>
      </c>
      <c r="H178" s="9">
        <f t="shared" si="45"/>
        <v>9</v>
      </c>
      <c r="I178" s="10">
        <f t="shared" si="48"/>
        <v>6</v>
      </c>
    </row>
    <row r="179" spans="1:9" ht="12.75">
      <c r="A179" s="8" t="s">
        <v>24</v>
      </c>
      <c r="B179" s="9">
        <f t="shared" si="43"/>
        <v>23</v>
      </c>
      <c r="C179" s="8"/>
      <c r="D179" s="8"/>
      <c r="E179" s="8">
        <v>4</v>
      </c>
      <c r="F179" s="8">
        <v>1</v>
      </c>
      <c r="G179" s="9">
        <f t="shared" si="44"/>
        <v>3</v>
      </c>
      <c r="H179" s="9">
        <f t="shared" si="45"/>
        <v>20</v>
      </c>
      <c r="I179" s="10">
        <f t="shared" si="48"/>
        <v>18</v>
      </c>
    </row>
    <row r="180" spans="1:9" ht="12.75">
      <c r="A180" s="8" t="s">
        <v>25</v>
      </c>
      <c r="B180" s="9">
        <f t="shared" si="43"/>
        <v>22</v>
      </c>
      <c r="C180" s="8"/>
      <c r="D180" s="8"/>
      <c r="E180" s="8">
        <v>8</v>
      </c>
      <c r="F180" s="8">
        <v>7</v>
      </c>
      <c r="G180" s="9">
        <f t="shared" si="44"/>
        <v>1</v>
      </c>
      <c r="H180" s="9">
        <f t="shared" si="45"/>
        <v>21</v>
      </c>
      <c r="I180" s="10">
        <f t="shared" si="48"/>
        <v>6</v>
      </c>
    </row>
    <row r="181" spans="1:9" ht="12.75">
      <c r="A181" s="8" t="s">
        <v>26</v>
      </c>
      <c r="B181" s="9">
        <f t="shared" si="43"/>
        <v>18</v>
      </c>
      <c r="C181" s="8"/>
      <c r="D181" s="8"/>
      <c r="E181" s="8">
        <v>6</v>
      </c>
      <c r="F181" s="8">
        <v>4</v>
      </c>
      <c r="G181" s="9">
        <f t="shared" si="44"/>
        <v>2</v>
      </c>
      <c r="H181" s="9">
        <f t="shared" si="45"/>
        <v>16</v>
      </c>
      <c r="I181" s="10">
        <f t="shared" si="48"/>
        <v>12</v>
      </c>
    </row>
    <row r="182" spans="1:9" ht="12.75">
      <c r="A182" s="8" t="s">
        <v>27</v>
      </c>
      <c r="B182" s="9">
        <f t="shared" si="43"/>
        <v>29</v>
      </c>
      <c r="C182" s="8"/>
      <c r="D182" s="8"/>
      <c r="E182" s="8">
        <v>4</v>
      </c>
      <c r="F182" s="8">
        <v>4</v>
      </c>
      <c r="G182" s="9">
        <f t="shared" si="44"/>
        <v>0</v>
      </c>
      <c r="H182" s="9">
        <f t="shared" si="45"/>
        <v>29</v>
      </c>
      <c r="I182" s="10">
        <f t="shared" si="48"/>
        <v>0</v>
      </c>
    </row>
    <row r="183" spans="1:9" ht="12.75">
      <c r="A183" s="8" t="s">
        <v>28</v>
      </c>
      <c r="B183" s="9">
        <f t="shared" si="43"/>
        <v>25</v>
      </c>
      <c r="C183" s="8"/>
      <c r="D183" s="8"/>
      <c r="E183" s="8">
        <v>8</v>
      </c>
      <c r="F183" s="8">
        <v>2</v>
      </c>
      <c r="G183" s="9">
        <f t="shared" si="44"/>
        <v>6</v>
      </c>
      <c r="H183" s="9">
        <f t="shared" si="45"/>
        <v>19</v>
      </c>
      <c r="I183" s="10">
        <f t="shared" si="48"/>
        <v>36</v>
      </c>
    </row>
    <row r="184" spans="1:9" ht="12.75">
      <c r="A184" s="8" t="s">
        <v>30</v>
      </c>
      <c r="B184" s="9">
        <f t="shared" si="43"/>
        <v>24</v>
      </c>
      <c r="C184" s="8"/>
      <c r="D184" s="8"/>
      <c r="E184" s="8">
        <v>2</v>
      </c>
      <c r="F184" s="8">
        <v>2</v>
      </c>
      <c r="G184" s="9">
        <f t="shared" si="44"/>
        <v>0</v>
      </c>
      <c r="H184" s="9">
        <f t="shared" si="45"/>
        <v>24</v>
      </c>
      <c r="I184" s="10">
        <f t="shared" si="48"/>
        <v>0</v>
      </c>
    </row>
    <row r="185" spans="1:9" ht="12.75">
      <c r="A185" s="13" t="s">
        <v>86</v>
      </c>
      <c r="B185" s="9">
        <f t="shared" si="43"/>
        <v>31</v>
      </c>
      <c r="C185" s="8"/>
      <c r="D185" s="8"/>
      <c r="E185" s="8">
        <v>7</v>
      </c>
      <c r="F185" s="8">
        <v>7</v>
      </c>
      <c r="G185" s="9">
        <f t="shared" si="44"/>
        <v>0</v>
      </c>
      <c r="H185" s="9">
        <f t="shared" si="45"/>
        <v>31</v>
      </c>
      <c r="I185" s="10">
        <f t="shared" si="48"/>
        <v>0</v>
      </c>
    </row>
    <row r="186" spans="1:9" ht="12.75">
      <c r="A186" s="14" t="s">
        <v>33</v>
      </c>
      <c r="B186" s="15">
        <f>SUM(B165:B185)</f>
        <v>456</v>
      </c>
      <c r="C186" s="14"/>
      <c r="D186" s="14"/>
      <c r="E186" s="15">
        <f t="shared" ref="E186:G186" si="49">SUM(E164:E185)</f>
        <v>115</v>
      </c>
      <c r="F186" s="15">
        <f t="shared" si="49"/>
        <v>92</v>
      </c>
      <c r="G186" s="15">
        <f t="shared" si="49"/>
        <v>23</v>
      </c>
      <c r="H186" s="15">
        <f>SUM(H165:H185)</f>
        <v>432</v>
      </c>
      <c r="I186" s="16">
        <f>SUM(I164:I185)</f>
        <v>144</v>
      </c>
    </row>
    <row r="187" spans="1:9" ht="12.75">
      <c r="A187" s="17"/>
      <c r="B187" s="17"/>
      <c r="C187" s="17"/>
      <c r="D187" s="17"/>
      <c r="E187" s="17"/>
      <c r="F187" s="134" t="s">
        <v>34</v>
      </c>
      <c r="G187" s="133"/>
      <c r="H187" s="18"/>
      <c r="I187" s="19"/>
    </row>
    <row r="188" spans="1:9" ht="12.75">
      <c r="A188" s="17"/>
      <c r="B188" s="24"/>
      <c r="C188" s="24"/>
      <c r="D188" s="24"/>
      <c r="E188" s="135" t="s">
        <v>87</v>
      </c>
      <c r="F188" s="132"/>
      <c r="G188" s="133"/>
      <c r="H188" s="25"/>
      <c r="I188" s="26">
        <f>SUM(I165:I185)</f>
        <v>144</v>
      </c>
    </row>
    <row r="190" spans="1:9">
      <c r="A190" s="1"/>
      <c r="B190" s="131" t="s">
        <v>112</v>
      </c>
      <c r="C190" s="132"/>
      <c r="D190" s="132"/>
      <c r="E190" s="132"/>
      <c r="F190" s="132"/>
      <c r="G190" s="132"/>
      <c r="H190" s="132"/>
      <c r="I190" s="133"/>
    </row>
    <row r="191" spans="1:9" ht="45">
      <c r="A191" s="2" t="s">
        <v>1</v>
      </c>
      <c r="B191" s="3" t="s">
        <v>2</v>
      </c>
      <c r="C191" s="4" t="s">
        <v>3</v>
      </c>
      <c r="D191" s="5" t="s">
        <v>4</v>
      </c>
      <c r="E191" s="2" t="s">
        <v>5</v>
      </c>
      <c r="F191" s="2" t="s">
        <v>6</v>
      </c>
      <c r="G191" s="2" t="s">
        <v>7</v>
      </c>
      <c r="H191" s="6" t="s">
        <v>8</v>
      </c>
      <c r="I191" s="7" t="s">
        <v>9</v>
      </c>
    </row>
    <row r="192" spans="1:9" ht="12.75">
      <c r="A192" s="8" t="s">
        <v>10</v>
      </c>
      <c r="B192" s="9">
        <f t="shared" ref="B192:B212" si="50">H165</f>
        <v>25</v>
      </c>
      <c r="C192" s="8"/>
      <c r="D192" s="8"/>
      <c r="E192" s="8">
        <v>6</v>
      </c>
      <c r="F192" s="8">
        <v>3</v>
      </c>
      <c r="G192" s="9">
        <f t="shared" ref="G192:G212" si="51">E192-F192</f>
        <v>3</v>
      </c>
      <c r="H192" s="9">
        <f t="shared" ref="H192:H212" si="52">B192-C192+D192-G192</f>
        <v>22</v>
      </c>
      <c r="I192" s="10">
        <f t="shared" ref="I192:I201" si="53">G192*6</f>
        <v>18</v>
      </c>
    </row>
    <row r="193" spans="1:9" ht="12.75">
      <c r="A193" s="8" t="s">
        <v>11</v>
      </c>
      <c r="B193" s="9">
        <f t="shared" si="50"/>
        <v>8</v>
      </c>
      <c r="C193" s="8"/>
      <c r="D193" s="8"/>
      <c r="E193" s="8">
        <v>6</v>
      </c>
      <c r="F193" s="8">
        <v>0</v>
      </c>
      <c r="G193" s="9">
        <f t="shared" si="51"/>
        <v>6</v>
      </c>
      <c r="H193" s="9">
        <f t="shared" si="52"/>
        <v>2</v>
      </c>
      <c r="I193" s="10">
        <f t="shared" si="53"/>
        <v>36</v>
      </c>
    </row>
    <row r="194" spans="1:9" ht="12.75">
      <c r="A194" s="8" t="s">
        <v>12</v>
      </c>
      <c r="B194" s="9">
        <f t="shared" si="50"/>
        <v>9</v>
      </c>
      <c r="C194" s="8"/>
      <c r="D194" s="8"/>
      <c r="E194" s="8">
        <v>7</v>
      </c>
      <c r="F194" s="8">
        <v>5</v>
      </c>
      <c r="G194" s="9">
        <f t="shared" si="51"/>
        <v>2</v>
      </c>
      <c r="H194" s="9">
        <f t="shared" si="52"/>
        <v>7</v>
      </c>
      <c r="I194" s="10">
        <f t="shared" si="53"/>
        <v>12</v>
      </c>
    </row>
    <row r="195" spans="1:9" ht="12.75">
      <c r="A195" s="8" t="s">
        <v>13</v>
      </c>
      <c r="B195" s="9">
        <f t="shared" si="50"/>
        <v>25</v>
      </c>
      <c r="C195" s="8"/>
      <c r="D195" s="8"/>
      <c r="E195" s="8">
        <v>7</v>
      </c>
      <c r="F195" s="8">
        <v>1</v>
      </c>
      <c r="G195" s="9">
        <f t="shared" si="51"/>
        <v>6</v>
      </c>
      <c r="H195" s="9">
        <f t="shared" si="52"/>
        <v>19</v>
      </c>
      <c r="I195" s="10">
        <f t="shared" si="53"/>
        <v>36</v>
      </c>
    </row>
    <row r="196" spans="1:9" ht="12.75">
      <c r="A196" s="8" t="s">
        <v>14</v>
      </c>
      <c r="B196" s="9">
        <f t="shared" si="50"/>
        <v>18</v>
      </c>
      <c r="C196" s="8"/>
      <c r="D196" s="8"/>
      <c r="E196" s="8">
        <v>5</v>
      </c>
      <c r="F196" s="8">
        <v>1</v>
      </c>
      <c r="G196" s="9">
        <f t="shared" si="51"/>
        <v>4</v>
      </c>
      <c r="H196" s="9">
        <f t="shared" si="52"/>
        <v>14</v>
      </c>
      <c r="I196" s="10">
        <f t="shared" si="53"/>
        <v>24</v>
      </c>
    </row>
    <row r="197" spans="1:9" ht="12.75">
      <c r="A197" s="8" t="s">
        <v>15</v>
      </c>
      <c r="B197" s="9">
        <f t="shared" si="50"/>
        <v>26</v>
      </c>
      <c r="C197" s="8"/>
      <c r="D197" s="8"/>
      <c r="E197" s="8">
        <v>7</v>
      </c>
      <c r="F197" s="8">
        <v>3</v>
      </c>
      <c r="G197" s="9">
        <f t="shared" si="51"/>
        <v>4</v>
      </c>
      <c r="H197" s="9">
        <f t="shared" si="52"/>
        <v>22</v>
      </c>
      <c r="I197" s="10">
        <f t="shared" si="53"/>
        <v>24</v>
      </c>
    </row>
    <row r="198" spans="1:9" ht="12.75">
      <c r="A198" s="8" t="s">
        <v>16</v>
      </c>
      <c r="B198" s="9">
        <f t="shared" si="50"/>
        <v>19</v>
      </c>
      <c r="C198" s="8"/>
      <c r="D198" s="8"/>
      <c r="E198" s="8">
        <v>5</v>
      </c>
      <c r="F198" s="8">
        <v>5</v>
      </c>
      <c r="G198" s="9">
        <f t="shared" si="51"/>
        <v>0</v>
      </c>
      <c r="H198" s="9">
        <f t="shared" si="52"/>
        <v>19</v>
      </c>
      <c r="I198" s="10">
        <f t="shared" si="53"/>
        <v>0</v>
      </c>
    </row>
    <row r="199" spans="1:9" ht="12.75">
      <c r="A199" s="8" t="s">
        <v>17</v>
      </c>
      <c r="B199" s="9">
        <f t="shared" si="50"/>
        <v>36</v>
      </c>
      <c r="C199" s="8"/>
      <c r="D199" s="8"/>
      <c r="E199" s="8">
        <v>4</v>
      </c>
      <c r="F199" s="8">
        <v>1</v>
      </c>
      <c r="G199" s="9">
        <f t="shared" si="51"/>
        <v>3</v>
      </c>
      <c r="H199" s="9">
        <f t="shared" si="52"/>
        <v>33</v>
      </c>
      <c r="I199" s="10">
        <f t="shared" si="53"/>
        <v>18</v>
      </c>
    </row>
    <row r="200" spans="1:9" ht="12.75">
      <c r="A200" s="8" t="s">
        <v>18</v>
      </c>
      <c r="B200" s="9">
        <f t="shared" si="50"/>
        <v>30</v>
      </c>
      <c r="C200" s="8"/>
      <c r="D200" s="8"/>
      <c r="E200" s="8">
        <v>6</v>
      </c>
      <c r="F200" s="8">
        <v>6</v>
      </c>
      <c r="G200" s="9">
        <f t="shared" si="51"/>
        <v>0</v>
      </c>
      <c r="H200" s="9">
        <f t="shared" si="52"/>
        <v>30</v>
      </c>
      <c r="I200" s="10">
        <f t="shared" si="53"/>
        <v>0</v>
      </c>
    </row>
    <row r="201" spans="1:9" ht="12.75">
      <c r="A201" s="8" t="s">
        <v>19</v>
      </c>
      <c r="B201" s="9">
        <f t="shared" si="50"/>
        <v>23</v>
      </c>
      <c r="C201" s="8">
        <v>1</v>
      </c>
      <c r="D201" s="8"/>
      <c r="E201" s="8">
        <v>6</v>
      </c>
      <c r="F201" s="8">
        <v>6</v>
      </c>
      <c r="G201" s="9">
        <f t="shared" si="51"/>
        <v>0</v>
      </c>
      <c r="H201" s="9">
        <f t="shared" si="52"/>
        <v>22</v>
      </c>
      <c r="I201" s="10">
        <f t="shared" si="53"/>
        <v>0</v>
      </c>
    </row>
    <row r="202" spans="1:9" ht="12.75">
      <c r="A202" s="8" t="s">
        <v>20</v>
      </c>
      <c r="B202" s="9">
        <f t="shared" si="50"/>
        <v>11</v>
      </c>
      <c r="C202" s="8"/>
      <c r="D202" s="8">
        <v>27</v>
      </c>
      <c r="E202" s="8">
        <v>7</v>
      </c>
      <c r="F202" s="8">
        <v>2</v>
      </c>
      <c r="G202" s="9">
        <f t="shared" si="51"/>
        <v>5</v>
      </c>
      <c r="H202" s="9">
        <f t="shared" si="52"/>
        <v>33</v>
      </c>
      <c r="I202" s="10">
        <f t="shared" ref="I202:I203" si="54">G202*6</f>
        <v>30</v>
      </c>
    </row>
    <row r="203" spans="1:9" ht="12.75">
      <c r="A203" s="8" t="s">
        <v>21</v>
      </c>
      <c r="B203" s="9">
        <f t="shared" si="50"/>
        <v>17</v>
      </c>
      <c r="C203" s="8"/>
      <c r="D203" s="8"/>
      <c r="E203" s="8">
        <v>2</v>
      </c>
      <c r="F203" s="8">
        <v>2</v>
      </c>
      <c r="G203" s="9">
        <f t="shared" si="51"/>
        <v>0</v>
      </c>
      <c r="H203" s="9">
        <f t="shared" si="52"/>
        <v>17</v>
      </c>
      <c r="I203" s="10">
        <f t="shared" si="54"/>
        <v>0</v>
      </c>
    </row>
    <row r="204" spans="1:9" ht="12.75">
      <c r="A204" s="8" t="s">
        <v>22</v>
      </c>
      <c r="B204" s="9">
        <f t="shared" si="50"/>
        <v>16</v>
      </c>
      <c r="C204" s="8"/>
      <c r="D204" s="8"/>
      <c r="E204" s="8">
        <v>6</v>
      </c>
      <c r="F204" s="8">
        <v>6</v>
      </c>
      <c r="G204" s="9">
        <f t="shared" si="51"/>
        <v>0</v>
      </c>
      <c r="H204" s="9">
        <f t="shared" si="52"/>
        <v>16</v>
      </c>
      <c r="I204" s="10">
        <f t="shared" ref="I204:I212" si="55">G204*6</f>
        <v>0</v>
      </c>
    </row>
    <row r="205" spans="1:9" ht="12.75">
      <c r="A205" s="8" t="s">
        <v>23</v>
      </c>
      <c r="B205" s="9">
        <f t="shared" si="50"/>
        <v>9</v>
      </c>
      <c r="C205" s="8"/>
      <c r="D205" s="8"/>
      <c r="E205" s="8">
        <v>6</v>
      </c>
      <c r="F205" s="8">
        <v>2</v>
      </c>
      <c r="G205" s="9">
        <f t="shared" si="51"/>
        <v>4</v>
      </c>
      <c r="H205" s="9">
        <f t="shared" si="52"/>
        <v>5</v>
      </c>
      <c r="I205" s="10">
        <f t="shared" si="55"/>
        <v>24</v>
      </c>
    </row>
    <row r="206" spans="1:9" ht="12.75">
      <c r="A206" s="8" t="s">
        <v>24</v>
      </c>
      <c r="B206" s="9">
        <f t="shared" si="50"/>
        <v>20</v>
      </c>
      <c r="C206" s="8"/>
      <c r="D206" s="8"/>
      <c r="E206" s="8">
        <v>5</v>
      </c>
      <c r="F206" s="8">
        <v>5</v>
      </c>
      <c r="G206" s="9">
        <f t="shared" si="51"/>
        <v>0</v>
      </c>
      <c r="H206" s="9">
        <f t="shared" si="52"/>
        <v>20</v>
      </c>
      <c r="I206" s="10">
        <f t="shared" si="55"/>
        <v>0</v>
      </c>
    </row>
    <row r="207" spans="1:9" ht="12.75">
      <c r="A207" s="8" t="s">
        <v>25</v>
      </c>
      <c r="B207" s="9">
        <f t="shared" si="50"/>
        <v>21</v>
      </c>
      <c r="C207" s="8"/>
      <c r="D207" s="8">
        <v>28</v>
      </c>
      <c r="E207" s="8">
        <v>8</v>
      </c>
      <c r="F207" s="8">
        <v>0</v>
      </c>
      <c r="G207" s="9">
        <f t="shared" si="51"/>
        <v>8</v>
      </c>
      <c r="H207" s="9">
        <f t="shared" si="52"/>
        <v>41</v>
      </c>
      <c r="I207" s="10">
        <f t="shared" si="55"/>
        <v>48</v>
      </c>
    </row>
    <row r="208" spans="1:9" ht="12.75">
      <c r="A208" s="8" t="s">
        <v>26</v>
      </c>
      <c r="B208" s="9">
        <f t="shared" si="50"/>
        <v>16</v>
      </c>
      <c r="C208" s="8"/>
      <c r="D208" s="8"/>
      <c r="E208" s="8">
        <v>6</v>
      </c>
      <c r="F208" s="8">
        <v>0</v>
      </c>
      <c r="G208" s="9">
        <f t="shared" si="51"/>
        <v>6</v>
      </c>
      <c r="H208" s="9">
        <f t="shared" si="52"/>
        <v>10</v>
      </c>
      <c r="I208" s="10">
        <f t="shared" si="55"/>
        <v>36</v>
      </c>
    </row>
    <row r="209" spans="1:9" ht="12.75">
      <c r="A209" s="8" t="s">
        <v>27</v>
      </c>
      <c r="B209" s="9">
        <f t="shared" si="50"/>
        <v>29</v>
      </c>
      <c r="C209" s="8"/>
      <c r="D209" s="8"/>
      <c r="E209" s="8">
        <v>4</v>
      </c>
      <c r="F209" s="8">
        <v>0</v>
      </c>
      <c r="G209" s="9">
        <f t="shared" si="51"/>
        <v>4</v>
      </c>
      <c r="H209" s="9">
        <f t="shared" si="52"/>
        <v>25</v>
      </c>
      <c r="I209" s="10">
        <f t="shared" si="55"/>
        <v>24</v>
      </c>
    </row>
    <row r="210" spans="1:9" ht="12.75">
      <c r="A210" s="8" t="s">
        <v>28</v>
      </c>
      <c r="B210" s="9">
        <f t="shared" si="50"/>
        <v>19</v>
      </c>
      <c r="C210" s="8"/>
      <c r="D210" s="8"/>
      <c r="E210" s="8">
        <v>9</v>
      </c>
      <c r="F210" s="8">
        <v>5</v>
      </c>
      <c r="G210" s="9">
        <f t="shared" si="51"/>
        <v>4</v>
      </c>
      <c r="H210" s="9">
        <f t="shared" si="52"/>
        <v>15</v>
      </c>
      <c r="I210" s="10">
        <f t="shared" si="55"/>
        <v>24</v>
      </c>
    </row>
    <row r="211" spans="1:9" ht="12.75">
      <c r="A211" s="8" t="s">
        <v>30</v>
      </c>
      <c r="B211" s="9">
        <f t="shared" si="50"/>
        <v>24</v>
      </c>
      <c r="C211" s="8"/>
      <c r="D211" s="8"/>
      <c r="E211" s="8">
        <v>2</v>
      </c>
      <c r="F211" s="8">
        <v>2</v>
      </c>
      <c r="G211" s="9">
        <f t="shared" si="51"/>
        <v>0</v>
      </c>
      <c r="H211" s="9">
        <f t="shared" si="52"/>
        <v>24</v>
      </c>
      <c r="I211" s="10">
        <f t="shared" si="55"/>
        <v>0</v>
      </c>
    </row>
    <row r="212" spans="1:9" ht="12.75">
      <c r="A212" s="13" t="s">
        <v>86</v>
      </c>
      <c r="B212" s="9">
        <f t="shared" si="50"/>
        <v>31</v>
      </c>
      <c r="C212" s="8"/>
      <c r="D212" s="8"/>
      <c r="E212" s="8">
        <v>6</v>
      </c>
      <c r="F212" s="8">
        <v>6</v>
      </c>
      <c r="G212" s="9">
        <f t="shared" si="51"/>
        <v>0</v>
      </c>
      <c r="H212" s="9">
        <f t="shared" si="52"/>
        <v>31</v>
      </c>
      <c r="I212" s="10">
        <f t="shared" si="55"/>
        <v>0</v>
      </c>
    </row>
    <row r="213" spans="1:9" ht="12.75">
      <c r="A213" s="14" t="s">
        <v>33</v>
      </c>
      <c r="B213" s="15">
        <f>SUM(B192:B212)</f>
        <v>432</v>
      </c>
      <c r="C213" s="14"/>
      <c r="D213" s="14"/>
      <c r="E213" s="15">
        <f t="shared" ref="E213:G213" si="56">SUM(E191:E212)</f>
        <v>120</v>
      </c>
      <c r="F213" s="15">
        <f t="shared" si="56"/>
        <v>61</v>
      </c>
      <c r="G213" s="15">
        <f t="shared" si="56"/>
        <v>59</v>
      </c>
      <c r="H213" s="15">
        <f t="shared" ref="H213:I213" si="57">SUM(H192:H212)</f>
        <v>427</v>
      </c>
      <c r="I213" s="16">
        <f t="shared" si="57"/>
        <v>354</v>
      </c>
    </row>
    <row r="214" spans="1:9" ht="12.75">
      <c r="A214" s="17"/>
      <c r="B214" s="17"/>
      <c r="C214" s="17"/>
      <c r="D214" s="17"/>
      <c r="E214" s="17"/>
      <c r="F214" s="134" t="s">
        <v>34</v>
      </c>
      <c r="G214" s="133"/>
      <c r="H214" s="18"/>
      <c r="I214" s="19"/>
    </row>
    <row r="215" spans="1:9" ht="12.75">
      <c r="A215" s="17"/>
      <c r="B215" s="24"/>
      <c r="C215" s="24"/>
      <c r="D215" s="24"/>
      <c r="E215" s="135" t="s">
        <v>87</v>
      </c>
      <c r="F215" s="132"/>
      <c r="G215" s="133"/>
      <c r="H215" s="25"/>
      <c r="I215" s="26">
        <f>SUM(I192:I212)</f>
        <v>354</v>
      </c>
    </row>
    <row r="217" spans="1:9">
      <c r="A217" s="1"/>
      <c r="B217" s="131" t="s">
        <v>113</v>
      </c>
      <c r="C217" s="132"/>
      <c r="D217" s="132"/>
      <c r="E217" s="132"/>
      <c r="F217" s="132"/>
      <c r="G217" s="132"/>
      <c r="H217" s="132"/>
      <c r="I217" s="133"/>
    </row>
    <row r="218" spans="1:9" ht="45">
      <c r="A218" s="2" t="s">
        <v>1</v>
      </c>
      <c r="B218" s="3" t="s">
        <v>2</v>
      </c>
      <c r="C218" s="4" t="s">
        <v>3</v>
      </c>
      <c r="D218" s="5" t="s">
        <v>4</v>
      </c>
      <c r="E218" s="2" t="s">
        <v>5</v>
      </c>
      <c r="F218" s="2" t="s">
        <v>6</v>
      </c>
      <c r="G218" s="2" t="s">
        <v>7</v>
      </c>
      <c r="H218" s="6" t="s">
        <v>8</v>
      </c>
      <c r="I218" s="7" t="s">
        <v>9</v>
      </c>
    </row>
    <row r="219" spans="1:9" ht="12.75">
      <c r="A219" s="8" t="s">
        <v>10</v>
      </c>
      <c r="B219" s="9">
        <f t="shared" ref="B219:B239" si="58">H192</f>
        <v>22</v>
      </c>
      <c r="C219" s="8"/>
      <c r="D219" s="8"/>
      <c r="E219" s="8">
        <v>6</v>
      </c>
      <c r="F219" s="8">
        <v>4</v>
      </c>
      <c r="G219" s="9">
        <f t="shared" ref="G219:G239" si="59">E219-F219</f>
        <v>2</v>
      </c>
      <c r="H219" s="9">
        <f t="shared" ref="H219:H239" si="60">B219-C219+D219-G219</f>
        <v>20</v>
      </c>
      <c r="I219" s="10">
        <f t="shared" ref="I219:I239" si="61">G219*6</f>
        <v>12</v>
      </c>
    </row>
    <row r="220" spans="1:9" ht="12.75">
      <c r="A220" s="8" t="s">
        <v>11</v>
      </c>
      <c r="B220" s="9">
        <f t="shared" si="58"/>
        <v>2</v>
      </c>
      <c r="C220" s="8"/>
      <c r="D220" s="8">
        <v>29</v>
      </c>
      <c r="E220" s="8">
        <v>2</v>
      </c>
      <c r="F220" s="8">
        <v>1</v>
      </c>
      <c r="G220" s="9">
        <f t="shared" si="59"/>
        <v>1</v>
      </c>
      <c r="H220" s="9">
        <f t="shared" si="60"/>
        <v>30</v>
      </c>
      <c r="I220" s="10">
        <f t="shared" si="61"/>
        <v>6</v>
      </c>
    </row>
    <row r="221" spans="1:9" ht="12.75">
      <c r="A221" s="8" t="s">
        <v>12</v>
      </c>
      <c r="B221" s="9">
        <f t="shared" si="58"/>
        <v>7</v>
      </c>
      <c r="C221" s="8"/>
      <c r="D221" s="8">
        <v>39</v>
      </c>
      <c r="E221" s="8">
        <v>6</v>
      </c>
      <c r="F221" s="8">
        <v>5</v>
      </c>
      <c r="G221" s="9">
        <f t="shared" si="59"/>
        <v>1</v>
      </c>
      <c r="H221" s="9">
        <f t="shared" si="60"/>
        <v>45</v>
      </c>
      <c r="I221" s="10">
        <f t="shared" si="61"/>
        <v>6</v>
      </c>
    </row>
    <row r="222" spans="1:9" ht="12.75">
      <c r="A222" s="8" t="s">
        <v>13</v>
      </c>
      <c r="B222" s="9">
        <f t="shared" si="58"/>
        <v>19</v>
      </c>
      <c r="C222" s="8"/>
      <c r="D222" s="20"/>
      <c r="E222" s="8">
        <v>7</v>
      </c>
      <c r="F222" s="8">
        <v>4</v>
      </c>
      <c r="G222" s="9">
        <f t="shared" si="59"/>
        <v>3</v>
      </c>
      <c r="H222" s="9">
        <f t="shared" si="60"/>
        <v>16</v>
      </c>
      <c r="I222" s="10">
        <f t="shared" si="61"/>
        <v>18</v>
      </c>
    </row>
    <row r="223" spans="1:9" ht="12.75">
      <c r="A223" s="8" t="s">
        <v>14</v>
      </c>
      <c r="B223" s="9">
        <f t="shared" si="58"/>
        <v>14</v>
      </c>
      <c r="C223" s="8"/>
      <c r="D223" s="8"/>
      <c r="E223" s="8">
        <v>4</v>
      </c>
      <c r="F223" s="8">
        <v>2</v>
      </c>
      <c r="G223" s="9">
        <f t="shared" si="59"/>
        <v>2</v>
      </c>
      <c r="H223" s="9">
        <f t="shared" si="60"/>
        <v>12</v>
      </c>
      <c r="I223" s="10">
        <f t="shared" si="61"/>
        <v>12</v>
      </c>
    </row>
    <row r="224" spans="1:9" ht="12.75">
      <c r="A224" s="8" t="s">
        <v>15</v>
      </c>
      <c r="B224" s="9">
        <f t="shared" si="58"/>
        <v>22</v>
      </c>
      <c r="C224" s="8">
        <v>1</v>
      </c>
      <c r="D224" s="8"/>
      <c r="E224" s="8">
        <v>6</v>
      </c>
      <c r="F224" s="8">
        <v>5</v>
      </c>
      <c r="G224" s="9">
        <f t="shared" si="59"/>
        <v>1</v>
      </c>
      <c r="H224" s="9">
        <f t="shared" si="60"/>
        <v>20</v>
      </c>
      <c r="I224" s="10">
        <f t="shared" si="61"/>
        <v>6</v>
      </c>
    </row>
    <row r="225" spans="1:9" ht="12.75">
      <c r="A225" s="8" t="s">
        <v>16</v>
      </c>
      <c r="B225" s="9">
        <f t="shared" si="58"/>
        <v>19</v>
      </c>
      <c r="C225" s="8"/>
      <c r="D225" s="8"/>
      <c r="E225" s="8">
        <v>5</v>
      </c>
      <c r="F225" s="8">
        <v>4</v>
      </c>
      <c r="G225" s="9">
        <f t="shared" si="59"/>
        <v>1</v>
      </c>
      <c r="H225" s="9">
        <f t="shared" si="60"/>
        <v>18</v>
      </c>
      <c r="I225" s="10">
        <f t="shared" si="61"/>
        <v>6</v>
      </c>
    </row>
    <row r="226" spans="1:9" ht="12.75">
      <c r="A226" s="8" t="s">
        <v>17</v>
      </c>
      <c r="B226" s="9">
        <f t="shared" si="58"/>
        <v>33</v>
      </c>
      <c r="C226" s="8"/>
      <c r="D226" s="8"/>
      <c r="E226" s="8">
        <v>4</v>
      </c>
      <c r="F226" s="8">
        <v>3</v>
      </c>
      <c r="G226" s="9">
        <f t="shared" si="59"/>
        <v>1</v>
      </c>
      <c r="H226" s="9">
        <f t="shared" si="60"/>
        <v>32</v>
      </c>
      <c r="I226" s="10">
        <f t="shared" si="61"/>
        <v>6</v>
      </c>
    </row>
    <row r="227" spans="1:9" ht="12.75">
      <c r="A227" s="8" t="s">
        <v>18</v>
      </c>
      <c r="B227" s="9">
        <f t="shared" si="58"/>
        <v>30</v>
      </c>
      <c r="C227" s="8"/>
      <c r="D227" s="8"/>
      <c r="E227" s="8">
        <v>6</v>
      </c>
      <c r="F227" s="8">
        <v>3</v>
      </c>
      <c r="G227" s="9">
        <f t="shared" si="59"/>
        <v>3</v>
      </c>
      <c r="H227" s="9">
        <f t="shared" si="60"/>
        <v>27</v>
      </c>
      <c r="I227" s="10">
        <f t="shared" si="61"/>
        <v>18</v>
      </c>
    </row>
    <row r="228" spans="1:9" ht="12.75">
      <c r="A228" s="8" t="s">
        <v>19</v>
      </c>
      <c r="B228" s="9">
        <f t="shared" si="58"/>
        <v>22</v>
      </c>
      <c r="C228" s="8"/>
      <c r="D228" s="8"/>
      <c r="E228" s="8">
        <v>6</v>
      </c>
      <c r="F228" s="8">
        <v>6</v>
      </c>
      <c r="G228" s="9">
        <f t="shared" si="59"/>
        <v>0</v>
      </c>
      <c r="H228" s="9">
        <f t="shared" si="60"/>
        <v>22</v>
      </c>
      <c r="I228" s="10">
        <f t="shared" si="61"/>
        <v>0</v>
      </c>
    </row>
    <row r="229" spans="1:9" ht="12.75">
      <c r="A229" s="8" t="s">
        <v>20</v>
      </c>
      <c r="B229" s="9">
        <f t="shared" si="58"/>
        <v>33</v>
      </c>
      <c r="C229" s="8"/>
      <c r="D229" s="8"/>
      <c r="E229" s="8">
        <v>6</v>
      </c>
      <c r="F229" s="8">
        <v>3</v>
      </c>
      <c r="G229" s="9">
        <f t="shared" si="59"/>
        <v>3</v>
      </c>
      <c r="H229" s="9">
        <f t="shared" si="60"/>
        <v>30</v>
      </c>
      <c r="I229" s="10">
        <f t="shared" si="61"/>
        <v>18</v>
      </c>
    </row>
    <row r="230" spans="1:9" ht="12.75">
      <c r="A230" s="8" t="s">
        <v>21</v>
      </c>
      <c r="B230" s="9">
        <f t="shared" si="58"/>
        <v>17</v>
      </c>
      <c r="C230" s="8"/>
      <c r="D230" s="8"/>
      <c r="E230" s="8">
        <v>2</v>
      </c>
      <c r="F230" s="8">
        <v>2</v>
      </c>
      <c r="G230" s="9">
        <f t="shared" si="59"/>
        <v>0</v>
      </c>
      <c r="H230" s="9">
        <f t="shared" si="60"/>
        <v>17</v>
      </c>
      <c r="I230" s="10">
        <f t="shared" si="61"/>
        <v>0</v>
      </c>
    </row>
    <row r="231" spans="1:9" ht="12.75">
      <c r="A231" s="8" t="s">
        <v>22</v>
      </c>
      <c r="B231" s="9">
        <f t="shared" si="58"/>
        <v>16</v>
      </c>
      <c r="C231" s="8"/>
      <c r="D231" s="8"/>
      <c r="E231" s="8">
        <v>6</v>
      </c>
      <c r="F231" s="8">
        <v>3</v>
      </c>
      <c r="G231" s="9">
        <f t="shared" si="59"/>
        <v>3</v>
      </c>
      <c r="H231" s="9">
        <f t="shared" si="60"/>
        <v>13</v>
      </c>
      <c r="I231" s="10">
        <f t="shared" si="61"/>
        <v>18</v>
      </c>
    </row>
    <row r="232" spans="1:9" ht="12.75">
      <c r="A232" s="8" t="s">
        <v>23</v>
      </c>
      <c r="B232" s="9">
        <f t="shared" si="58"/>
        <v>5</v>
      </c>
      <c r="C232" s="8"/>
      <c r="D232" s="8"/>
      <c r="E232" s="8">
        <v>6</v>
      </c>
      <c r="F232" s="8">
        <v>4</v>
      </c>
      <c r="G232" s="9">
        <f t="shared" si="59"/>
        <v>2</v>
      </c>
      <c r="H232" s="9">
        <f t="shared" si="60"/>
        <v>3</v>
      </c>
      <c r="I232" s="10">
        <f t="shared" si="61"/>
        <v>12</v>
      </c>
    </row>
    <row r="233" spans="1:9" ht="12.75">
      <c r="A233" s="8" t="s">
        <v>24</v>
      </c>
      <c r="B233" s="9">
        <f t="shared" si="58"/>
        <v>20</v>
      </c>
      <c r="C233" s="8"/>
      <c r="D233" s="8"/>
      <c r="E233" s="8">
        <v>4</v>
      </c>
      <c r="F233" s="8">
        <v>4</v>
      </c>
      <c r="G233" s="9">
        <f t="shared" si="59"/>
        <v>0</v>
      </c>
      <c r="H233" s="9">
        <f t="shared" si="60"/>
        <v>20</v>
      </c>
      <c r="I233" s="10">
        <f t="shared" si="61"/>
        <v>0</v>
      </c>
    </row>
    <row r="234" spans="1:9" ht="12.75">
      <c r="A234" s="8" t="s">
        <v>25</v>
      </c>
      <c r="B234" s="9">
        <f t="shared" si="58"/>
        <v>41</v>
      </c>
      <c r="C234" s="8"/>
      <c r="D234" s="8"/>
      <c r="E234" s="8">
        <v>8</v>
      </c>
      <c r="F234" s="8">
        <v>1</v>
      </c>
      <c r="G234" s="9">
        <f t="shared" si="59"/>
        <v>7</v>
      </c>
      <c r="H234" s="9">
        <f t="shared" si="60"/>
        <v>34</v>
      </c>
      <c r="I234" s="10">
        <f t="shared" si="61"/>
        <v>42</v>
      </c>
    </row>
    <row r="235" spans="1:9" ht="12.75">
      <c r="A235" s="8" t="s">
        <v>26</v>
      </c>
      <c r="B235" s="9">
        <f t="shared" si="58"/>
        <v>10</v>
      </c>
      <c r="C235" s="8"/>
      <c r="D235" s="8"/>
      <c r="E235" s="8">
        <v>6</v>
      </c>
      <c r="F235" s="8">
        <v>3</v>
      </c>
      <c r="G235" s="9">
        <f t="shared" si="59"/>
        <v>3</v>
      </c>
      <c r="H235" s="9">
        <f t="shared" si="60"/>
        <v>7</v>
      </c>
      <c r="I235" s="10">
        <f t="shared" si="61"/>
        <v>18</v>
      </c>
    </row>
    <row r="236" spans="1:9" ht="12.75">
      <c r="A236" s="8" t="s">
        <v>27</v>
      </c>
      <c r="B236" s="9">
        <f t="shared" si="58"/>
        <v>25</v>
      </c>
      <c r="C236" s="8"/>
      <c r="D236" s="8"/>
      <c r="E236" s="8">
        <v>4</v>
      </c>
      <c r="F236" s="8">
        <v>3</v>
      </c>
      <c r="G236" s="9">
        <f t="shared" si="59"/>
        <v>1</v>
      </c>
      <c r="H236" s="9">
        <f t="shared" si="60"/>
        <v>24</v>
      </c>
      <c r="I236" s="10">
        <f t="shared" si="61"/>
        <v>6</v>
      </c>
    </row>
    <row r="237" spans="1:9" ht="12.75">
      <c r="A237" s="8" t="s">
        <v>28</v>
      </c>
      <c r="B237" s="9">
        <f t="shared" si="58"/>
        <v>15</v>
      </c>
      <c r="C237" s="8"/>
      <c r="D237" s="8"/>
      <c r="E237" s="8">
        <v>8</v>
      </c>
      <c r="F237" s="8">
        <v>4</v>
      </c>
      <c r="G237" s="9">
        <f t="shared" si="59"/>
        <v>4</v>
      </c>
      <c r="H237" s="9">
        <f t="shared" si="60"/>
        <v>11</v>
      </c>
      <c r="I237" s="10">
        <f t="shared" si="61"/>
        <v>24</v>
      </c>
    </row>
    <row r="238" spans="1:9" ht="12.75">
      <c r="A238" s="8" t="s">
        <v>30</v>
      </c>
      <c r="B238" s="9">
        <f t="shared" si="58"/>
        <v>24</v>
      </c>
      <c r="C238" s="8"/>
      <c r="D238" s="8"/>
      <c r="E238" s="8">
        <v>2</v>
      </c>
      <c r="F238" s="8">
        <v>2</v>
      </c>
      <c r="G238" s="9">
        <f t="shared" si="59"/>
        <v>0</v>
      </c>
      <c r="H238" s="9">
        <f t="shared" si="60"/>
        <v>24</v>
      </c>
      <c r="I238" s="10">
        <f t="shared" si="61"/>
        <v>0</v>
      </c>
    </row>
    <row r="239" spans="1:9" ht="12.75">
      <c r="A239" s="13" t="s">
        <v>86</v>
      </c>
      <c r="B239" s="9">
        <f t="shared" si="58"/>
        <v>31</v>
      </c>
      <c r="C239" s="8"/>
      <c r="D239" s="8"/>
      <c r="E239" s="8">
        <v>6</v>
      </c>
      <c r="F239" s="8">
        <v>6</v>
      </c>
      <c r="G239" s="9">
        <f t="shared" si="59"/>
        <v>0</v>
      </c>
      <c r="H239" s="9">
        <f t="shared" si="60"/>
        <v>31</v>
      </c>
      <c r="I239" s="10">
        <f t="shared" si="61"/>
        <v>0</v>
      </c>
    </row>
    <row r="240" spans="1:9" ht="12.75">
      <c r="A240" s="14" t="s">
        <v>33</v>
      </c>
      <c r="B240" s="15">
        <f>SUM(B219:B239)</f>
        <v>427</v>
      </c>
      <c r="C240" s="14"/>
      <c r="D240" s="14"/>
      <c r="E240" s="15">
        <f t="shared" ref="E240:G240" si="62">SUM(E218:E239)</f>
        <v>110</v>
      </c>
      <c r="F240" s="15">
        <f t="shared" si="62"/>
        <v>72</v>
      </c>
      <c r="G240" s="15">
        <f t="shared" si="62"/>
        <v>38</v>
      </c>
      <c r="H240" s="15">
        <f t="shared" ref="H240:I240" si="63">SUM(H219:H239)</f>
        <v>456</v>
      </c>
      <c r="I240" s="16">
        <f t="shared" si="63"/>
        <v>228</v>
      </c>
    </row>
    <row r="241" spans="1:9" ht="12.75">
      <c r="A241" s="17"/>
      <c r="B241" s="17"/>
      <c r="C241" s="17"/>
      <c r="D241" s="17"/>
      <c r="E241" s="17"/>
      <c r="F241" s="134" t="s">
        <v>34</v>
      </c>
      <c r="G241" s="133"/>
      <c r="H241" s="18"/>
      <c r="I241" s="19"/>
    </row>
    <row r="242" spans="1:9" ht="12.75">
      <c r="A242" s="17"/>
      <c r="B242" s="24"/>
      <c r="C242" s="24"/>
      <c r="D242" s="24"/>
      <c r="E242" s="135" t="s">
        <v>87</v>
      </c>
      <c r="F242" s="132"/>
      <c r="G242" s="133"/>
      <c r="H242" s="25"/>
      <c r="I242" s="26">
        <f>SUM(I219:I239)</f>
        <v>228</v>
      </c>
    </row>
    <row r="244" spans="1:9">
      <c r="A244" s="1"/>
      <c r="B244" s="131" t="s">
        <v>114</v>
      </c>
      <c r="C244" s="132"/>
      <c r="D244" s="132"/>
      <c r="E244" s="132"/>
      <c r="F244" s="132"/>
      <c r="G244" s="132"/>
      <c r="H244" s="132"/>
      <c r="I244" s="133"/>
    </row>
    <row r="245" spans="1:9" ht="45">
      <c r="A245" s="2" t="s">
        <v>1</v>
      </c>
      <c r="B245" s="3" t="s">
        <v>2</v>
      </c>
      <c r="C245" s="4" t="s">
        <v>3</v>
      </c>
      <c r="D245" s="5" t="s">
        <v>4</v>
      </c>
      <c r="E245" s="2" t="s">
        <v>5</v>
      </c>
      <c r="F245" s="2" t="s">
        <v>6</v>
      </c>
      <c r="G245" s="2" t="s">
        <v>7</v>
      </c>
      <c r="H245" s="6" t="s">
        <v>8</v>
      </c>
      <c r="I245" s="7" t="s">
        <v>9</v>
      </c>
    </row>
    <row r="246" spans="1:9" ht="12.75">
      <c r="A246" s="8" t="s">
        <v>10</v>
      </c>
      <c r="B246" s="9">
        <f t="shared" ref="B246:B266" si="64">H219</f>
        <v>20</v>
      </c>
      <c r="C246" s="8"/>
      <c r="D246" s="8"/>
      <c r="E246" s="8">
        <v>6</v>
      </c>
      <c r="F246" s="8">
        <v>5</v>
      </c>
      <c r="G246" s="9">
        <f t="shared" ref="G246:G266" si="65">E246-F246</f>
        <v>1</v>
      </c>
      <c r="H246" s="9">
        <f t="shared" ref="H246:H266" si="66">B246-C246+D246-G246</f>
        <v>19</v>
      </c>
      <c r="I246" s="10">
        <f t="shared" ref="I246:I266" si="67">G246*6</f>
        <v>6</v>
      </c>
    </row>
    <row r="247" spans="1:9" ht="12.75">
      <c r="A247" s="8" t="s">
        <v>11</v>
      </c>
      <c r="B247" s="9">
        <f t="shared" si="64"/>
        <v>30</v>
      </c>
      <c r="C247" s="8"/>
      <c r="D247" s="8"/>
      <c r="E247" s="8">
        <v>6</v>
      </c>
      <c r="F247" s="8">
        <v>6</v>
      </c>
      <c r="G247" s="9">
        <f t="shared" si="65"/>
        <v>0</v>
      </c>
      <c r="H247" s="9">
        <f t="shared" si="66"/>
        <v>30</v>
      </c>
      <c r="I247" s="10">
        <f t="shared" si="67"/>
        <v>0</v>
      </c>
    </row>
    <row r="248" spans="1:9" ht="12.75">
      <c r="A248" s="8" t="s">
        <v>12</v>
      </c>
      <c r="B248" s="9">
        <f t="shared" si="64"/>
        <v>45</v>
      </c>
      <c r="C248" s="8"/>
      <c r="D248" s="8"/>
      <c r="E248" s="8">
        <v>6</v>
      </c>
      <c r="F248" s="8">
        <v>5</v>
      </c>
      <c r="G248" s="9">
        <f t="shared" si="65"/>
        <v>1</v>
      </c>
      <c r="H248" s="9">
        <f t="shared" si="66"/>
        <v>44</v>
      </c>
      <c r="I248" s="10">
        <f t="shared" si="67"/>
        <v>6</v>
      </c>
    </row>
    <row r="249" spans="1:9" ht="12.75">
      <c r="A249" s="8" t="s">
        <v>13</v>
      </c>
      <c r="B249" s="9">
        <f t="shared" si="64"/>
        <v>16</v>
      </c>
      <c r="C249" s="8"/>
      <c r="D249" s="8">
        <v>27</v>
      </c>
      <c r="E249" s="8">
        <v>6</v>
      </c>
      <c r="F249" s="8">
        <v>5</v>
      </c>
      <c r="G249" s="9">
        <f t="shared" si="65"/>
        <v>1</v>
      </c>
      <c r="H249" s="9">
        <f t="shared" si="66"/>
        <v>42</v>
      </c>
      <c r="I249" s="10">
        <f t="shared" si="67"/>
        <v>6</v>
      </c>
    </row>
    <row r="250" spans="1:9" ht="12.75">
      <c r="A250" s="8" t="s">
        <v>14</v>
      </c>
      <c r="B250" s="9">
        <f t="shared" si="64"/>
        <v>12</v>
      </c>
      <c r="C250" s="8"/>
      <c r="D250" s="8"/>
      <c r="E250" s="8">
        <v>4</v>
      </c>
      <c r="F250" s="8">
        <v>4</v>
      </c>
      <c r="G250" s="9">
        <f t="shared" si="65"/>
        <v>0</v>
      </c>
      <c r="H250" s="9">
        <f t="shared" si="66"/>
        <v>12</v>
      </c>
      <c r="I250" s="10">
        <f t="shared" si="67"/>
        <v>0</v>
      </c>
    </row>
    <row r="251" spans="1:9" ht="12.75">
      <c r="A251" s="8" t="s">
        <v>15</v>
      </c>
      <c r="B251" s="9">
        <f t="shared" si="64"/>
        <v>20</v>
      </c>
      <c r="C251" s="8"/>
      <c r="D251" s="8"/>
      <c r="E251" s="8">
        <v>6</v>
      </c>
      <c r="F251" s="8">
        <v>6</v>
      </c>
      <c r="G251" s="9">
        <f t="shared" si="65"/>
        <v>0</v>
      </c>
      <c r="H251" s="9">
        <f t="shared" si="66"/>
        <v>20</v>
      </c>
      <c r="I251" s="10">
        <f t="shared" si="67"/>
        <v>0</v>
      </c>
    </row>
    <row r="252" spans="1:9" ht="12.75">
      <c r="A252" s="8" t="s">
        <v>16</v>
      </c>
      <c r="B252" s="9">
        <f t="shared" si="64"/>
        <v>18</v>
      </c>
      <c r="C252" s="8"/>
      <c r="D252" s="8"/>
      <c r="E252" s="8">
        <v>5</v>
      </c>
      <c r="F252" s="8">
        <v>5</v>
      </c>
      <c r="G252" s="9">
        <f t="shared" si="65"/>
        <v>0</v>
      </c>
      <c r="H252" s="9">
        <f t="shared" si="66"/>
        <v>18</v>
      </c>
      <c r="I252" s="10">
        <f t="shared" si="67"/>
        <v>0</v>
      </c>
    </row>
    <row r="253" spans="1:9" ht="12.75">
      <c r="A253" s="8" t="s">
        <v>17</v>
      </c>
      <c r="B253" s="9">
        <f t="shared" si="64"/>
        <v>32</v>
      </c>
      <c r="C253" s="8"/>
      <c r="D253" s="8"/>
      <c r="E253" s="8">
        <v>4</v>
      </c>
      <c r="F253" s="8">
        <v>4</v>
      </c>
      <c r="G253" s="9">
        <f t="shared" si="65"/>
        <v>0</v>
      </c>
      <c r="H253" s="9">
        <f t="shared" si="66"/>
        <v>32</v>
      </c>
      <c r="I253" s="10">
        <f t="shared" si="67"/>
        <v>0</v>
      </c>
    </row>
    <row r="254" spans="1:9" ht="12.75">
      <c r="A254" s="8" t="s">
        <v>18</v>
      </c>
      <c r="B254" s="9">
        <f t="shared" si="64"/>
        <v>27</v>
      </c>
      <c r="C254" s="8"/>
      <c r="D254" s="8"/>
      <c r="E254" s="8">
        <v>6</v>
      </c>
      <c r="F254" s="8">
        <v>4</v>
      </c>
      <c r="G254" s="9">
        <f t="shared" si="65"/>
        <v>2</v>
      </c>
      <c r="H254" s="9">
        <f t="shared" si="66"/>
        <v>25</v>
      </c>
      <c r="I254" s="10">
        <f t="shared" si="67"/>
        <v>12</v>
      </c>
    </row>
    <row r="255" spans="1:9" ht="12.75">
      <c r="A255" s="8" t="s">
        <v>19</v>
      </c>
      <c r="B255" s="9">
        <f t="shared" si="64"/>
        <v>22</v>
      </c>
      <c r="C255" s="8"/>
      <c r="D255" s="8"/>
      <c r="E255" s="8">
        <v>6</v>
      </c>
      <c r="F255" s="8">
        <v>5</v>
      </c>
      <c r="G255" s="9">
        <f t="shared" si="65"/>
        <v>1</v>
      </c>
      <c r="H255" s="9">
        <f t="shared" si="66"/>
        <v>21</v>
      </c>
      <c r="I255" s="10">
        <f t="shared" si="67"/>
        <v>6</v>
      </c>
    </row>
    <row r="256" spans="1:9" ht="12.75">
      <c r="A256" s="8" t="s">
        <v>20</v>
      </c>
      <c r="B256" s="9">
        <f t="shared" si="64"/>
        <v>30</v>
      </c>
      <c r="C256" s="8"/>
      <c r="D256" s="8"/>
      <c r="E256" s="8">
        <v>6</v>
      </c>
      <c r="F256" s="8">
        <v>6</v>
      </c>
      <c r="G256" s="9">
        <f t="shared" si="65"/>
        <v>0</v>
      </c>
      <c r="H256" s="9">
        <f t="shared" si="66"/>
        <v>30</v>
      </c>
      <c r="I256" s="10">
        <f t="shared" si="67"/>
        <v>0</v>
      </c>
    </row>
    <row r="257" spans="1:9" ht="12.75">
      <c r="A257" s="8" t="s">
        <v>21</v>
      </c>
      <c r="B257" s="9">
        <f t="shared" si="64"/>
        <v>17</v>
      </c>
      <c r="C257" s="8"/>
      <c r="D257" s="8"/>
      <c r="E257" s="8">
        <v>2</v>
      </c>
      <c r="F257" s="8">
        <v>2</v>
      </c>
      <c r="G257" s="9">
        <f t="shared" si="65"/>
        <v>0</v>
      </c>
      <c r="H257" s="9">
        <f t="shared" si="66"/>
        <v>17</v>
      </c>
      <c r="I257" s="10">
        <f t="shared" si="67"/>
        <v>0</v>
      </c>
    </row>
    <row r="258" spans="1:9" ht="12.75">
      <c r="A258" s="8" t="s">
        <v>22</v>
      </c>
      <c r="B258" s="9">
        <f t="shared" si="64"/>
        <v>13</v>
      </c>
      <c r="C258" s="8"/>
      <c r="D258" s="8"/>
      <c r="E258" s="8">
        <v>5</v>
      </c>
      <c r="F258" s="8">
        <v>5</v>
      </c>
      <c r="G258" s="9">
        <f t="shared" si="65"/>
        <v>0</v>
      </c>
      <c r="H258" s="9">
        <f t="shared" si="66"/>
        <v>13</v>
      </c>
      <c r="I258" s="10">
        <f t="shared" si="67"/>
        <v>0</v>
      </c>
    </row>
    <row r="259" spans="1:9" ht="12.75">
      <c r="A259" s="8" t="s">
        <v>23</v>
      </c>
      <c r="B259" s="9">
        <f t="shared" si="64"/>
        <v>3</v>
      </c>
      <c r="C259" s="8"/>
      <c r="D259" s="8"/>
      <c r="E259" s="8">
        <v>6</v>
      </c>
      <c r="F259" s="8">
        <v>5</v>
      </c>
      <c r="G259" s="9">
        <f t="shared" si="65"/>
        <v>1</v>
      </c>
      <c r="H259" s="9">
        <f t="shared" si="66"/>
        <v>2</v>
      </c>
      <c r="I259" s="10">
        <f t="shared" si="67"/>
        <v>6</v>
      </c>
    </row>
    <row r="260" spans="1:9" ht="12.75">
      <c r="A260" s="8" t="s">
        <v>24</v>
      </c>
      <c r="B260" s="9">
        <f t="shared" si="64"/>
        <v>20</v>
      </c>
      <c r="C260" s="8"/>
      <c r="D260" s="8"/>
      <c r="E260" s="8">
        <v>4</v>
      </c>
      <c r="F260" s="8">
        <v>3</v>
      </c>
      <c r="G260" s="9">
        <f t="shared" si="65"/>
        <v>1</v>
      </c>
      <c r="H260" s="9">
        <f t="shared" si="66"/>
        <v>19</v>
      </c>
      <c r="I260" s="10">
        <f t="shared" si="67"/>
        <v>6</v>
      </c>
    </row>
    <row r="261" spans="1:9" ht="12.75">
      <c r="A261" s="8" t="s">
        <v>25</v>
      </c>
      <c r="B261" s="9">
        <f t="shared" si="64"/>
        <v>34</v>
      </c>
      <c r="C261" s="8"/>
      <c r="D261" s="8"/>
      <c r="E261" s="8">
        <v>8</v>
      </c>
      <c r="F261" s="8">
        <v>5</v>
      </c>
      <c r="G261" s="9">
        <f t="shared" si="65"/>
        <v>3</v>
      </c>
      <c r="H261" s="9">
        <f t="shared" si="66"/>
        <v>31</v>
      </c>
      <c r="I261" s="10">
        <f t="shared" si="67"/>
        <v>18</v>
      </c>
    </row>
    <row r="262" spans="1:9" ht="12.75">
      <c r="A262" s="8" t="s">
        <v>26</v>
      </c>
      <c r="B262" s="9">
        <f t="shared" si="64"/>
        <v>7</v>
      </c>
      <c r="C262" s="8"/>
      <c r="D262" s="8"/>
      <c r="E262" s="8">
        <v>6</v>
      </c>
      <c r="F262" s="8">
        <v>6</v>
      </c>
      <c r="G262" s="9">
        <f t="shared" si="65"/>
        <v>0</v>
      </c>
      <c r="H262" s="9">
        <f t="shared" si="66"/>
        <v>7</v>
      </c>
      <c r="I262" s="10">
        <f t="shared" si="67"/>
        <v>0</v>
      </c>
    </row>
    <row r="263" spans="1:9" ht="12.75">
      <c r="A263" s="8" t="s">
        <v>27</v>
      </c>
      <c r="B263" s="9">
        <f t="shared" si="64"/>
        <v>24</v>
      </c>
      <c r="C263" s="8"/>
      <c r="D263" s="8"/>
      <c r="E263" s="8">
        <v>4</v>
      </c>
      <c r="F263" s="8">
        <v>2</v>
      </c>
      <c r="G263" s="9">
        <f t="shared" si="65"/>
        <v>2</v>
      </c>
      <c r="H263" s="9">
        <f t="shared" si="66"/>
        <v>22</v>
      </c>
      <c r="I263" s="10">
        <f t="shared" si="67"/>
        <v>12</v>
      </c>
    </row>
    <row r="264" spans="1:9" ht="12.75">
      <c r="A264" s="8" t="s">
        <v>28</v>
      </c>
      <c r="B264" s="9">
        <f t="shared" si="64"/>
        <v>11</v>
      </c>
      <c r="C264" s="8"/>
      <c r="D264" s="8"/>
      <c r="E264" s="8">
        <v>8</v>
      </c>
      <c r="F264" s="8">
        <v>5</v>
      </c>
      <c r="G264" s="9">
        <f t="shared" si="65"/>
        <v>3</v>
      </c>
      <c r="H264" s="9">
        <f t="shared" si="66"/>
        <v>8</v>
      </c>
      <c r="I264" s="10">
        <f t="shared" si="67"/>
        <v>18</v>
      </c>
    </row>
    <row r="265" spans="1:9" ht="12.75">
      <c r="A265" s="8" t="s">
        <v>30</v>
      </c>
      <c r="B265" s="9">
        <f t="shared" si="64"/>
        <v>24</v>
      </c>
      <c r="C265" s="8"/>
      <c r="D265" s="8"/>
      <c r="E265" s="8">
        <v>2</v>
      </c>
      <c r="F265" s="8">
        <v>1</v>
      </c>
      <c r="G265" s="9">
        <f t="shared" si="65"/>
        <v>1</v>
      </c>
      <c r="H265" s="9">
        <f t="shared" si="66"/>
        <v>23</v>
      </c>
      <c r="I265" s="10">
        <f t="shared" si="67"/>
        <v>6</v>
      </c>
    </row>
    <row r="266" spans="1:9" ht="12.75">
      <c r="A266" s="13" t="s">
        <v>86</v>
      </c>
      <c r="B266" s="9">
        <f t="shared" si="64"/>
        <v>31</v>
      </c>
      <c r="C266" s="8"/>
      <c r="D266" s="8"/>
      <c r="E266" s="8">
        <v>4</v>
      </c>
      <c r="F266" s="8">
        <v>4</v>
      </c>
      <c r="G266" s="9">
        <f t="shared" si="65"/>
        <v>0</v>
      </c>
      <c r="H266" s="9">
        <f t="shared" si="66"/>
        <v>31</v>
      </c>
      <c r="I266" s="10">
        <f t="shared" si="67"/>
        <v>0</v>
      </c>
    </row>
    <row r="267" spans="1:9" ht="12.75">
      <c r="A267" s="14" t="s">
        <v>33</v>
      </c>
      <c r="B267" s="15">
        <f>SUM(B246:B266)</f>
        <v>456</v>
      </c>
      <c r="C267" s="14"/>
      <c r="D267" s="14"/>
      <c r="E267" s="15">
        <f t="shared" ref="E267:G267" si="68">SUM(E245:E266)</f>
        <v>110</v>
      </c>
      <c r="F267" s="15">
        <f t="shared" si="68"/>
        <v>93</v>
      </c>
      <c r="G267" s="15">
        <f t="shared" si="68"/>
        <v>17</v>
      </c>
      <c r="H267" s="15">
        <f>SUM(H246:H266)</f>
        <v>466</v>
      </c>
      <c r="I267" s="16">
        <f>SUM(I245:I266)</f>
        <v>102</v>
      </c>
    </row>
    <row r="268" spans="1:9" ht="12.75">
      <c r="A268" s="17"/>
      <c r="B268" s="17"/>
      <c r="C268" s="17"/>
      <c r="D268" s="17"/>
      <c r="E268" s="17"/>
      <c r="F268" s="134" t="s">
        <v>34</v>
      </c>
      <c r="G268" s="133"/>
      <c r="H268" s="18"/>
      <c r="I268" s="19"/>
    </row>
    <row r="269" spans="1:9" ht="12.75">
      <c r="A269" s="17"/>
      <c r="B269" s="24"/>
      <c r="C269" s="24"/>
      <c r="D269" s="24"/>
      <c r="E269" s="135" t="s">
        <v>87</v>
      </c>
      <c r="F269" s="132"/>
      <c r="G269" s="133"/>
      <c r="H269" s="25"/>
      <c r="I269" s="26">
        <f>SUM(I246:I266)</f>
        <v>102</v>
      </c>
    </row>
    <row r="271" spans="1:9">
      <c r="A271" s="1"/>
      <c r="B271" s="131" t="s">
        <v>115</v>
      </c>
      <c r="C271" s="132"/>
      <c r="D271" s="132"/>
      <c r="E271" s="132"/>
      <c r="F271" s="132"/>
      <c r="G271" s="132"/>
      <c r="H271" s="132"/>
      <c r="I271" s="133"/>
    </row>
    <row r="272" spans="1:9" ht="45">
      <c r="A272" s="2" t="s">
        <v>1</v>
      </c>
      <c r="B272" s="3" t="s">
        <v>2</v>
      </c>
      <c r="C272" s="4" t="s">
        <v>3</v>
      </c>
      <c r="D272" s="5" t="s">
        <v>4</v>
      </c>
      <c r="E272" s="2" t="s">
        <v>5</v>
      </c>
      <c r="F272" s="2" t="s">
        <v>6</v>
      </c>
      <c r="G272" s="2" t="s">
        <v>7</v>
      </c>
      <c r="H272" s="6" t="s">
        <v>8</v>
      </c>
      <c r="I272" s="7" t="s">
        <v>9</v>
      </c>
    </row>
    <row r="273" spans="1:9" ht="12.75">
      <c r="A273" s="8" t="s">
        <v>10</v>
      </c>
      <c r="B273" s="9">
        <f t="shared" ref="B273:B293" si="69">H246</f>
        <v>19</v>
      </c>
      <c r="C273" s="8"/>
      <c r="D273" s="8"/>
      <c r="E273" s="8">
        <v>6</v>
      </c>
      <c r="F273" s="8">
        <v>5</v>
      </c>
      <c r="G273" s="9">
        <f t="shared" ref="G273:G293" si="70">E273-F273</f>
        <v>1</v>
      </c>
      <c r="H273" s="9">
        <f t="shared" ref="H273:H293" si="71">B273-C273+D273-G273</f>
        <v>18</v>
      </c>
      <c r="I273" s="10">
        <f t="shared" ref="I273:I293" si="72">G273*6</f>
        <v>6</v>
      </c>
    </row>
    <row r="274" spans="1:9" ht="12.75">
      <c r="A274" s="8" t="s">
        <v>11</v>
      </c>
      <c r="B274" s="9">
        <f t="shared" si="69"/>
        <v>30</v>
      </c>
      <c r="C274" s="8"/>
      <c r="D274" s="8"/>
      <c r="E274" s="8">
        <v>6</v>
      </c>
      <c r="F274" s="8">
        <v>5</v>
      </c>
      <c r="G274" s="9">
        <f t="shared" si="70"/>
        <v>1</v>
      </c>
      <c r="H274" s="9">
        <f t="shared" si="71"/>
        <v>29</v>
      </c>
      <c r="I274" s="10">
        <f t="shared" si="72"/>
        <v>6</v>
      </c>
    </row>
    <row r="275" spans="1:9" ht="12.75">
      <c r="A275" s="8" t="s">
        <v>12</v>
      </c>
      <c r="B275" s="9">
        <f t="shared" si="69"/>
        <v>44</v>
      </c>
      <c r="C275" s="8"/>
      <c r="D275" s="8"/>
      <c r="E275" s="8">
        <v>6</v>
      </c>
      <c r="F275" s="8">
        <v>5</v>
      </c>
      <c r="G275" s="9">
        <f t="shared" si="70"/>
        <v>1</v>
      </c>
      <c r="H275" s="9">
        <f t="shared" si="71"/>
        <v>43</v>
      </c>
      <c r="I275" s="10">
        <f t="shared" si="72"/>
        <v>6</v>
      </c>
    </row>
    <row r="276" spans="1:9" ht="12.75">
      <c r="A276" s="8" t="s">
        <v>13</v>
      </c>
      <c r="B276" s="9">
        <f t="shared" si="69"/>
        <v>42</v>
      </c>
      <c r="C276" s="8"/>
      <c r="D276" s="8"/>
      <c r="E276" s="8">
        <v>7</v>
      </c>
      <c r="F276" s="8">
        <v>5</v>
      </c>
      <c r="G276" s="9">
        <f t="shared" si="70"/>
        <v>2</v>
      </c>
      <c r="H276" s="9">
        <f t="shared" si="71"/>
        <v>40</v>
      </c>
      <c r="I276" s="10">
        <f t="shared" si="72"/>
        <v>12</v>
      </c>
    </row>
    <row r="277" spans="1:9" ht="12.75">
      <c r="A277" s="8" t="s">
        <v>14</v>
      </c>
      <c r="B277" s="9">
        <f t="shared" si="69"/>
        <v>12</v>
      </c>
      <c r="C277" s="8"/>
      <c r="D277" s="8"/>
      <c r="E277" s="8">
        <v>4</v>
      </c>
      <c r="F277" s="8">
        <v>1</v>
      </c>
      <c r="G277" s="9">
        <f t="shared" si="70"/>
        <v>3</v>
      </c>
      <c r="H277" s="9">
        <f t="shared" si="71"/>
        <v>9</v>
      </c>
      <c r="I277" s="10">
        <f t="shared" si="72"/>
        <v>18</v>
      </c>
    </row>
    <row r="278" spans="1:9" ht="12.75">
      <c r="A278" s="8" t="s">
        <v>15</v>
      </c>
      <c r="B278" s="9">
        <f t="shared" si="69"/>
        <v>20</v>
      </c>
      <c r="C278" s="8"/>
      <c r="D278" s="8"/>
      <c r="E278" s="8">
        <v>6</v>
      </c>
      <c r="F278" s="8">
        <v>4</v>
      </c>
      <c r="G278" s="9">
        <f t="shared" si="70"/>
        <v>2</v>
      </c>
      <c r="H278" s="9">
        <f t="shared" si="71"/>
        <v>18</v>
      </c>
      <c r="I278" s="10">
        <f t="shared" si="72"/>
        <v>12</v>
      </c>
    </row>
    <row r="279" spans="1:9" ht="12.75">
      <c r="A279" s="8" t="s">
        <v>16</v>
      </c>
      <c r="B279" s="9">
        <f t="shared" si="69"/>
        <v>18</v>
      </c>
      <c r="C279" s="8"/>
      <c r="D279" s="8"/>
      <c r="E279" s="8">
        <v>5</v>
      </c>
      <c r="F279" s="8">
        <v>3</v>
      </c>
      <c r="G279" s="9">
        <f t="shared" si="70"/>
        <v>2</v>
      </c>
      <c r="H279" s="9">
        <f t="shared" si="71"/>
        <v>16</v>
      </c>
      <c r="I279" s="10">
        <f t="shared" si="72"/>
        <v>12</v>
      </c>
    </row>
    <row r="280" spans="1:9" ht="12.75">
      <c r="A280" s="8" t="s">
        <v>17</v>
      </c>
      <c r="B280" s="9">
        <f t="shared" si="69"/>
        <v>32</v>
      </c>
      <c r="C280" s="8"/>
      <c r="D280" s="8"/>
      <c r="E280" s="8">
        <v>4</v>
      </c>
      <c r="F280" s="8">
        <v>4</v>
      </c>
      <c r="G280" s="9">
        <f t="shared" si="70"/>
        <v>0</v>
      </c>
      <c r="H280" s="9">
        <f t="shared" si="71"/>
        <v>32</v>
      </c>
      <c r="I280" s="10">
        <f t="shared" si="72"/>
        <v>0</v>
      </c>
    </row>
    <row r="281" spans="1:9" ht="12.75">
      <c r="A281" s="8" t="s">
        <v>18</v>
      </c>
      <c r="B281" s="9">
        <f t="shared" si="69"/>
        <v>25</v>
      </c>
      <c r="C281" s="8"/>
      <c r="D281" s="8"/>
      <c r="E281" s="8">
        <v>6</v>
      </c>
      <c r="F281" s="8">
        <v>4</v>
      </c>
      <c r="G281" s="9">
        <f t="shared" si="70"/>
        <v>2</v>
      </c>
      <c r="H281" s="9">
        <f t="shared" si="71"/>
        <v>23</v>
      </c>
      <c r="I281" s="10">
        <f t="shared" si="72"/>
        <v>12</v>
      </c>
    </row>
    <row r="282" spans="1:9" ht="12.75">
      <c r="A282" s="8" t="s">
        <v>19</v>
      </c>
      <c r="B282" s="9">
        <f t="shared" si="69"/>
        <v>21</v>
      </c>
      <c r="C282" s="8"/>
      <c r="D282" s="8"/>
      <c r="E282" s="8">
        <v>6</v>
      </c>
      <c r="F282" s="8">
        <v>4</v>
      </c>
      <c r="G282" s="9">
        <f t="shared" si="70"/>
        <v>2</v>
      </c>
      <c r="H282" s="9">
        <f t="shared" si="71"/>
        <v>19</v>
      </c>
      <c r="I282" s="10">
        <f t="shared" si="72"/>
        <v>12</v>
      </c>
    </row>
    <row r="283" spans="1:9" ht="12.75">
      <c r="A283" s="8" t="s">
        <v>20</v>
      </c>
      <c r="B283" s="9">
        <f t="shared" si="69"/>
        <v>30</v>
      </c>
      <c r="C283" s="8"/>
      <c r="D283" s="8"/>
      <c r="E283" s="8">
        <v>6</v>
      </c>
      <c r="F283" s="8">
        <v>4</v>
      </c>
      <c r="G283" s="9">
        <f t="shared" si="70"/>
        <v>2</v>
      </c>
      <c r="H283" s="9">
        <f t="shared" si="71"/>
        <v>28</v>
      </c>
      <c r="I283" s="10">
        <f t="shared" si="72"/>
        <v>12</v>
      </c>
    </row>
    <row r="284" spans="1:9" ht="12.75">
      <c r="A284" s="8" t="s">
        <v>21</v>
      </c>
      <c r="B284" s="9">
        <f t="shared" si="69"/>
        <v>17</v>
      </c>
      <c r="C284" s="8"/>
      <c r="D284" s="8"/>
      <c r="E284" s="8">
        <v>2</v>
      </c>
      <c r="F284" s="8">
        <v>2</v>
      </c>
      <c r="G284" s="9">
        <f t="shared" si="70"/>
        <v>0</v>
      </c>
      <c r="H284" s="9">
        <f t="shared" si="71"/>
        <v>17</v>
      </c>
      <c r="I284" s="10">
        <f t="shared" si="72"/>
        <v>0</v>
      </c>
    </row>
    <row r="285" spans="1:9" ht="12.75">
      <c r="A285" s="8" t="s">
        <v>22</v>
      </c>
      <c r="B285" s="9">
        <f t="shared" si="69"/>
        <v>13</v>
      </c>
      <c r="C285" s="8"/>
      <c r="D285" s="8"/>
      <c r="E285" s="8">
        <v>5</v>
      </c>
      <c r="F285" s="8">
        <v>4</v>
      </c>
      <c r="G285" s="9">
        <f t="shared" si="70"/>
        <v>1</v>
      </c>
      <c r="H285" s="9">
        <f t="shared" si="71"/>
        <v>12</v>
      </c>
      <c r="I285" s="10">
        <f t="shared" si="72"/>
        <v>6</v>
      </c>
    </row>
    <row r="286" spans="1:9" ht="12.75">
      <c r="A286" s="8" t="s">
        <v>23</v>
      </c>
      <c r="B286" s="9">
        <f t="shared" si="69"/>
        <v>2</v>
      </c>
      <c r="C286" s="8"/>
      <c r="D286" s="8">
        <v>29</v>
      </c>
      <c r="E286" s="8">
        <v>6</v>
      </c>
      <c r="F286" s="8">
        <v>4</v>
      </c>
      <c r="G286" s="9">
        <f t="shared" si="70"/>
        <v>2</v>
      </c>
      <c r="H286" s="9">
        <f t="shared" si="71"/>
        <v>29</v>
      </c>
      <c r="I286" s="10">
        <f t="shared" si="72"/>
        <v>12</v>
      </c>
    </row>
    <row r="287" spans="1:9" ht="12.75">
      <c r="A287" s="8" t="s">
        <v>24</v>
      </c>
      <c r="B287" s="9">
        <f t="shared" si="69"/>
        <v>19</v>
      </c>
      <c r="C287" s="8"/>
      <c r="D287" s="8"/>
      <c r="E287" s="8">
        <v>4</v>
      </c>
      <c r="F287" s="8">
        <v>2</v>
      </c>
      <c r="G287" s="9">
        <f t="shared" si="70"/>
        <v>2</v>
      </c>
      <c r="H287" s="9">
        <f t="shared" si="71"/>
        <v>17</v>
      </c>
      <c r="I287" s="10">
        <f t="shared" si="72"/>
        <v>12</v>
      </c>
    </row>
    <row r="288" spans="1:9" ht="12.75">
      <c r="A288" s="8" t="s">
        <v>25</v>
      </c>
      <c r="B288" s="9">
        <f t="shared" si="69"/>
        <v>31</v>
      </c>
      <c r="C288" s="8">
        <v>1</v>
      </c>
      <c r="D288" s="8"/>
      <c r="E288" s="8">
        <v>8</v>
      </c>
      <c r="F288" s="8">
        <v>0</v>
      </c>
      <c r="G288" s="9">
        <f t="shared" si="70"/>
        <v>8</v>
      </c>
      <c r="H288" s="9">
        <f t="shared" si="71"/>
        <v>22</v>
      </c>
      <c r="I288" s="10">
        <f t="shared" si="72"/>
        <v>48</v>
      </c>
    </row>
    <row r="289" spans="1:9" ht="12.75">
      <c r="A289" s="8" t="s">
        <v>26</v>
      </c>
      <c r="B289" s="9">
        <f t="shared" si="69"/>
        <v>7</v>
      </c>
      <c r="C289" s="8"/>
      <c r="D289" s="8"/>
      <c r="E289" s="8">
        <v>6</v>
      </c>
      <c r="F289" s="8">
        <v>5</v>
      </c>
      <c r="G289" s="9">
        <f t="shared" si="70"/>
        <v>1</v>
      </c>
      <c r="H289" s="9">
        <f t="shared" si="71"/>
        <v>6</v>
      </c>
      <c r="I289" s="10">
        <f t="shared" si="72"/>
        <v>6</v>
      </c>
    </row>
    <row r="290" spans="1:9" ht="12.75">
      <c r="A290" s="8" t="s">
        <v>27</v>
      </c>
      <c r="B290" s="9">
        <f t="shared" si="69"/>
        <v>22</v>
      </c>
      <c r="C290" s="8"/>
      <c r="D290" s="8"/>
      <c r="E290" s="8">
        <v>4</v>
      </c>
      <c r="F290" s="8">
        <v>2</v>
      </c>
      <c r="G290" s="9">
        <f t="shared" si="70"/>
        <v>2</v>
      </c>
      <c r="H290" s="9">
        <f t="shared" si="71"/>
        <v>20</v>
      </c>
      <c r="I290" s="10">
        <f t="shared" si="72"/>
        <v>12</v>
      </c>
    </row>
    <row r="291" spans="1:9" ht="12.75">
      <c r="A291" s="8" t="s">
        <v>28</v>
      </c>
      <c r="B291" s="9">
        <f t="shared" si="69"/>
        <v>8</v>
      </c>
      <c r="C291" s="8"/>
      <c r="D291" s="8">
        <v>34</v>
      </c>
      <c r="E291" s="8">
        <v>8</v>
      </c>
      <c r="F291" s="8">
        <v>3</v>
      </c>
      <c r="G291" s="9">
        <f t="shared" si="70"/>
        <v>5</v>
      </c>
      <c r="H291" s="9">
        <f t="shared" si="71"/>
        <v>37</v>
      </c>
      <c r="I291" s="10">
        <f t="shared" si="72"/>
        <v>30</v>
      </c>
    </row>
    <row r="292" spans="1:9" ht="12.75">
      <c r="A292" s="8" t="s">
        <v>30</v>
      </c>
      <c r="B292" s="9">
        <f t="shared" si="69"/>
        <v>23</v>
      </c>
      <c r="C292" s="8"/>
      <c r="D292" s="8"/>
      <c r="E292" s="8">
        <v>2</v>
      </c>
      <c r="F292" s="8">
        <v>2</v>
      </c>
      <c r="G292" s="9">
        <f t="shared" si="70"/>
        <v>0</v>
      </c>
      <c r="H292" s="9">
        <f t="shared" si="71"/>
        <v>23</v>
      </c>
      <c r="I292" s="10">
        <f t="shared" si="72"/>
        <v>0</v>
      </c>
    </row>
    <row r="293" spans="1:9" ht="12.75">
      <c r="A293" s="13" t="s">
        <v>86</v>
      </c>
      <c r="B293" s="9">
        <f t="shared" si="69"/>
        <v>31</v>
      </c>
      <c r="C293" s="8"/>
      <c r="D293" s="8"/>
      <c r="E293" s="8">
        <v>4</v>
      </c>
      <c r="F293" s="8">
        <v>4</v>
      </c>
      <c r="G293" s="9">
        <f t="shared" si="70"/>
        <v>0</v>
      </c>
      <c r="H293" s="9">
        <f t="shared" si="71"/>
        <v>31</v>
      </c>
      <c r="I293" s="10">
        <f t="shared" si="72"/>
        <v>0</v>
      </c>
    </row>
    <row r="294" spans="1:9" ht="12.75">
      <c r="A294" s="14" t="s">
        <v>33</v>
      </c>
      <c r="B294" s="15">
        <f>SUM(B273:B293)</f>
        <v>466</v>
      </c>
      <c r="C294" s="14"/>
      <c r="D294" s="14"/>
      <c r="E294" s="15">
        <f t="shared" ref="E294:G294" si="73">SUM(E272:E293)</f>
        <v>111</v>
      </c>
      <c r="F294" s="15">
        <f t="shared" si="73"/>
        <v>72</v>
      </c>
      <c r="G294" s="15">
        <f t="shared" si="73"/>
        <v>39</v>
      </c>
      <c r="H294" s="15">
        <f t="shared" ref="H294:I294" si="74">SUM(H273:H293)</f>
        <v>489</v>
      </c>
      <c r="I294" s="16">
        <f t="shared" si="74"/>
        <v>234</v>
      </c>
    </row>
    <row r="295" spans="1:9" ht="12.75">
      <c r="A295" s="17"/>
      <c r="B295" s="17"/>
      <c r="C295" s="17"/>
      <c r="D295" s="17"/>
      <c r="E295" s="17"/>
      <c r="F295" s="134" t="s">
        <v>34</v>
      </c>
      <c r="G295" s="133"/>
      <c r="H295" s="18"/>
      <c r="I295" s="19"/>
    </row>
    <row r="296" spans="1:9" ht="12.75">
      <c r="A296" s="17"/>
      <c r="B296" s="24"/>
      <c r="C296" s="24"/>
      <c r="D296" s="24"/>
      <c r="E296" s="135" t="s">
        <v>87</v>
      </c>
      <c r="F296" s="132"/>
      <c r="G296" s="133"/>
      <c r="H296" s="25"/>
      <c r="I296" s="26">
        <f>SUM(I273:I293)</f>
        <v>234</v>
      </c>
    </row>
    <row r="298" spans="1:9">
      <c r="A298" s="1"/>
      <c r="B298" s="131" t="s">
        <v>116</v>
      </c>
      <c r="C298" s="132"/>
      <c r="D298" s="132"/>
      <c r="E298" s="132"/>
      <c r="F298" s="132"/>
      <c r="G298" s="132"/>
      <c r="H298" s="132"/>
      <c r="I298" s="133"/>
    </row>
    <row r="299" spans="1:9" ht="45">
      <c r="A299" s="2" t="s">
        <v>1</v>
      </c>
      <c r="B299" s="3" t="s">
        <v>2</v>
      </c>
      <c r="C299" s="4" t="s">
        <v>3</v>
      </c>
      <c r="D299" s="5" t="s">
        <v>4</v>
      </c>
      <c r="E299" s="2" t="s">
        <v>5</v>
      </c>
      <c r="F299" s="2" t="s">
        <v>6</v>
      </c>
      <c r="G299" s="2" t="s">
        <v>7</v>
      </c>
      <c r="H299" s="6" t="s">
        <v>8</v>
      </c>
      <c r="I299" s="7" t="s">
        <v>9</v>
      </c>
    </row>
    <row r="300" spans="1:9" ht="12.75">
      <c r="A300" s="8" t="s">
        <v>10</v>
      </c>
      <c r="B300" s="9">
        <f t="shared" ref="B300:B320" si="75">H273</f>
        <v>18</v>
      </c>
      <c r="C300" s="8"/>
      <c r="D300" s="8"/>
      <c r="E300" s="8">
        <v>6</v>
      </c>
      <c r="F300" s="8">
        <v>5</v>
      </c>
      <c r="G300" s="9">
        <f t="shared" ref="G300:G320" si="76">E300-F300</f>
        <v>1</v>
      </c>
      <c r="H300" s="9">
        <f t="shared" ref="H300:H320" si="77">B300-C300+D300-G300</f>
        <v>17</v>
      </c>
      <c r="I300" s="10">
        <f t="shared" ref="I300:I320" si="78">G300*6</f>
        <v>6</v>
      </c>
    </row>
    <row r="301" spans="1:9" ht="12.75">
      <c r="A301" s="8" t="s">
        <v>11</v>
      </c>
      <c r="B301" s="9">
        <f t="shared" si="75"/>
        <v>29</v>
      </c>
      <c r="C301" s="8"/>
      <c r="D301" s="8"/>
      <c r="E301" s="8">
        <v>6</v>
      </c>
      <c r="F301" s="8">
        <v>5</v>
      </c>
      <c r="G301" s="9">
        <f t="shared" si="76"/>
        <v>1</v>
      </c>
      <c r="H301" s="9">
        <f t="shared" si="77"/>
        <v>28</v>
      </c>
      <c r="I301" s="10">
        <f t="shared" si="78"/>
        <v>6</v>
      </c>
    </row>
    <row r="302" spans="1:9" ht="12.75">
      <c r="A302" s="8" t="s">
        <v>12</v>
      </c>
      <c r="B302" s="9">
        <f t="shared" si="75"/>
        <v>43</v>
      </c>
      <c r="C302" s="8"/>
      <c r="D302" s="8"/>
      <c r="E302" s="8">
        <v>6</v>
      </c>
      <c r="F302" s="8">
        <v>6</v>
      </c>
      <c r="G302" s="9">
        <f t="shared" si="76"/>
        <v>0</v>
      </c>
      <c r="H302" s="9">
        <f t="shared" si="77"/>
        <v>43</v>
      </c>
      <c r="I302" s="10">
        <f t="shared" si="78"/>
        <v>0</v>
      </c>
    </row>
    <row r="303" spans="1:9" ht="12.75">
      <c r="A303" s="8" t="s">
        <v>13</v>
      </c>
      <c r="B303" s="9">
        <f t="shared" si="75"/>
        <v>40</v>
      </c>
      <c r="C303" s="8"/>
      <c r="D303" s="8"/>
      <c r="E303" s="8">
        <v>7</v>
      </c>
      <c r="F303" s="8">
        <v>5</v>
      </c>
      <c r="G303" s="9">
        <f t="shared" si="76"/>
        <v>2</v>
      </c>
      <c r="H303" s="9">
        <f t="shared" si="77"/>
        <v>38</v>
      </c>
      <c r="I303" s="10">
        <f t="shared" si="78"/>
        <v>12</v>
      </c>
    </row>
    <row r="304" spans="1:9" ht="12.75">
      <c r="A304" s="8" t="s">
        <v>14</v>
      </c>
      <c r="B304" s="9">
        <f t="shared" si="75"/>
        <v>9</v>
      </c>
      <c r="C304" s="8"/>
      <c r="D304" s="8"/>
      <c r="E304" s="8">
        <v>4</v>
      </c>
      <c r="F304" s="8">
        <v>3</v>
      </c>
      <c r="G304" s="9">
        <f t="shared" si="76"/>
        <v>1</v>
      </c>
      <c r="H304" s="9">
        <f t="shared" si="77"/>
        <v>8</v>
      </c>
      <c r="I304" s="10">
        <f t="shared" si="78"/>
        <v>6</v>
      </c>
    </row>
    <row r="305" spans="1:9" ht="12.75">
      <c r="A305" s="8" t="s">
        <v>15</v>
      </c>
      <c r="B305" s="9">
        <f t="shared" si="75"/>
        <v>18</v>
      </c>
      <c r="C305" s="8"/>
      <c r="D305" s="8"/>
      <c r="E305" s="8">
        <v>6</v>
      </c>
      <c r="F305" s="8">
        <v>5</v>
      </c>
      <c r="G305" s="9">
        <f t="shared" si="76"/>
        <v>1</v>
      </c>
      <c r="H305" s="9">
        <f t="shared" si="77"/>
        <v>17</v>
      </c>
      <c r="I305" s="10">
        <f t="shared" si="78"/>
        <v>6</v>
      </c>
    </row>
    <row r="306" spans="1:9" ht="12.75">
      <c r="A306" s="8" t="s">
        <v>16</v>
      </c>
      <c r="B306" s="9">
        <f t="shared" si="75"/>
        <v>16</v>
      </c>
      <c r="C306" s="8"/>
      <c r="D306" s="8"/>
      <c r="E306" s="8">
        <v>5</v>
      </c>
      <c r="F306" s="8">
        <v>3</v>
      </c>
      <c r="G306" s="9">
        <f t="shared" si="76"/>
        <v>2</v>
      </c>
      <c r="H306" s="9">
        <f t="shared" si="77"/>
        <v>14</v>
      </c>
      <c r="I306" s="10">
        <f t="shared" si="78"/>
        <v>12</v>
      </c>
    </row>
    <row r="307" spans="1:9" ht="12.75">
      <c r="A307" s="8" t="s">
        <v>17</v>
      </c>
      <c r="B307" s="9">
        <f t="shared" si="75"/>
        <v>32</v>
      </c>
      <c r="C307" s="8"/>
      <c r="D307" s="8"/>
      <c r="E307" s="8">
        <v>4</v>
      </c>
      <c r="F307" s="8">
        <v>2</v>
      </c>
      <c r="G307" s="9">
        <f t="shared" si="76"/>
        <v>2</v>
      </c>
      <c r="H307" s="9">
        <f t="shared" si="77"/>
        <v>30</v>
      </c>
      <c r="I307" s="10">
        <f t="shared" si="78"/>
        <v>12</v>
      </c>
    </row>
    <row r="308" spans="1:9" ht="12.75">
      <c r="A308" s="8" t="s">
        <v>18</v>
      </c>
      <c r="B308" s="9">
        <f t="shared" si="75"/>
        <v>23</v>
      </c>
      <c r="C308" s="8"/>
      <c r="D308" s="8"/>
      <c r="E308" s="8">
        <v>6</v>
      </c>
      <c r="F308" s="8">
        <v>6</v>
      </c>
      <c r="G308" s="9">
        <f t="shared" si="76"/>
        <v>0</v>
      </c>
      <c r="H308" s="9">
        <f t="shared" si="77"/>
        <v>23</v>
      </c>
      <c r="I308" s="10">
        <f t="shared" si="78"/>
        <v>0</v>
      </c>
    </row>
    <row r="309" spans="1:9" ht="12.75">
      <c r="A309" s="8" t="s">
        <v>19</v>
      </c>
      <c r="B309" s="9">
        <f t="shared" si="75"/>
        <v>19</v>
      </c>
      <c r="C309" s="8"/>
      <c r="D309" s="8"/>
      <c r="E309" s="8">
        <v>6</v>
      </c>
      <c r="F309" s="8">
        <v>3</v>
      </c>
      <c r="G309" s="9">
        <f t="shared" si="76"/>
        <v>3</v>
      </c>
      <c r="H309" s="9">
        <f t="shared" si="77"/>
        <v>16</v>
      </c>
      <c r="I309" s="10">
        <f t="shared" si="78"/>
        <v>18</v>
      </c>
    </row>
    <row r="310" spans="1:9" ht="12.75">
      <c r="A310" s="8" t="s">
        <v>20</v>
      </c>
      <c r="B310" s="9">
        <f t="shared" si="75"/>
        <v>28</v>
      </c>
      <c r="C310" s="8"/>
      <c r="D310" s="8"/>
      <c r="E310" s="8">
        <v>6</v>
      </c>
      <c r="F310" s="8">
        <v>6</v>
      </c>
      <c r="G310" s="9">
        <f t="shared" si="76"/>
        <v>0</v>
      </c>
      <c r="H310" s="9">
        <f t="shared" si="77"/>
        <v>28</v>
      </c>
      <c r="I310" s="10">
        <f t="shared" si="78"/>
        <v>0</v>
      </c>
    </row>
    <row r="311" spans="1:9" ht="12.75">
      <c r="A311" s="8" t="s">
        <v>21</v>
      </c>
      <c r="B311" s="9">
        <f t="shared" si="75"/>
        <v>17</v>
      </c>
      <c r="C311" s="8"/>
      <c r="D311" s="8"/>
      <c r="E311" s="8">
        <v>2</v>
      </c>
      <c r="F311" s="8">
        <v>2</v>
      </c>
      <c r="G311" s="9">
        <f t="shared" si="76"/>
        <v>0</v>
      </c>
      <c r="H311" s="9">
        <f t="shared" si="77"/>
        <v>17</v>
      </c>
      <c r="I311" s="10">
        <f t="shared" si="78"/>
        <v>0</v>
      </c>
    </row>
    <row r="312" spans="1:9" ht="12.75">
      <c r="A312" s="8" t="s">
        <v>22</v>
      </c>
      <c r="B312" s="9">
        <f t="shared" si="75"/>
        <v>12</v>
      </c>
      <c r="C312" s="8"/>
      <c r="D312" s="8"/>
      <c r="E312" s="8">
        <v>5</v>
      </c>
      <c r="F312" s="8">
        <v>3</v>
      </c>
      <c r="G312" s="9">
        <f t="shared" si="76"/>
        <v>2</v>
      </c>
      <c r="H312" s="9">
        <f t="shared" si="77"/>
        <v>10</v>
      </c>
      <c r="I312" s="10">
        <f t="shared" si="78"/>
        <v>12</v>
      </c>
    </row>
    <row r="313" spans="1:9" ht="12.75">
      <c r="A313" s="8" t="s">
        <v>23</v>
      </c>
      <c r="B313" s="9">
        <f t="shared" si="75"/>
        <v>29</v>
      </c>
      <c r="C313" s="8"/>
      <c r="D313" s="8"/>
      <c r="E313" s="8">
        <v>6</v>
      </c>
      <c r="F313" s="8">
        <v>2</v>
      </c>
      <c r="G313" s="9">
        <f t="shared" si="76"/>
        <v>4</v>
      </c>
      <c r="H313" s="9">
        <f t="shared" si="77"/>
        <v>25</v>
      </c>
      <c r="I313" s="10">
        <f t="shared" si="78"/>
        <v>24</v>
      </c>
    </row>
    <row r="314" spans="1:9" ht="12.75">
      <c r="A314" s="8" t="s">
        <v>24</v>
      </c>
      <c r="B314" s="9">
        <f t="shared" si="75"/>
        <v>17</v>
      </c>
      <c r="C314" s="8">
        <v>1</v>
      </c>
      <c r="D314" s="8"/>
      <c r="E314" s="8">
        <v>4</v>
      </c>
      <c r="F314" s="8">
        <v>4</v>
      </c>
      <c r="G314" s="9">
        <f t="shared" si="76"/>
        <v>0</v>
      </c>
      <c r="H314" s="9">
        <f t="shared" si="77"/>
        <v>16</v>
      </c>
      <c r="I314" s="10">
        <f t="shared" si="78"/>
        <v>0</v>
      </c>
    </row>
    <row r="315" spans="1:9" ht="12.75">
      <c r="A315" s="8" t="s">
        <v>25</v>
      </c>
      <c r="B315" s="9">
        <f t="shared" si="75"/>
        <v>22</v>
      </c>
      <c r="C315" s="8"/>
      <c r="D315" s="8"/>
      <c r="E315" s="8">
        <v>8</v>
      </c>
      <c r="F315" s="8">
        <v>0</v>
      </c>
      <c r="G315" s="9">
        <f t="shared" si="76"/>
        <v>8</v>
      </c>
      <c r="H315" s="9">
        <f t="shared" si="77"/>
        <v>14</v>
      </c>
      <c r="I315" s="10">
        <f t="shared" si="78"/>
        <v>48</v>
      </c>
    </row>
    <row r="316" spans="1:9" ht="12.75">
      <c r="A316" s="8" t="s">
        <v>26</v>
      </c>
      <c r="B316" s="9">
        <f t="shared" si="75"/>
        <v>6</v>
      </c>
      <c r="C316" s="8"/>
      <c r="D316" s="8">
        <v>28</v>
      </c>
      <c r="E316" s="8">
        <v>6</v>
      </c>
      <c r="F316" s="8">
        <v>3</v>
      </c>
      <c r="G316" s="9">
        <f t="shared" si="76"/>
        <v>3</v>
      </c>
      <c r="H316" s="9">
        <f t="shared" si="77"/>
        <v>31</v>
      </c>
      <c r="I316" s="10">
        <f t="shared" si="78"/>
        <v>18</v>
      </c>
    </row>
    <row r="317" spans="1:9" ht="12.75">
      <c r="A317" s="8" t="s">
        <v>27</v>
      </c>
      <c r="B317" s="9">
        <f t="shared" si="75"/>
        <v>20</v>
      </c>
      <c r="C317" s="8"/>
      <c r="D317" s="8"/>
      <c r="E317" s="8">
        <v>4</v>
      </c>
      <c r="F317" s="8">
        <v>4</v>
      </c>
      <c r="G317" s="9">
        <f t="shared" si="76"/>
        <v>0</v>
      </c>
      <c r="H317" s="9">
        <f t="shared" si="77"/>
        <v>20</v>
      </c>
      <c r="I317" s="10">
        <f t="shared" si="78"/>
        <v>0</v>
      </c>
    </row>
    <row r="318" spans="1:9" ht="12.75">
      <c r="A318" s="8" t="s">
        <v>28</v>
      </c>
      <c r="B318" s="9">
        <f t="shared" si="75"/>
        <v>37</v>
      </c>
      <c r="C318" s="8"/>
      <c r="D318" s="8"/>
      <c r="E318" s="8">
        <v>8</v>
      </c>
      <c r="F318" s="8">
        <v>0</v>
      </c>
      <c r="G318" s="9">
        <f t="shared" si="76"/>
        <v>8</v>
      </c>
      <c r="H318" s="9">
        <f t="shared" si="77"/>
        <v>29</v>
      </c>
      <c r="I318" s="10">
        <f t="shared" si="78"/>
        <v>48</v>
      </c>
    </row>
    <row r="319" spans="1:9" ht="12.75">
      <c r="A319" s="8" t="s">
        <v>30</v>
      </c>
      <c r="B319" s="9">
        <f t="shared" si="75"/>
        <v>23</v>
      </c>
      <c r="C319" s="8"/>
      <c r="D319" s="8"/>
      <c r="E319" s="8">
        <v>2</v>
      </c>
      <c r="F319" s="8">
        <v>2</v>
      </c>
      <c r="G319" s="9">
        <f t="shared" si="76"/>
        <v>0</v>
      </c>
      <c r="H319" s="9">
        <f t="shared" si="77"/>
        <v>23</v>
      </c>
      <c r="I319" s="10">
        <f t="shared" si="78"/>
        <v>0</v>
      </c>
    </row>
    <row r="320" spans="1:9" ht="12.75">
      <c r="A320" s="13" t="s">
        <v>86</v>
      </c>
      <c r="B320" s="9">
        <f t="shared" si="75"/>
        <v>31</v>
      </c>
      <c r="C320" s="8"/>
      <c r="D320" s="8"/>
      <c r="E320" s="8">
        <v>4</v>
      </c>
      <c r="F320" s="8">
        <v>4</v>
      </c>
      <c r="G320" s="9">
        <f t="shared" si="76"/>
        <v>0</v>
      </c>
      <c r="H320" s="9">
        <f t="shared" si="77"/>
        <v>31</v>
      </c>
      <c r="I320" s="10">
        <f t="shared" si="78"/>
        <v>0</v>
      </c>
    </row>
    <row r="321" spans="1:9" ht="12.75">
      <c r="A321" s="14" t="s">
        <v>33</v>
      </c>
      <c r="B321" s="15">
        <f>SUM(B300:B320)</f>
        <v>489</v>
      </c>
      <c r="C321" s="14"/>
      <c r="D321" s="14"/>
      <c r="E321" s="15">
        <f t="shared" ref="E321:G321" si="79">SUM(E299:E320)</f>
        <v>111</v>
      </c>
      <c r="F321" s="15">
        <f t="shared" si="79"/>
        <v>73</v>
      </c>
      <c r="G321" s="15">
        <f t="shared" si="79"/>
        <v>38</v>
      </c>
      <c r="H321" s="15">
        <f>SUM(H300:H320)</f>
        <v>478</v>
      </c>
      <c r="I321" s="16">
        <f>SUM(I299:I320)</f>
        <v>228</v>
      </c>
    </row>
    <row r="322" spans="1:9" ht="12.75">
      <c r="A322" s="17"/>
      <c r="B322" s="17"/>
      <c r="C322" s="17"/>
      <c r="D322" s="17"/>
      <c r="E322" s="17"/>
      <c r="F322" s="134" t="s">
        <v>34</v>
      </c>
      <c r="G322" s="133"/>
      <c r="H322" s="18"/>
      <c r="I322" s="19"/>
    </row>
    <row r="323" spans="1:9" ht="12.75">
      <c r="A323" s="17"/>
      <c r="B323" s="24"/>
      <c r="C323" s="24"/>
      <c r="D323" s="24"/>
      <c r="E323" s="135" t="s">
        <v>87</v>
      </c>
      <c r="F323" s="132"/>
      <c r="G323" s="133"/>
      <c r="H323" s="25"/>
      <c r="I323" s="26">
        <f>SUM(I300:I320)</f>
        <v>228</v>
      </c>
    </row>
    <row r="325" spans="1:9">
      <c r="A325" s="1"/>
      <c r="B325" s="131" t="s">
        <v>117</v>
      </c>
      <c r="C325" s="132"/>
      <c r="D325" s="132"/>
      <c r="E325" s="132"/>
      <c r="F325" s="132"/>
      <c r="G325" s="132"/>
      <c r="H325" s="132"/>
      <c r="I325" s="133"/>
    </row>
    <row r="326" spans="1:9" ht="45">
      <c r="A326" s="2" t="s">
        <v>1</v>
      </c>
      <c r="B326" s="3" t="s">
        <v>2</v>
      </c>
      <c r="C326" s="4" t="s">
        <v>3</v>
      </c>
      <c r="D326" s="5" t="s">
        <v>4</v>
      </c>
      <c r="E326" s="2" t="s">
        <v>5</v>
      </c>
      <c r="F326" s="2" t="s">
        <v>6</v>
      </c>
      <c r="G326" s="2" t="s">
        <v>7</v>
      </c>
      <c r="H326" s="6" t="s">
        <v>8</v>
      </c>
      <c r="I326" s="7" t="s">
        <v>9</v>
      </c>
    </row>
    <row r="327" spans="1:9" ht="12.75">
      <c r="A327" s="8" t="s">
        <v>10</v>
      </c>
      <c r="B327" s="9">
        <f t="shared" ref="B327:B347" si="80">H300</f>
        <v>17</v>
      </c>
      <c r="C327" s="8"/>
      <c r="D327" s="8"/>
      <c r="E327" s="8">
        <v>6</v>
      </c>
      <c r="F327" s="8">
        <v>2</v>
      </c>
      <c r="G327" s="9">
        <f t="shared" ref="G327:G332" si="81">E327-F327</f>
        <v>4</v>
      </c>
      <c r="H327" s="9">
        <f t="shared" ref="H327:H347" si="82">B327-C327+D327-G327</f>
        <v>13</v>
      </c>
      <c r="I327" s="10">
        <f t="shared" ref="I327:I347" si="83">G327*6</f>
        <v>24</v>
      </c>
    </row>
    <row r="328" spans="1:9" ht="12.75">
      <c r="A328" s="8" t="s">
        <v>11</v>
      </c>
      <c r="B328" s="9">
        <f t="shared" si="80"/>
        <v>28</v>
      </c>
      <c r="C328" s="8"/>
      <c r="D328" s="8"/>
      <c r="E328" s="8">
        <v>6</v>
      </c>
      <c r="F328" s="8">
        <v>5</v>
      </c>
      <c r="G328" s="9">
        <f t="shared" si="81"/>
        <v>1</v>
      </c>
      <c r="H328" s="9">
        <f t="shared" si="82"/>
        <v>27</v>
      </c>
      <c r="I328" s="10">
        <f t="shared" si="83"/>
        <v>6</v>
      </c>
    </row>
    <row r="329" spans="1:9" ht="12.75">
      <c r="A329" s="8" t="s">
        <v>12</v>
      </c>
      <c r="B329" s="9">
        <f t="shared" si="80"/>
        <v>43</v>
      </c>
      <c r="C329" s="8">
        <v>1</v>
      </c>
      <c r="D329" s="8"/>
      <c r="E329" s="8">
        <v>6</v>
      </c>
      <c r="F329" s="8">
        <v>5</v>
      </c>
      <c r="G329" s="9">
        <f t="shared" si="81"/>
        <v>1</v>
      </c>
      <c r="H329" s="9">
        <f t="shared" si="82"/>
        <v>41</v>
      </c>
      <c r="I329" s="10">
        <f t="shared" si="83"/>
        <v>6</v>
      </c>
    </row>
    <row r="330" spans="1:9" ht="12.75">
      <c r="A330" s="8" t="s">
        <v>13</v>
      </c>
      <c r="B330" s="9">
        <f t="shared" si="80"/>
        <v>38</v>
      </c>
      <c r="C330" s="8"/>
      <c r="D330" s="8"/>
      <c r="E330" s="8">
        <v>7</v>
      </c>
      <c r="F330" s="8">
        <v>4</v>
      </c>
      <c r="G330" s="9">
        <f t="shared" si="81"/>
        <v>3</v>
      </c>
      <c r="H330" s="9">
        <f t="shared" si="82"/>
        <v>35</v>
      </c>
      <c r="I330" s="10">
        <f t="shared" si="83"/>
        <v>18</v>
      </c>
    </row>
    <row r="331" spans="1:9" ht="12.75">
      <c r="A331" s="8" t="s">
        <v>14</v>
      </c>
      <c r="B331" s="9">
        <f t="shared" si="80"/>
        <v>8</v>
      </c>
      <c r="C331" s="8">
        <v>4</v>
      </c>
      <c r="D331" s="8">
        <v>29</v>
      </c>
      <c r="E331" s="8">
        <v>4</v>
      </c>
      <c r="F331" s="8">
        <v>4</v>
      </c>
      <c r="G331" s="9">
        <f t="shared" si="81"/>
        <v>0</v>
      </c>
      <c r="H331" s="9">
        <f t="shared" si="82"/>
        <v>33</v>
      </c>
      <c r="I331" s="10">
        <f t="shared" si="83"/>
        <v>0</v>
      </c>
    </row>
    <row r="332" spans="1:9" ht="12.75">
      <c r="A332" s="8" t="s">
        <v>15</v>
      </c>
      <c r="B332" s="9">
        <f t="shared" si="80"/>
        <v>17</v>
      </c>
      <c r="C332" s="8"/>
      <c r="D332" s="8"/>
      <c r="E332" s="8">
        <v>7</v>
      </c>
      <c r="F332" s="8">
        <v>7</v>
      </c>
      <c r="G332" s="9">
        <f t="shared" si="81"/>
        <v>0</v>
      </c>
      <c r="H332" s="9">
        <f t="shared" si="82"/>
        <v>17</v>
      </c>
      <c r="I332" s="10">
        <f t="shared" si="83"/>
        <v>0</v>
      </c>
    </row>
    <row r="333" spans="1:9" ht="12.75">
      <c r="A333" s="8" t="s">
        <v>16</v>
      </c>
      <c r="B333" s="9">
        <f t="shared" si="80"/>
        <v>14</v>
      </c>
      <c r="C333" s="8"/>
      <c r="D333" s="8"/>
      <c r="E333" s="8">
        <v>5</v>
      </c>
      <c r="F333" s="8">
        <v>4</v>
      </c>
      <c r="G333" s="9">
        <f>E333-C333</f>
        <v>5</v>
      </c>
      <c r="H333" s="9">
        <f t="shared" si="82"/>
        <v>9</v>
      </c>
      <c r="I333" s="10">
        <f t="shared" si="83"/>
        <v>30</v>
      </c>
    </row>
    <row r="334" spans="1:9" ht="12.75">
      <c r="A334" s="8" t="s">
        <v>17</v>
      </c>
      <c r="B334" s="9">
        <f t="shared" si="80"/>
        <v>30</v>
      </c>
      <c r="C334" s="8"/>
      <c r="D334" s="8"/>
      <c r="E334" s="8">
        <v>4</v>
      </c>
      <c r="F334" s="8">
        <v>3</v>
      </c>
      <c r="G334" s="9">
        <f t="shared" ref="G334:G347" si="84">E334-F334</f>
        <v>1</v>
      </c>
      <c r="H334" s="9">
        <f t="shared" si="82"/>
        <v>29</v>
      </c>
      <c r="I334" s="10">
        <f t="shared" si="83"/>
        <v>6</v>
      </c>
    </row>
    <row r="335" spans="1:9" ht="12.75">
      <c r="A335" s="8" t="s">
        <v>18</v>
      </c>
      <c r="B335" s="9">
        <f t="shared" si="80"/>
        <v>23</v>
      </c>
      <c r="C335" s="8"/>
      <c r="D335" s="8"/>
      <c r="E335" s="8">
        <v>6</v>
      </c>
      <c r="F335" s="8">
        <v>5</v>
      </c>
      <c r="G335" s="9">
        <f t="shared" si="84"/>
        <v>1</v>
      </c>
      <c r="H335" s="9">
        <f t="shared" si="82"/>
        <v>22</v>
      </c>
      <c r="I335" s="10">
        <f t="shared" si="83"/>
        <v>6</v>
      </c>
    </row>
    <row r="336" spans="1:9" ht="12.75">
      <c r="A336" s="8" t="s">
        <v>19</v>
      </c>
      <c r="B336" s="9">
        <f t="shared" si="80"/>
        <v>16</v>
      </c>
      <c r="C336" s="8">
        <v>1</v>
      </c>
      <c r="D336" s="8"/>
      <c r="E336" s="8">
        <v>6</v>
      </c>
      <c r="F336" s="8">
        <v>4</v>
      </c>
      <c r="G336" s="9">
        <f t="shared" si="84"/>
        <v>2</v>
      </c>
      <c r="H336" s="9">
        <f t="shared" si="82"/>
        <v>13</v>
      </c>
      <c r="I336" s="10">
        <f t="shared" si="83"/>
        <v>12</v>
      </c>
    </row>
    <row r="337" spans="1:9" ht="12.75">
      <c r="A337" s="8" t="s">
        <v>20</v>
      </c>
      <c r="B337" s="9">
        <f t="shared" si="80"/>
        <v>28</v>
      </c>
      <c r="C337" s="8"/>
      <c r="D337" s="8"/>
      <c r="E337" s="8">
        <v>6</v>
      </c>
      <c r="F337" s="8">
        <v>5</v>
      </c>
      <c r="G337" s="9">
        <f t="shared" si="84"/>
        <v>1</v>
      </c>
      <c r="H337" s="9">
        <f t="shared" si="82"/>
        <v>27</v>
      </c>
      <c r="I337" s="10">
        <f t="shared" si="83"/>
        <v>6</v>
      </c>
    </row>
    <row r="338" spans="1:9" ht="12.75">
      <c r="A338" s="8" t="s">
        <v>21</v>
      </c>
      <c r="B338" s="9">
        <f t="shared" si="80"/>
        <v>17</v>
      </c>
      <c r="C338" s="8"/>
      <c r="D338" s="8"/>
      <c r="E338" s="8">
        <v>2</v>
      </c>
      <c r="F338" s="8">
        <v>1</v>
      </c>
      <c r="G338" s="9">
        <f t="shared" si="84"/>
        <v>1</v>
      </c>
      <c r="H338" s="9">
        <f t="shared" si="82"/>
        <v>16</v>
      </c>
      <c r="I338" s="10">
        <f t="shared" si="83"/>
        <v>6</v>
      </c>
    </row>
    <row r="339" spans="1:9" ht="12.75">
      <c r="A339" s="8" t="s">
        <v>22</v>
      </c>
      <c r="B339" s="9">
        <f t="shared" si="80"/>
        <v>10</v>
      </c>
      <c r="C339" s="8"/>
      <c r="D339" s="8"/>
      <c r="E339" s="8">
        <v>5</v>
      </c>
      <c r="F339" s="8">
        <v>5</v>
      </c>
      <c r="G339" s="9">
        <f t="shared" si="84"/>
        <v>0</v>
      </c>
      <c r="H339" s="9">
        <f t="shared" si="82"/>
        <v>10</v>
      </c>
      <c r="I339" s="10">
        <f t="shared" si="83"/>
        <v>0</v>
      </c>
    </row>
    <row r="340" spans="1:9" ht="12.75">
      <c r="A340" s="8" t="s">
        <v>23</v>
      </c>
      <c r="B340" s="9">
        <f t="shared" si="80"/>
        <v>25</v>
      </c>
      <c r="C340" s="8"/>
      <c r="D340" s="8"/>
      <c r="E340" s="8">
        <v>6</v>
      </c>
      <c r="F340" s="8">
        <v>5</v>
      </c>
      <c r="G340" s="9">
        <f t="shared" si="84"/>
        <v>1</v>
      </c>
      <c r="H340" s="9">
        <f t="shared" si="82"/>
        <v>24</v>
      </c>
      <c r="I340" s="10">
        <f t="shared" si="83"/>
        <v>6</v>
      </c>
    </row>
    <row r="341" spans="1:9" ht="12.75">
      <c r="A341" s="8" t="s">
        <v>24</v>
      </c>
      <c r="B341" s="9">
        <f t="shared" si="80"/>
        <v>16</v>
      </c>
      <c r="C341" s="8">
        <v>1</v>
      </c>
      <c r="D341" s="8"/>
      <c r="E341" s="8">
        <v>4</v>
      </c>
      <c r="F341" s="8">
        <v>3</v>
      </c>
      <c r="G341" s="9">
        <f t="shared" si="84"/>
        <v>1</v>
      </c>
      <c r="H341" s="9">
        <f t="shared" si="82"/>
        <v>14</v>
      </c>
      <c r="I341" s="10">
        <f t="shared" si="83"/>
        <v>6</v>
      </c>
    </row>
    <row r="342" spans="1:9" ht="12.75">
      <c r="A342" s="8" t="s">
        <v>25</v>
      </c>
      <c r="B342" s="9">
        <f t="shared" si="80"/>
        <v>14</v>
      </c>
      <c r="C342" s="8">
        <v>3</v>
      </c>
      <c r="D342" s="8">
        <v>29</v>
      </c>
      <c r="E342" s="8">
        <v>11</v>
      </c>
      <c r="F342" s="8">
        <v>4</v>
      </c>
      <c r="G342" s="9">
        <f t="shared" si="84"/>
        <v>7</v>
      </c>
      <c r="H342" s="9">
        <f t="shared" si="82"/>
        <v>33</v>
      </c>
      <c r="I342" s="10">
        <f t="shared" si="83"/>
        <v>42</v>
      </c>
    </row>
    <row r="343" spans="1:9" ht="12.75">
      <c r="A343" s="8" t="s">
        <v>26</v>
      </c>
      <c r="B343" s="9">
        <f t="shared" si="80"/>
        <v>31</v>
      </c>
      <c r="C343" s="8"/>
      <c r="D343" s="8"/>
      <c r="E343" s="8">
        <v>6</v>
      </c>
      <c r="F343" s="8">
        <v>5</v>
      </c>
      <c r="G343" s="9">
        <f t="shared" si="84"/>
        <v>1</v>
      </c>
      <c r="H343" s="9">
        <f t="shared" si="82"/>
        <v>30</v>
      </c>
      <c r="I343" s="10">
        <f t="shared" si="83"/>
        <v>6</v>
      </c>
    </row>
    <row r="344" spans="1:9" ht="12.75">
      <c r="A344" s="8" t="s">
        <v>27</v>
      </c>
      <c r="B344" s="9">
        <f t="shared" si="80"/>
        <v>20</v>
      </c>
      <c r="C344" s="8"/>
      <c r="D344" s="8"/>
      <c r="E344" s="8">
        <v>5</v>
      </c>
      <c r="F344" s="8">
        <v>5</v>
      </c>
      <c r="G344" s="9">
        <f t="shared" si="84"/>
        <v>0</v>
      </c>
      <c r="H344" s="9">
        <f t="shared" si="82"/>
        <v>20</v>
      </c>
      <c r="I344" s="10">
        <f t="shared" si="83"/>
        <v>0</v>
      </c>
    </row>
    <row r="345" spans="1:9" ht="12.75">
      <c r="A345" s="8" t="s">
        <v>28</v>
      </c>
      <c r="B345" s="9">
        <f t="shared" si="80"/>
        <v>29</v>
      </c>
      <c r="C345" s="8"/>
      <c r="D345" s="8"/>
      <c r="E345" s="8">
        <v>8</v>
      </c>
      <c r="F345" s="8">
        <v>6</v>
      </c>
      <c r="G345" s="9">
        <f t="shared" si="84"/>
        <v>2</v>
      </c>
      <c r="H345" s="9">
        <f t="shared" si="82"/>
        <v>27</v>
      </c>
      <c r="I345" s="10">
        <f t="shared" si="83"/>
        <v>12</v>
      </c>
    </row>
    <row r="346" spans="1:9" ht="12.75">
      <c r="A346" s="8" t="s">
        <v>30</v>
      </c>
      <c r="B346" s="9">
        <f t="shared" si="80"/>
        <v>23</v>
      </c>
      <c r="C346" s="8"/>
      <c r="D346" s="8"/>
      <c r="E346" s="8">
        <v>2</v>
      </c>
      <c r="F346" s="8">
        <v>1</v>
      </c>
      <c r="G346" s="9">
        <f t="shared" si="84"/>
        <v>1</v>
      </c>
      <c r="H346" s="9">
        <f t="shared" si="82"/>
        <v>22</v>
      </c>
      <c r="I346" s="10">
        <f t="shared" si="83"/>
        <v>6</v>
      </c>
    </row>
    <row r="347" spans="1:9" ht="12.75">
      <c r="A347" s="13" t="s">
        <v>86</v>
      </c>
      <c r="B347" s="9">
        <f t="shared" si="80"/>
        <v>31</v>
      </c>
      <c r="C347" s="8"/>
      <c r="D347" s="8"/>
      <c r="E347" s="8">
        <v>4</v>
      </c>
      <c r="F347" s="8">
        <v>4</v>
      </c>
      <c r="G347" s="9">
        <f t="shared" si="84"/>
        <v>0</v>
      </c>
      <c r="H347" s="9">
        <f t="shared" si="82"/>
        <v>31</v>
      </c>
      <c r="I347" s="10">
        <f t="shared" si="83"/>
        <v>0</v>
      </c>
    </row>
    <row r="348" spans="1:9" ht="12.75">
      <c r="A348" s="14" t="s">
        <v>33</v>
      </c>
      <c r="B348" s="15">
        <f>SUM(B327:B347)</f>
        <v>478</v>
      </c>
      <c r="C348" s="14"/>
      <c r="D348" s="14"/>
      <c r="E348" s="15">
        <f t="shared" ref="E348:G348" si="85">SUM(E326:E347)</f>
        <v>116</v>
      </c>
      <c r="F348" s="15">
        <f t="shared" si="85"/>
        <v>87</v>
      </c>
      <c r="G348" s="15">
        <f t="shared" si="85"/>
        <v>33</v>
      </c>
      <c r="H348" s="15">
        <f>SUM(H327:H347)</f>
        <v>493</v>
      </c>
      <c r="I348" s="16">
        <f>SUM(I326:I347)</f>
        <v>198</v>
      </c>
    </row>
    <row r="349" spans="1:9" ht="12.75">
      <c r="A349" s="17"/>
      <c r="B349" s="17"/>
      <c r="C349" s="17"/>
      <c r="D349" s="17"/>
      <c r="E349" s="17"/>
      <c r="F349" s="134" t="s">
        <v>34</v>
      </c>
      <c r="G349" s="133"/>
      <c r="H349" s="18"/>
      <c r="I349" s="19"/>
    </row>
    <row r="350" spans="1:9" ht="12.75">
      <c r="A350" s="17"/>
      <c r="B350" s="24"/>
      <c r="C350" s="24"/>
      <c r="D350" s="24"/>
      <c r="E350" s="135" t="s">
        <v>87</v>
      </c>
      <c r="F350" s="132"/>
      <c r="G350" s="133"/>
      <c r="H350" s="25"/>
      <c r="I350" s="26">
        <f>SUM(I327:I347)</f>
        <v>198</v>
      </c>
    </row>
    <row r="352" spans="1:9">
      <c r="A352" s="1"/>
      <c r="B352" s="131" t="s">
        <v>118</v>
      </c>
      <c r="C352" s="132"/>
      <c r="D352" s="132"/>
      <c r="E352" s="132"/>
      <c r="F352" s="132"/>
      <c r="G352" s="132"/>
      <c r="H352" s="132"/>
      <c r="I352" s="133"/>
    </row>
    <row r="353" spans="1:9" ht="45">
      <c r="A353" s="2" t="s">
        <v>1</v>
      </c>
      <c r="B353" s="3" t="s">
        <v>2</v>
      </c>
      <c r="C353" s="4" t="s">
        <v>3</v>
      </c>
      <c r="D353" s="5" t="s">
        <v>4</v>
      </c>
      <c r="E353" s="2" t="s">
        <v>5</v>
      </c>
      <c r="F353" s="2" t="s">
        <v>6</v>
      </c>
      <c r="G353" s="2" t="s">
        <v>7</v>
      </c>
      <c r="H353" s="6" t="s">
        <v>8</v>
      </c>
      <c r="I353" s="7" t="s">
        <v>9</v>
      </c>
    </row>
    <row r="354" spans="1:9" ht="12.75">
      <c r="A354" s="8" t="s">
        <v>10</v>
      </c>
      <c r="B354" s="9">
        <f t="shared" ref="B354:B374" si="86">H327</f>
        <v>13</v>
      </c>
      <c r="C354" s="8"/>
      <c r="D354" s="8">
        <v>34</v>
      </c>
      <c r="E354" s="8">
        <v>6</v>
      </c>
      <c r="F354" s="8">
        <v>4</v>
      </c>
      <c r="G354" s="9">
        <f t="shared" ref="G354:G374" si="87">E354-F354</f>
        <v>2</v>
      </c>
      <c r="H354" s="9">
        <f t="shared" ref="H354:H374" si="88">B354-C354+D354-G354</f>
        <v>45</v>
      </c>
      <c r="I354" s="10">
        <f t="shared" ref="I354:I374" si="89">G354*6</f>
        <v>12</v>
      </c>
    </row>
    <row r="355" spans="1:9" ht="12.75">
      <c r="A355" s="8" t="s">
        <v>11</v>
      </c>
      <c r="B355" s="9">
        <f t="shared" si="86"/>
        <v>27</v>
      </c>
      <c r="C355" s="8"/>
      <c r="D355" s="8"/>
      <c r="E355" s="8">
        <v>6</v>
      </c>
      <c r="F355" s="8">
        <v>3</v>
      </c>
      <c r="G355" s="9">
        <f t="shared" si="87"/>
        <v>3</v>
      </c>
      <c r="H355" s="9">
        <f t="shared" si="88"/>
        <v>24</v>
      </c>
      <c r="I355" s="10">
        <f t="shared" si="89"/>
        <v>18</v>
      </c>
    </row>
    <row r="356" spans="1:9" ht="12.75">
      <c r="A356" s="8" t="s">
        <v>12</v>
      </c>
      <c r="B356" s="9">
        <f t="shared" si="86"/>
        <v>41</v>
      </c>
      <c r="C356" s="8"/>
      <c r="D356" s="8"/>
      <c r="E356" s="8">
        <v>6</v>
      </c>
      <c r="F356" s="8">
        <v>6</v>
      </c>
      <c r="G356" s="9">
        <f t="shared" si="87"/>
        <v>0</v>
      </c>
      <c r="H356" s="9">
        <f t="shared" si="88"/>
        <v>41</v>
      </c>
      <c r="I356" s="10">
        <f t="shared" si="89"/>
        <v>0</v>
      </c>
    </row>
    <row r="357" spans="1:9" ht="12.75">
      <c r="A357" s="8" t="s">
        <v>13</v>
      </c>
      <c r="B357" s="9">
        <f t="shared" si="86"/>
        <v>35</v>
      </c>
      <c r="C357" s="8"/>
      <c r="D357" s="8"/>
      <c r="E357" s="8">
        <v>7</v>
      </c>
      <c r="F357" s="8">
        <v>7</v>
      </c>
      <c r="G357" s="9">
        <f t="shared" si="87"/>
        <v>0</v>
      </c>
      <c r="H357" s="9">
        <f t="shared" si="88"/>
        <v>35</v>
      </c>
      <c r="I357" s="10">
        <f t="shared" si="89"/>
        <v>0</v>
      </c>
    </row>
    <row r="358" spans="1:9" ht="12.75">
      <c r="A358" s="8" t="s">
        <v>14</v>
      </c>
      <c r="B358" s="9">
        <f t="shared" si="86"/>
        <v>33</v>
      </c>
      <c r="C358" s="8"/>
      <c r="D358" s="8"/>
      <c r="E358" s="8">
        <v>4</v>
      </c>
      <c r="F358" s="8">
        <v>2</v>
      </c>
      <c r="G358" s="9">
        <f t="shared" si="87"/>
        <v>2</v>
      </c>
      <c r="H358" s="9">
        <f t="shared" si="88"/>
        <v>31</v>
      </c>
      <c r="I358" s="10">
        <f t="shared" si="89"/>
        <v>12</v>
      </c>
    </row>
    <row r="359" spans="1:9" ht="12.75">
      <c r="A359" s="8" t="s">
        <v>15</v>
      </c>
      <c r="B359" s="9">
        <f t="shared" si="86"/>
        <v>17</v>
      </c>
      <c r="C359" s="8"/>
      <c r="D359" s="8"/>
      <c r="E359" s="8">
        <v>6</v>
      </c>
      <c r="F359" s="8">
        <v>2</v>
      </c>
      <c r="G359" s="9">
        <f t="shared" si="87"/>
        <v>4</v>
      </c>
      <c r="H359" s="9">
        <f t="shared" si="88"/>
        <v>13</v>
      </c>
      <c r="I359" s="10">
        <f t="shared" si="89"/>
        <v>24</v>
      </c>
    </row>
    <row r="360" spans="1:9" ht="12.75">
      <c r="A360" s="8" t="s">
        <v>16</v>
      </c>
      <c r="B360" s="9">
        <f t="shared" si="86"/>
        <v>9</v>
      </c>
      <c r="C360" s="8"/>
      <c r="D360" s="8"/>
      <c r="E360" s="8">
        <v>5</v>
      </c>
      <c r="F360" s="8">
        <v>5</v>
      </c>
      <c r="G360" s="9">
        <f t="shared" si="87"/>
        <v>0</v>
      </c>
      <c r="H360" s="9">
        <f t="shared" si="88"/>
        <v>9</v>
      </c>
      <c r="I360" s="10">
        <f t="shared" si="89"/>
        <v>0</v>
      </c>
    </row>
    <row r="361" spans="1:9" ht="12.75">
      <c r="A361" s="8" t="s">
        <v>17</v>
      </c>
      <c r="B361" s="9">
        <f t="shared" si="86"/>
        <v>29</v>
      </c>
      <c r="C361" s="8"/>
      <c r="D361" s="8"/>
      <c r="E361" s="8">
        <v>4</v>
      </c>
      <c r="F361" s="8"/>
      <c r="G361" s="9">
        <f t="shared" si="87"/>
        <v>4</v>
      </c>
      <c r="H361" s="9">
        <f t="shared" si="88"/>
        <v>25</v>
      </c>
      <c r="I361" s="10">
        <f t="shared" si="89"/>
        <v>24</v>
      </c>
    </row>
    <row r="362" spans="1:9" ht="12.75">
      <c r="A362" s="8" t="s">
        <v>18</v>
      </c>
      <c r="B362" s="9">
        <f t="shared" si="86"/>
        <v>22</v>
      </c>
      <c r="C362" s="8"/>
      <c r="D362" s="8"/>
      <c r="E362" s="8">
        <v>6</v>
      </c>
      <c r="F362" s="8">
        <v>6</v>
      </c>
      <c r="G362" s="9">
        <f t="shared" si="87"/>
        <v>0</v>
      </c>
      <c r="H362" s="9">
        <f t="shared" si="88"/>
        <v>22</v>
      </c>
      <c r="I362" s="10">
        <f t="shared" si="89"/>
        <v>0</v>
      </c>
    </row>
    <row r="363" spans="1:9" ht="12.75">
      <c r="A363" s="8" t="s">
        <v>19</v>
      </c>
      <c r="B363" s="9">
        <f t="shared" si="86"/>
        <v>13</v>
      </c>
      <c r="C363" s="8"/>
      <c r="D363" s="8"/>
      <c r="E363" s="8">
        <v>6</v>
      </c>
      <c r="F363" s="8">
        <v>5</v>
      </c>
      <c r="G363" s="9">
        <f t="shared" si="87"/>
        <v>1</v>
      </c>
      <c r="H363" s="9">
        <f t="shared" si="88"/>
        <v>12</v>
      </c>
      <c r="I363" s="10">
        <f t="shared" si="89"/>
        <v>6</v>
      </c>
    </row>
    <row r="364" spans="1:9" ht="12.75">
      <c r="A364" s="8" t="s">
        <v>20</v>
      </c>
      <c r="B364" s="9">
        <f t="shared" si="86"/>
        <v>27</v>
      </c>
      <c r="C364" s="8"/>
      <c r="D364" s="8"/>
      <c r="E364" s="8">
        <v>6</v>
      </c>
      <c r="F364" s="8">
        <v>5</v>
      </c>
      <c r="G364" s="9">
        <f t="shared" si="87"/>
        <v>1</v>
      </c>
      <c r="H364" s="9">
        <f t="shared" si="88"/>
        <v>26</v>
      </c>
      <c r="I364" s="10">
        <f t="shared" si="89"/>
        <v>6</v>
      </c>
    </row>
    <row r="365" spans="1:9" ht="12.75">
      <c r="A365" s="8" t="s">
        <v>21</v>
      </c>
      <c r="B365" s="9">
        <f t="shared" si="86"/>
        <v>16</v>
      </c>
      <c r="C365" s="8"/>
      <c r="D365" s="8"/>
      <c r="E365" s="8">
        <v>2</v>
      </c>
      <c r="F365" s="8">
        <v>1</v>
      </c>
      <c r="G365" s="9">
        <f t="shared" si="87"/>
        <v>1</v>
      </c>
      <c r="H365" s="9">
        <f t="shared" si="88"/>
        <v>15</v>
      </c>
      <c r="I365" s="10">
        <f t="shared" si="89"/>
        <v>6</v>
      </c>
    </row>
    <row r="366" spans="1:9" ht="12.75">
      <c r="A366" s="8" t="s">
        <v>22</v>
      </c>
      <c r="B366" s="9">
        <f t="shared" si="86"/>
        <v>10</v>
      </c>
      <c r="C366" s="8"/>
      <c r="D366" s="8"/>
      <c r="E366" s="8">
        <v>5</v>
      </c>
      <c r="F366" s="8">
        <v>3</v>
      </c>
      <c r="G366" s="9">
        <f t="shared" si="87"/>
        <v>2</v>
      </c>
      <c r="H366" s="9">
        <f t="shared" si="88"/>
        <v>8</v>
      </c>
      <c r="I366" s="10">
        <f t="shared" si="89"/>
        <v>12</v>
      </c>
    </row>
    <row r="367" spans="1:9" ht="12.75">
      <c r="A367" s="8" t="s">
        <v>23</v>
      </c>
      <c r="B367" s="9">
        <f t="shared" si="86"/>
        <v>24</v>
      </c>
      <c r="C367" s="8"/>
      <c r="D367" s="8"/>
      <c r="E367" s="8">
        <v>6</v>
      </c>
      <c r="F367" s="8">
        <v>6</v>
      </c>
      <c r="G367" s="9">
        <f t="shared" si="87"/>
        <v>0</v>
      </c>
      <c r="H367" s="9">
        <f t="shared" si="88"/>
        <v>24</v>
      </c>
      <c r="I367" s="10">
        <f t="shared" si="89"/>
        <v>0</v>
      </c>
    </row>
    <row r="368" spans="1:9" ht="12.75">
      <c r="A368" s="8" t="s">
        <v>24</v>
      </c>
      <c r="B368" s="9">
        <f t="shared" si="86"/>
        <v>14</v>
      </c>
      <c r="C368" s="8"/>
      <c r="D368" s="8"/>
      <c r="E368" s="8">
        <v>4</v>
      </c>
      <c r="F368" s="8">
        <v>3</v>
      </c>
      <c r="G368" s="9">
        <f t="shared" si="87"/>
        <v>1</v>
      </c>
      <c r="H368" s="9">
        <f t="shared" si="88"/>
        <v>13</v>
      </c>
      <c r="I368" s="10">
        <f t="shared" si="89"/>
        <v>6</v>
      </c>
    </row>
    <row r="369" spans="1:9" ht="12.75">
      <c r="A369" s="8" t="s">
        <v>25</v>
      </c>
      <c r="B369" s="9">
        <f t="shared" si="86"/>
        <v>33</v>
      </c>
      <c r="C369" s="8"/>
      <c r="D369" s="8"/>
      <c r="E369" s="8">
        <v>10</v>
      </c>
      <c r="F369" s="8">
        <v>5</v>
      </c>
      <c r="G369" s="9">
        <f t="shared" si="87"/>
        <v>5</v>
      </c>
      <c r="H369" s="9">
        <f t="shared" si="88"/>
        <v>28</v>
      </c>
      <c r="I369" s="10">
        <f t="shared" si="89"/>
        <v>30</v>
      </c>
    </row>
    <row r="370" spans="1:9" ht="12.75">
      <c r="A370" s="8" t="s">
        <v>26</v>
      </c>
      <c r="B370" s="9">
        <f t="shared" si="86"/>
        <v>30</v>
      </c>
      <c r="C370" s="8"/>
      <c r="D370" s="8"/>
      <c r="E370" s="8">
        <v>6</v>
      </c>
      <c r="F370" s="8">
        <v>6</v>
      </c>
      <c r="G370" s="9">
        <f t="shared" si="87"/>
        <v>0</v>
      </c>
      <c r="H370" s="9">
        <f t="shared" si="88"/>
        <v>30</v>
      </c>
      <c r="I370" s="10">
        <f t="shared" si="89"/>
        <v>0</v>
      </c>
    </row>
    <row r="371" spans="1:9" ht="12.75">
      <c r="A371" s="8" t="s">
        <v>27</v>
      </c>
      <c r="B371" s="9">
        <f t="shared" si="86"/>
        <v>20</v>
      </c>
      <c r="C371" s="8"/>
      <c r="D371" s="8"/>
      <c r="E371" s="8">
        <v>4</v>
      </c>
      <c r="F371" s="8">
        <v>3</v>
      </c>
      <c r="G371" s="9">
        <f t="shared" si="87"/>
        <v>1</v>
      </c>
      <c r="H371" s="9">
        <f t="shared" si="88"/>
        <v>19</v>
      </c>
      <c r="I371" s="10">
        <f t="shared" si="89"/>
        <v>6</v>
      </c>
    </row>
    <row r="372" spans="1:9" ht="12.75">
      <c r="A372" s="8" t="s">
        <v>28</v>
      </c>
      <c r="B372" s="9">
        <f t="shared" si="86"/>
        <v>27</v>
      </c>
      <c r="C372" s="8"/>
      <c r="D372" s="8"/>
      <c r="E372" s="8">
        <v>8</v>
      </c>
      <c r="F372" s="8">
        <v>5</v>
      </c>
      <c r="G372" s="9">
        <f t="shared" si="87"/>
        <v>3</v>
      </c>
      <c r="H372" s="9">
        <f t="shared" si="88"/>
        <v>24</v>
      </c>
      <c r="I372" s="10">
        <f t="shared" si="89"/>
        <v>18</v>
      </c>
    </row>
    <row r="373" spans="1:9" ht="12.75">
      <c r="A373" s="8" t="s">
        <v>30</v>
      </c>
      <c r="B373" s="9">
        <f t="shared" si="86"/>
        <v>22</v>
      </c>
      <c r="C373" s="8"/>
      <c r="D373" s="8"/>
      <c r="E373" s="8">
        <v>2</v>
      </c>
      <c r="F373" s="8">
        <v>0</v>
      </c>
      <c r="G373" s="9">
        <f t="shared" si="87"/>
        <v>2</v>
      </c>
      <c r="H373" s="9">
        <f t="shared" si="88"/>
        <v>20</v>
      </c>
      <c r="I373" s="10">
        <f t="shared" si="89"/>
        <v>12</v>
      </c>
    </row>
    <row r="374" spans="1:9" ht="12.75">
      <c r="A374" s="13" t="s">
        <v>86</v>
      </c>
      <c r="B374" s="9">
        <f t="shared" si="86"/>
        <v>31</v>
      </c>
      <c r="C374" s="8"/>
      <c r="D374" s="8"/>
      <c r="E374" s="8">
        <v>4</v>
      </c>
      <c r="F374" s="8">
        <v>4</v>
      </c>
      <c r="G374" s="9">
        <f t="shared" si="87"/>
        <v>0</v>
      </c>
      <c r="H374" s="9">
        <f t="shared" si="88"/>
        <v>31</v>
      </c>
      <c r="I374" s="10">
        <f t="shared" si="89"/>
        <v>0</v>
      </c>
    </row>
    <row r="375" spans="1:9" ht="12.75">
      <c r="A375" s="14" t="s">
        <v>33</v>
      </c>
      <c r="B375" s="15">
        <f>SUM(B354:B374)</f>
        <v>493</v>
      </c>
      <c r="C375" s="14"/>
      <c r="D375" s="14"/>
      <c r="E375" s="15">
        <f t="shared" ref="E375:G375" si="90">SUM(E353:E374)</f>
        <v>113</v>
      </c>
      <c r="F375" s="15">
        <f t="shared" si="90"/>
        <v>81</v>
      </c>
      <c r="G375" s="15">
        <f t="shared" si="90"/>
        <v>32</v>
      </c>
      <c r="H375" s="15">
        <f>SUM(H354:H374)</f>
        <v>495</v>
      </c>
      <c r="I375" s="16">
        <f>SUM(I353:I374)</f>
        <v>192</v>
      </c>
    </row>
    <row r="376" spans="1:9" ht="12.75">
      <c r="A376" s="17"/>
      <c r="B376" s="17"/>
      <c r="C376" s="17"/>
      <c r="D376" s="17"/>
      <c r="E376" s="17"/>
      <c r="F376" s="134" t="s">
        <v>34</v>
      </c>
      <c r="G376" s="133"/>
      <c r="H376" s="18"/>
      <c r="I376" s="19"/>
    </row>
    <row r="377" spans="1:9" ht="12.75">
      <c r="A377" s="17"/>
      <c r="B377" s="24"/>
      <c r="C377" s="24"/>
      <c r="D377" s="24"/>
      <c r="E377" s="135" t="s">
        <v>87</v>
      </c>
      <c r="F377" s="132"/>
      <c r="G377" s="133"/>
      <c r="H377" s="25"/>
      <c r="I377" s="26">
        <f>SUM(I354:I374)</f>
        <v>192</v>
      </c>
    </row>
    <row r="379" spans="1:9">
      <c r="A379" s="1"/>
      <c r="B379" s="131" t="s">
        <v>119</v>
      </c>
      <c r="C379" s="132"/>
      <c r="D379" s="132"/>
      <c r="E379" s="132"/>
      <c r="F379" s="132"/>
      <c r="G379" s="132"/>
      <c r="H379" s="132"/>
      <c r="I379" s="133"/>
    </row>
    <row r="380" spans="1:9" ht="45">
      <c r="A380" s="2" t="s">
        <v>1</v>
      </c>
      <c r="B380" s="3" t="s">
        <v>2</v>
      </c>
      <c r="C380" s="4" t="s">
        <v>3</v>
      </c>
      <c r="D380" s="5" t="s">
        <v>4</v>
      </c>
      <c r="E380" s="2" t="s">
        <v>5</v>
      </c>
      <c r="F380" s="2" t="s">
        <v>6</v>
      </c>
      <c r="G380" s="2" t="s">
        <v>7</v>
      </c>
      <c r="H380" s="6" t="s">
        <v>8</v>
      </c>
      <c r="I380" s="7" t="s">
        <v>9</v>
      </c>
    </row>
    <row r="381" spans="1:9" ht="12.75">
      <c r="A381" s="8" t="s">
        <v>10</v>
      </c>
      <c r="B381" s="9">
        <f t="shared" ref="B381:B401" si="91">H354</f>
        <v>45</v>
      </c>
      <c r="C381" s="8">
        <v>1</v>
      </c>
      <c r="D381" s="8"/>
      <c r="E381" s="8">
        <v>6</v>
      </c>
      <c r="F381" s="8">
        <v>1</v>
      </c>
      <c r="G381" s="9">
        <f t="shared" ref="G381:G401" si="92">E381-F381</f>
        <v>5</v>
      </c>
      <c r="H381" s="9">
        <f t="shared" ref="H381:H401" si="93">B381-C381+D381-G381</f>
        <v>39</v>
      </c>
      <c r="I381" s="10">
        <f t="shared" ref="I381:I401" si="94">G381*6</f>
        <v>30</v>
      </c>
    </row>
    <row r="382" spans="1:9" ht="12.75">
      <c r="A382" s="8" t="s">
        <v>11</v>
      </c>
      <c r="B382" s="9">
        <f t="shared" si="91"/>
        <v>24</v>
      </c>
      <c r="C382" s="8"/>
      <c r="D382" s="8"/>
      <c r="E382" s="8">
        <v>6</v>
      </c>
      <c r="F382" s="8">
        <v>0</v>
      </c>
      <c r="G382" s="9">
        <f t="shared" si="92"/>
        <v>6</v>
      </c>
      <c r="H382" s="9">
        <f t="shared" si="93"/>
        <v>18</v>
      </c>
      <c r="I382" s="10">
        <f t="shared" si="94"/>
        <v>36</v>
      </c>
    </row>
    <row r="383" spans="1:9" ht="12.75">
      <c r="A383" s="8" t="s">
        <v>12</v>
      </c>
      <c r="B383" s="9">
        <f t="shared" si="91"/>
        <v>41</v>
      </c>
      <c r="C383" s="8"/>
      <c r="D383" s="8"/>
      <c r="E383" s="8">
        <v>6</v>
      </c>
      <c r="F383" s="8">
        <v>4</v>
      </c>
      <c r="G383" s="9">
        <f t="shared" si="92"/>
        <v>2</v>
      </c>
      <c r="H383" s="9">
        <f t="shared" si="93"/>
        <v>39</v>
      </c>
      <c r="I383" s="10">
        <f t="shared" si="94"/>
        <v>12</v>
      </c>
    </row>
    <row r="384" spans="1:9" ht="12.75">
      <c r="A384" s="8" t="s">
        <v>13</v>
      </c>
      <c r="B384" s="9">
        <f t="shared" si="91"/>
        <v>35</v>
      </c>
      <c r="C384" s="8"/>
      <c r="D384" s="8"/>
      <c r="E384" s="8">
        <v>7</v>
      </c>
      <c r="F384" s="8">
        <v>3</v>
      </c>
      <c r="G384" s="9">
        <f t="shared" si="92"/>
        <v>4</v>
      </c>
      <c r="H384" s="9">
        <f t="shared" si="93"/>
        <v>31</v>
      </c>
      <c r="I384" s="10">
        <f t="shared" si="94"/>
        <v>24</v>
      </c>
    </row>
    <row r="385" spans="1:9" ht="12.75">
      <c r="A385" s="8" t="s">
        <v>14</v>
      </c>
      <c r="B385" s="9">
        <f t="shared" si="91"/>
        <v>31</v>
      </c>
      <c r="C385" s="8">
        <v>1</v>
      </c>
      <c r="D385" s="8"/>
      <c r="E385" s="8">
        <v>4</v>
      </c>
      <c r="F385" s="8">
        <v>2</v>
      </c>
      <c r="G385" s="9">
        <f t="shared" si="92"/>
        <v>2</v>
      </c>
      <c r="H385" s="9">
        <f t="shared" si="93"/>
        <v>28</v>
      </c>
      <c r="I385" s="10">
        <f t="shared" si="94"/>
        <v>12</v>
      </c>
    </row>
    <row r="386" spans="1:9" ht="12.75">
      <c r="A386" s="8" t="s">
        <v>15</v>
      </c>
      <c r="B386" s="9">
        <f t="shared" si="91"/>
        <v>13</v>
      </c>
      <c r="C386" s="8"/>
      <c r="D386" s="8"/>
      <c r="E386" s="8">
        <v>6</v>
      </c>
      <c r="F386" s="8">
        <v>6</v>
      </c>
      <c r="G386" s="9">
        <f t="shared" si="92"/>
        <v>0</v>
      </c>
      <c r="H386" s="9">
        <f t="shared" si="93"/>
        <v>13</v>
      </c>
      <c r="I386" s="10">
        <f t="shared" si="94"/>
        <v>0</v>
      </c>
    </row>
    <row r="387" spans="1:9" ht="12.75">
      <c r="A387" s="8" t="s">
        <v>16</v>
      </c>
      <c r="B387" s="9">
        <f t="shared" si="91"/>
        <v>9</v>
      </c>
      <c r="C387" s="8"/>
      <c r="D387" s="8"/>
      <c r="E387" s="8">
        <v>5</v>
      </c>
      <c r="F387" s="8">
        <v>3</v>
      </c>
      <c r="G387" s="9">
        <f t="shared" si="92"/>
        <v>2</v>
      </c>
      <c r="H387" s="9">
        <f t="shared" si="93"/>
        <v>7</v>
      </c>
      <c r="I387" s="10">
        <f t="shared" si="94"/>
        <v>12</v>
      </c>
    </row>
    <row r="388" spans="1:9" ht="12.75">
      <c r="A388" s="8" t="s">
        <v>17</v>
      </c>
      <c r="B388" s="9">
        <f t="shared" si="91"/>
        <v>25</v>
      </c>
      <c r="C388" s="8"/>
      <c r="D388" s="8"/>
      <c r="E388" s="8">
        <v>4</v>
      </c>
      <c r="F388" s="8">
        <v>4</v>
      </c>
      <c r="G388" s="9">
        <f t="shared" si="92"/>
        <v>0</v>
      </c>
      <c r="H388" s="9">
        <f t="shared" si="93"/>
        <v>25</v>
      </c>
      <c r="I388" s="10">
        <f t="shared" si="94"/>
        <v>0</v>
      </c>
    </row>
    <row r="389" spans="1:9" ht="12.75">
      <c r="A389" s="8" t="s">
        <v>18</v>
      </c>
      <c r="B389" s="9">
        <f t="shared" si="91"/>
        <v>22</v>
      </c>
      <c r="C389" s="8"/>
      <c r="D389" s="8"/>
      <c r="E389" s="8">
        <v>6</v>
      </c>
      <c r="F389" s="8">
        <v>3</v>
      </c>
      <c r="G389" s="9">
        <f t="shared" si="92"/>
        <v>3</v>
      </c>
      <c r="H389" s="9">
        <f t="shared" si="93"/>
        <v>19</v>
      </c>
      <c r="I389" s="10">
        <f t="shared" si="94"/>
        <v>18</v>
      </c>
    </row>
    <row r="390" spans="1:9" ht="12.75">
      <c r="A390" s="8" t="s">
        <v>19</v>
      </c>
      <c r="B390" s="9">
        <f t="shared" si="91"/>
        <v>12</v>
      </c>
      <c r="C390" s="8"/>
      <c r="D390" s="8"/>
      <c r="E390" s="8">
        <v>6</v>
      </c>
      <c r="F390" s="8">
        <v>3</v>
      </c>
      <c r="G390" s="9">
        <f t="shared" si="92"/>
        <v>3</v>
      </c>
      <c r="H390" s="9">
        <f t="shared" si="93"/>
        <v>9</v>
      </c>
      <c r="I390" s="10">
        <f t="shared" si="94"/>
        <v>18</v>
      </c>
    </row>
    <row r="391" spans="1:9" ht="12.75">
      <c r="A391" s="8" t="s">
        <v>20</v>
      </c>
      <c r="B391" s="9">
        <f t="shared" si="91"/>
        <v>26</v>
      </c>
      <c r="C391" s="8"/>
      <c r="D391" s="8"/>
      <c r="E391" s="8">
        <v>6</v>
      </c>
      <c r="F391" s="8">
        <v>4</v>
      </c>
      <c r="G391" s="9">
        <f t="shared" si="92"/>
        <v>2</v>
      </c>
      <c r="H391" s="9">
        <f t="shared" si="93"/>
        <v>24</v>
      </c>
      <c r="I391" s="10">
        <f t="shared" si="94"/>
        <v>12</v>
      </c>
    </row>
    <row r="392" spans="1:9" ht="12.75">
      <c r="A392" s="8" t="s">
        <v>21</v>
      </c>
      <c r="B392" s="9">
        <f t="shared" si="91"/>
        <v>15</v>
      </c>
      <c r="C392" s="8"/>
      <c r="D392" s="8"/>
      <c r="E392" s="8">
        <v>2</v>
      </c>
      <c r="F392" s="8">
        <v>2</v>
      </c>
      <c r="G392" s="9">
        <f t="shared" si="92"/>
        <v>0</v>
      </c>
      <c r="H392" s="9">
        <f t="shared" si="93"/>
        <v>15</v>
      </c>
      <c r="I392" s="10">
        <f t="shared" si="94"/>
        <v>0</v>
      </c>
    </row>
    <row r="393" spans="1:9" ht="12.75">
      <c r="A393" s="8" t="s">
        <v>22</v>
      </c>
      <c r="B393" s="9">
        <f t="shared" si="91"/>
        <v>8</v>
      </c>
      <c r="C393" s="8"/>
      <c r="D393" s="8"/>
      <c r="E393" s="8">
        <v>5</v>
      </c>
      <c r="F393" s="8">
        <v>3</v>
      </c>
      <c r="G393" s="9">
        <f t="shared" si="92"/>
        <v>2</v>
      </c>
      <c r="H393" s="9">
        <f t="shared" si="93"/>
        <v>6</v>
      </c>
      <c r="I393" s="10">
        <f t="shared" si="94"/>
        <v>12</v>
      </c>
    </row>
    <row r="394" spans="1:9" ht="12.75">
      <c r="A394" s="8" t="s">
        <v>23</v>
      </c>
      <c r="B394" s="9">
        <f t="shared" si="91"/>
        <v>24</v>
      </c>
      <c r="C394" s="8"/>
      <c r="D394" s="8"/>
      <c r="E394" s="8">
        <v>6</v>
      </c>
      <c r="F394" s="8">
        <v>4</v>
      </c>
      <c r="G394" s="9">
        <f t="shared" si="92"/>
        <v>2</v>
      </c>
      <c r="H394" s="9">
        <f t="shared" si="93"/>
        <v>22</v>
      </c>
      <c r="I394" s="10">
        <f t="shared" si="94"/>
        <v>12</v>
      </c>
    </row>
    <row r="395" spans="1:9" ht="12.75">
      <c r="A395" s="8" t="s">
        <v>24</v>
      </c>
      <c r="B395" s="9">
        <f t="shared" si="91"/>
        <v>13</v>
      </c>
      <c r="C395" s="8">
        <v>1</v>
      </c>
      <c r="D395" s="8"/>
      <c r="E395" s="8">
        <v>4</v>
      </c>
      <c r="F395" s="8">
        <v>4</v>
      </c>
      <c r="G395" s="9">
        <f t="shared" si="92"/>
        <v>0</v>
      </c>
      <c r="H395" s="9">
        <f t="shared" si="93"/>
        <v>12</v>
      </c>
      <c r="I395" s="10">
        <f t="shared" si="94"/>
        <v>0</v>
      </c>
    </row>
    <row r="396" spans="1:9" ht="12.75">
      <c r="A396" s="8" t="s">
        <v>25</v>
      </c>
      <c r="B396" s="9">
        <f t="shared" si="91"/>
        <v>28</v>
      </c>
      <c r="C396" s="8"/>
      <c r="D396" s="8"/>
      <c r="E396" s="8">
        <v>10</v>
      </c>
      <c r="F396" s="8">
        <v>2</v>
      </c>
      <c r="G396" s="9">
        <f t="shared" si="92"/>
        <v>8</v>
      </c>
      <c r="H396" s="9">
        <f t="shared" si="93"/>
        <v>20</v>
      </c>
      <c r="I396" s="10">
        <f t="shared" si="94"/>
        <v>48</v>
      </c>
    </row>
    <row r="397" spans="1:9" ht="12.75">
      <c r="A397" s="8" t="s">
        <v>26</v>
      </c>
      <c r="B397" s="9">
        <f t="shared" si="91"/>
        <v>30</v>
      </c>
      <c r="C397" s="8"/>
      <c r="D397" s="8"/>
      <c r="E397" s="8">
        <v>6</v>
      </c>
      <c r="F397" s="8">
        <v>0</v>
      </c>
      <c r="G397" s="9">
        <f t="shared" si="92"/>
        <v>6</v>
      </c>
      <c r="H397" s="9">
        <f t="shared" si="93"/>
        <v>24</v>
      </c>
      <c r="I397" s="10">
        <f t="shared" si="94"/>
        <v>36</v>
      </c>
    </row>
    <row r="398" spans="1:9" ht="12.75">
      <c r="A398" s="8" t="s">
        <v>27</v>
      </c>
      <c r="B398" s="9">
        <f t="shared" si="91"/>
        <v>19</v>
      </c>
      <c r="C398" s="8"/>
      <c r="D398" s="8"/>
      <c r="E398" s="8">
        <v>4</v>
      </c>
      <c r="F398" s="8">
        <v>3</v>
      </c>
      <c r="G398" s="9">
        <f t="shared" si="92"/>
        <v>1</v>
      </c>
      <c r="H398" s="9">
        <f t="shared" si="93"/>
        <v>18</v>
      </c>
      <c r="I398" s="10">
        <f t="shared" si="94"/>
        <v>6</v>
      </c>
    </row>
    <row r="399" spans="1:9" ht="12.75">
      <c r="A399" s="8" t="s">
        <v>28</v>
      </c>
      <c r="B399" s="9">
        <f t="shared" si="91"/>
        <v>24</v>
      </c>
      <c r="C399" s="8"/>
      <c r="D399" s="8"/>
      <c r="E399" s="8">
        <v>8</v>
      </c>
      <c r="F399" s="8">
        <v>2</v>
      </c>
      <c r="G399" s="9">
        <f t="shared" si="92"/>
        <v>6</v>
      </c>
      <c r="H399" s="9">
        <f t="shared" si="93"/>
        <v>18</v>
      </c>
      <c r="I399" s="10">
        <f t="shared" si="94"/>
        <v>36</v>
      </c>
    </row>
    <row r="400" spans="1:9" ht="12.75">
      <c r="A400" s="8" t="s">
        <v>30</v>
      </c>
      <c r="B400" s="9">
        <f t="shared" si="91"/>
        <v>20</v>
      </c>
      <c r="C400" s="8">
        <v>1</v>
      </c>
      <c r="D400" s="8"/>
      <c r="E400" s="8">
        <v>2</v>
      </c>
      <c r="F400" s="8">
        <v>2</v>
      </c>
      <c r="G400" s="9">
        <f t="shared" si="92"/>
        <v>0</v>
      </c>
      <c r="H400" s="9">
        <f t="shared" si="93"/>
        <v>19</v>
      </c>
      <c r="I400" s="10">
        <f t="shared" si="94"/>
        <v>0</v>
      </c>
    </row>
    <row r="401" spans="1:9" ht="12.75">
      <c r="A401" s="13" t="s">
        <v>86</v>
      </c>
      <c r="B401" s="9">
        <f t="shared" si="91"/>
        <v>31</v>
      </c>
      <c r="C401" s="8"/>
      <c r="D401" s="8"/>
      <c r="E401" s="8">
        <v>4</v>
      </c>
      <c r="F401" s="8">
        <v>2</v>
      </c>
      <c r="G401" s="9">
        <f t="shared" si="92"/>
        <v>2</v>
      </c>
      <c r="H401" s="9">
        <f t="shared" si="93"/>
        <v>29</v>
      </c>
      <c r="I401" s="10">
        <f t="shared" si="94"/>
        <v>12</v>
      </c>
    </row>
    <row r="402" spans="1:9" ht="12.75">
      <c r="A402" s="14" t="s">
        <v>33</v>
      </c>
      <c r="B402" s="15">
        <f>SUM(B381:B401)</f>
        <v>495</v>
      </c>
      <c r="C402" s="14"/>
      <c r="D402" s="14"/>
      <c r="E402" s="15">
        <f t="shared" ref="E402:G402" si="95">SUM(E380:E401)</f>
        <v>113</v>
      </c>
      <c r="F402" s="15">
        <f t="shared" si="95"/>
        <v>57</v>
      </c>
      <c r="G402" s="15">
        <f t="shared" si="95"/>
        <v>56</v>
      </c>
      <c r="H402" s="15">
        <f>SUM(H381:H401)</f>
        <v>435</v>
      </c>
      <c r="I402" s="16">
        <f>SUM(I380:I401)</f>
        <v>336</v>
      </c>
    </row>
    <row r="403" spans="1:9" ht="12.75">
      <c r="A403" s="17"/>
      <c r="B403" s="17"/>
      <c r="C403" s="17"/>
      <c r="D403" s="17"/>
      <c r="E403" s="17"/>
      <c r="F403" s="134" t="s">
        <v>34</v>
      </c>
      <c r="G403" s="133"/>
      <c r="H403" s="18"/>
      <c r="I403" s="19"/>
    </row>
    <row r="404" spans="1:9" ht="12.75">
      <c r="A404" s="17"/>
      <c r="B404" s="24"/>
      <c r="C404" s="24"/>
      <c r="D404" s="24"/>
      <c r="E404" s="135" t="s">
        <v>87</v>
      </c>
      <c r="F404" s="132"/>
      <c r="G404" s="133"/>
      <c r="H404" s="25"/>
      <c r="I404" s="26">
        <f>SUM(I381:I401)</f>
        <v>336</v>
      </c>
    </row>
    <row r="406" spans="1:9">
      <c r="A406" s="1"/>
      <c r="B406" s="131" t="s">
        <v>120</v>
      </c>
      <c r="C406" s="132"/>
      <c r="D406" s="132"/>
      <c r="E406" s="132"/>
      <c r="F406" s="132"/>
      <c r="G406" s="132"/>
      <c r="H406" s="132"/>
      <c r="I406" s="133"/>
    </row>
    <row r="407" spans="1:9" ht="45">
      <c r="A407" s="2" t="s">
        <v>1</v>
      </c>
      <c r="B407" s="3" t="s">
        <v>2</v>
      </c>
      <c r="C407" s="4" t="s">
        <v>3</v>
      </c>
      <c r="D407" s="5" t="s">
        <v>4</v>
      </c>
      <c r="E407" s="2" t="s">
        <v>5</v>
      </c>
      <c r="F407" s="2" t="s">
        <v>6</v>
      </c>
      <c r="G407" s="2" t="s">
        <v>7</v>
      </c>
      <c r="H407" s="6" t="s">
        <v>8</v>
      </c>
      <c r="I407" s="7" t="s">
        <v>9</v>
      </c>
    </row>
    <row r="408" spans="1:9" ht="12.75">
      <c r="A408" s="8" t="s">
        <v>10</v>
      </c>
      <c r="B408" s="9">
        <f t="shared" ref="B408:B428" si="96">H381</f>
        <v>39</v>
      </c>
      <c r="C408" s="8"/>
      <c r="D408" s="8"/>
      <c r="E408" s="8">
        <v>6</v>
      </c>
      <c r="F408" s="8">
        <v>5</v>
      </c>
      <c r="G408" s="9">
        <f t="shared" ref="G408:G428" si="97">E408-F408</f>
        <v>1</v>
      </c>
      <c r="H408" s="9">
        <f t="shared" ref="H408:H428" si="98">B408-C408+D408-G408</f>
        <v>38</v>
      </c>
      <c r="I408" s="10">
        <f t="shared" ref="I408:I428" si="99">G408*6</f>
        <v>6</v>
      </c>
    </row>
    <row r="409" spans="1:9" ht="12.75">
      <c r="A409" s="8" t="s">
        <v>11</v>
      </c>
      <c r="B409" s="9">
        <f t="shared" si="96"/>
        <v>18</v>
      </c>
      <c r="C409" s="8"/>
      <c r="D409" s="8"/>
      <c r="E409" s="8">
        <v>6</v>
      </c>
      <c r="F409" s="8">
        <v>5</v>
      </c>
      <c r="G409" s="9">
        <f t="shared" si="97"/>
        <v>1</v>
      </c>
      <c r="H409" s="9">
        <f t="shared" si="98"/>
        <v>17</v>
      </c>
      <c r="I409" s="10">
        <f t="shared" si="99"/>
        <v>6</v>
      </c>
    </row>
    <row r="410" spans="1:9" ht="12.75">
      <c r="A410" s="8" t="s">
        <v>12</v>
      </c>
      <c r="B410" s="9">
        <f t="shared" si="96"/>
        <v>39</v>
      </c>
      <c r="C410" s="8"/>
      <c r="D410" s="8"/>
      <c r="E410" s="8">
        <v>6</v>
      </c>
      <c r="F410" s="8">
        <v>5</v>
      </c>
      <c r="G410" s="9">
        <f t="shared" si="97"/>
        <v>1</v>
      </c>
      <c r="H410" s="9">
        <f t="shared" si="98"/>
        <v>38</v>
      </c>
      <c r="I410" s="10">
        <f t="shared" si="99"/>
        <v>6</v>
      </c>
    </row>
    <row r="411" spans="1:9" ht="12.75">
      <c r="A411" s="8" t="s">
        <v>13</v>
      </c>
      <c r="B411" s="9">
        <f t="shared" si="96"/>
        <v>31</v>
      </c>
      <c r="C411" s="8"/>
      <c r="D411" s="8"/>
      <c r="E411" s="8">
        <v>7</v>
      </c>
      <c r="F411" s="8">
        <v>4</v>
      </c>
      <c r="G411" s="9">
        <f t="shared" si="97"/>
        <v>3</v>
      </c>
      <c r="H411" s="9">
        <f t="shared" si="98"/>
        <v>28</v>
      </c>
      <c r="I411" s="10">
        <f t="shared" si="99"/>
        <v>18</v>
      </c>
    </row>
    <row r="412" spans="1:9" ht="12.75">
      <c r="A412" s="8" t="s">
        <v>14</v>
      </c>
      <c r="B412" s="9">
        <f t="shared" si="96"/>
        <v>28</v>
      </c>
      <c r="C412" s="8"/>
      <c r="D412" s="8"/>
      <c r="E412" s="8">
        <v>4</v>
      </c>
      <c r="F412" s="8">
        <v>4</v>
      </c>
      <c r="G412" s="9">
        <f t="shared" si="97"/>
        <v>0</v>
      </c>
      <c r="H412" s="9">
        <f t="shared" si="98"/>
        <v>28</v>
      </c>
      <c r="I412" s="10">
        <f t="shared" si="99"/>
        <v>0</v>
      </c>
    </row>
    <row r="413" spans="1:9" ht="12.75">
      <c r="A413" s="8" t="s">
        <v>15</v>
      </c>
      <c r="B413" s="9">
        <f t="shared" si="96"/>
        <v>13</v>
      </c>
      <c r="C413" s="8"/>
      <c r="D413" s="8"/>
      <c r="E413" s="8">
        <v>6</v>
      </c>
      <c r="F413" s="8">
        <v>6</v>
      </c>
      <c r="G413" s="9">
        <f t="shared" si="97"/>
        <v>0</v>
      </c>
      <c r="H413" s="9">
        <f t="shared" si="98"/>
        <v>13</v>
      </c>
      <c r="I413" s="10">
        <f t="shared" si="99"/>
        <v>0</v>
      </c>
    </row>
    <row r="414" spans="1:9" ht="12.75">
      <c r="A414" s="8" t="s">
        <v>16</v>
      </c>
      <c r="B414" s="9">
        <f t="shared" si="96"/>
        <v>7</v>
      </c>
      <c r="C414" s="8"/>
      <c r="D414" s="8"/>
      <c r="E414" s="8">
        <v>5</v>
      </c>
      <c r="F414" s="8">
        <v>5</v>
      </c>
      <c r="G414" s="9">
        <f t="shared" si="97"/>
        <v>0</v>
      </c>
      <c r="H414" s="9">
        <f t="shared" si="98"/>
        <v>7</v>
      </c>
      <c r="I414" s="10">
        <f t="shared" si="99"/>
        <v>0</v>
      </c>
    </row>
    <row r="415" spans="1:9" ht="12.75">
      <c r="A415" s="8" t="s">
        <v>17</v>
      </c>
      <c r="B415" s="9">
        <f t="shared" si="96"/>
        <v>25</v>
      </c>
      <c r="C415" s="8"/>
      <c r="D415" s="8"/>
      <c r="E415" s="8">
        <v>4</v>
      </c>
      <c r="F415" s="8">
        <v>3</v>
      </c>
      <c r="G415" s="9">
        <f t="shared" si="97"/>
        <v>1</v>
      </c>
      <c r="H415" s="9">
        <f t="shared" si="98"/>
        <v>24</v>
      </c>
      <c r="I415" s="10">
        <f t="shared" si="99"/>
        <v>6</v>
      </c>
    </row>
    <row r="416" spans="1:9" ht="12.75">
      <c r="A416" s="8" t="s">
        <v>18</v>
      </c>
      <c r="B416" s="9">
        <f t="shared" si="96"/>
        <v>19</v>
      </c>
      <c r="C416" s="8"/>
      <c r="D416" s="8"/>
      <c r="E416" s="8">
        <v>6</v>
      </c>
      <c r="F416" s="8">
        <v>4</v>
      </c>
      <c r="G416" s="9">
        <f t="shared" si="97"/>
        <v>2</v>
      </c>
      <c r="H416" s="9">
        <f t="shared" si="98"/>
        <v>17</v>
      </c>
      <c r="I416" s="10">
        <f t="shared" si="99"/>
        <v>12</v>
      </c>
    </row>
    <row r="417" spans="1:9" ht="12.75">
      <c r="A417" s="8" t="s">
        <v>19</v>
      </c>
      <c r="B417" s="9">
        <f t="shared" si="96"/>
        <v>9</v>
      </c>
      <c r="C417" s="8">
        <v>1</v>
      </c>
      <c r="D417" s="8">
        <v>28</v>
      </c>
      <c r="E417" s="8">
        <v>6</v>
      </c>
      <c r="F417" s="8">
        <v>6</v>
      </c>
      <c r="G417" s="9">
        <f t="shared" si="97"/>
        <v>0</v>
      </c>
      <c r="H417" s="9">
        <f t="shared" si="98"/>
        <v>36</v>
      </c>
      <c r="I417" s="10">
        <f t="shared" si="99"/>
        <v>0</v>
      </c>
    </row>
    <row r="418" spans="1:9" ht="12.75">
      <c r="A418" s="8" t="s">
        <v>20</v>
      </c>
      <c r="B418" s="9">
        <f t="shared" si="96"/>
        <v>24</v>
      </c>
      <c r="C418" s="8"/>
      <c r="D418" s="8"/>
      <c r="E418" s="8">
        <v>6</v>
      </c>
      <c r="F418" s="8">
        <v>3</v>
      </c>
      <c r="G418" s="9">
        <f t="shared" si="97"/>
        <v>3</v>
      </c>
      <c r="H418" s="9">
        <f t="shared" si="98"/>
        <v>21</v>
      </c>
      <c r="I418" s="10">
        <f t="shared" si="99"/>
        <v>18</v>
      </c>
    </row>
    <row r="419" spans="1:9" ht="12.75">
      <c r="A419" s="8" t="s">
        <v>21</v>
      </c>
      <c r="B419" s="9">
        <f t="shared" si="96"/>
        <v>15</v>
      </c>
      <c r="C419" s="8"/>
      <c r="D419" s="8"/>
      <c r="E419" s="8">
        <v>2</v>
      </c>
      <c r="F419" s="8">
        <v>2</v>
      </c>
      <c r="G419" s="9">
        <f t="shared" si="97"/>
        <v>0</v>
      </c>
      <c r="H419" s="9">
        <f t="shared" si="98"/>
        <v>15</v>
      </c>
      <c r="I419" s="10">
        <f t="shared" si="99"/>
        <v>0</v>
      </c>
    </row>
    <row r="420" spans="1:9" ht="12.75">
      <c r="A420" s="8" t="s">
        <v>22</v>
      </c>
      <c r="B420" s="9">
        <f t="shared" si="96"/>
        <v>6</v>
      </c>
      <c r="C420" s="8"/>
      <c r="D420" s="8"/>
      <c r="E420" s="8">
        <v>5</v>
      </c>
      <c r="F420" s="8">
        <v>2</v>
      </c>
      <c r="G420" s="9">
        <f t="shared" si="97"/>
        <v>3</v>
      </c>
      <c r="H420" s="9">
        <f t="shared" si="98"/>
        <v>3</v>
      </c>
      <c r="I420" s="10">
        <f t="shared" si="99"/>
        <v>18</v>
      </c>
    </row>
    <row r="421" spans="1:9" ht="12.75">
      <c r="A421" s="8" t="s">
        <v>23</v>
      </c>
      <c r="B421" s="9">
        <f t="shared" si="96"/>
        <v>22</v>
      </c>
      <c r="C421" s="8"/>
      <c r="D421" s="8"/>
      <c r="E421" s="8">
        <v>6</v>
      </c>
      <c r="F421" s="8">
        <v>2</v>
      </c>
      <c r="G421" s="9">
        <f t="shared" si="97"/>
        <v>4</v>
      </c>
      <c r="H421" s="9">
        <f t="shared" si="98"/>
        <v>18</v>
      </c>
      <c r="I421" s="10">
        <f t="shared" si="99"/>
        <v>24</v>
      </c>
    </row>
    <row r="422" spans="1:9" ht="12.75">
      <c r="A422" s="8" t="s">
        <v>24</v>
      </c>
      <c r="B422" s="9">
        <f t="shared" si="96"/>
        <v>12</v>
      </c>
      <c r="C422" s="8"/>
      <c r="D422" s="8"/>
      <c r="E422" s="8">
        <v>4</v>
      </c>
      <c r="F422" s="8">
        <v>3</v>
      </c>
      <c r="G422" s="9">
        <f t="shared" si="97"/>
        <v>1</v>
      </c>
      <c r="H422" s="9">
        <f t="shared" si="98"/>
        <v>11</v>
      </c>
      <c r="I422" s="10">
        <f t="shared" si="99"/>
        <v>6</v>
      </c>
    </row>
    <row r="423" spans="1:9" ht="12.75">
      <c r="A423" s="8" t="s">
        <v>25</v>
      </c>
      <c r="B423" s="9">
        <f t="shared" si="96"/>
        <v>20</v>
      </c>
      <c r="C423" s="8"/>
      <c r="D423" s="8"/>
      <c r="E423" s="8">
        <v>10</v>
      </c>
      <c r="F423" s="8">
        <v>5</v>
      </c>
      <c r="G423" s="9">
        <f t="shared" si="97"/>
        <v>5</v>
      </c>
      <c r="H423" s="9">
        <f t="shared" si="98"/>
        <v>15</v>
      </c>
      <c r="I423" s="10">
        <f t="shared" si="99"/>
        <v>30</v>
      </c>
    </row>
    <row r="424" spans="1:9" ht="12.75">
      <c r="A424" s="8" t="s">
        <v>26</v>
      </c>
      <c r="B424" s="9">
        <f t="shared" si="96"/>
        <v>24</v>
      </c>
      <c r="C424" s="8"/>
      <c r="D424" s="8"/>
      <c r="E424" s="8">
        <v>6</v>
      </c>
      <c r="F424" s="8">
        <v>2</v>
      </c>
      <c r="G424" s="9">
        <f t="shared" si="97"/>
        <v>4</v>
      </c>
      <c r="H424" s="9">
        <f t="shared" si="98"/>
        <v>20</v>
      </c>
      <c r="I424" s="10">
        <f t="shared" si="99"/>
        <v>24</v>
      </c>
    </row>
    <row r="425" spans="1:9" ht="12.75">
      <c r="A425" s="8" t="s">
        <v>27</v>
      </c>
      <c r="B425" s="9">
        <f t="shared" si="96"/>
        <v>18</v>
      </c>
      <c r="C425" s="8"/>
      <c r="D425" s="8"/>
      <c r="E425" s="8">
        <v>4</v>
      </c>
      <c r="F425" s="8">
        <v>3</v>
      </c>
      <c r="G425" s="9">
        <f t="shared" si="97"/>
        <v>1</v>
      </c>
      <c r="H425" s="9">
        <f t="shared" si="98"/>
        <v>17</v>
      </c>
      <c r="I425" s="10">
        <f t="shared" si="99"/>
        <v>6</v>
      </c>
    </row>
    <row r="426" spans="1:9" ht="12.75">
      <c r="A426" s="8" t="s">
        <v>28</v>
      </c>
      <c r="B426" s="9">
        <f t="shared" si="96"/>
        <v>18</v>
      </c>
      <c r="C426" s="8"/>
      <c r="D426" s="8"/>
      <c r="E426" s="8">
        <v>8</v>
      </c>
      <c r="F426" s="8">
        <v>6</v>
      </c>
      <c r="G426" s="9">
        <f t="shared" si="97"/>
        <v>2</v>
      </c>
      <c r="H426" s="9">
        <f t="shared" si="98"/>
        <v>16</v>
      </c>
      <c r="I426" s="10">
        <f t="shared" si="99"/>
        <v>12</v>
      </c>
    </row>
    <row r="427" spans="1:9" ht="12.75">
      <c r="A427" s="8" t="s">
        <v>30</v>
      </c>
      <c r="B427" s="9">
        <f t="shared" si="96"/>
        <v>19</v>
      </c>
      <c r="C427" s="8"/>
      <c r="D427" s="8"/>
      <c r="E427" s="8">
        <v>2</v>
      </c>
      <c r="F427" s="8">
        <v>1</v>
      </c>
      <c r="G427" s="9">
        <f t="shared" si="97"/>
        <v>1</v>
      </c>
      <c r="H427" s="9">
        <f t="shared" si="98"/>
        <v>18</v>
      </c>
      <c r="I427" s="10">
        <f t="shared" si="99"/>
        <v>6</v>
      </c>
    </row>
    <row r="428" spans="1:9" ht="12.75">
      <c r="A428" s="13" t="s">
        <v>86</v>
      </c>
      <c r="B428" s="9">
        <f t="shared" si="96"/>
        <v>29</v>
      </c>
      <c r="C428" s="8"/>
      <c r="D428" s="8"/>
      <c r="E428" s="8">
        <v>4</v>
      </c>
      <c r="F428" s="8">
        <v>2</v>
      </c>
      <c r="G428" s="9">
        <f t="shared" si="97"/>
        <v>2</v>
      </c>
      <c r="H428" s="9">
        <f t="shared" si="98"/>
        <v>27</v>
      </c>
      <c r="I428" s="10">
        <f t="shared" si="99"/>
        <v>12</v>
      </c>
    </row>
    <row r="429" spans="1:9" ht="12.75">
      <c r="A429" s="14" t="s">
        <v>33</v>
      </c>
      <c r="B429" s="15">
        <f>SUM(B408:B428)</f>
        <v>435</v>
      </c>
      <c r="C429" s="14"/>
      <c r="D429" s="14"/>
      <c r="E429" s="15">
        <f t="shared" ref="E429:G429" si="100">SUM(E407:E428)</f>
        <v>113</v>
      </c>
      <c r="F429" s="15">
        <f t="shared" si="100"/>
        <v>78</v>
      </c>
      <c r="G429" s="15">
        <f t="shared" si="100"/>
        <v>35</v>
      </c>
      <c r="H429" s="15">
        <f>SUM(H408:H428)</f>
        <v>427</v>
      </c>
      <c r="I429" s="16">
        <f>SUM(I407:I428)</f>
        <v>210</v>
      </c>
    </row>
    <row r="430" spans="1:9" ht="12.75">
      <c r="A430" s="17"/>
      <c r="B430" s="17"/>
      <c r="C430" s="17"/>
      <c r="D430" s="17"/>
      <c r="E430" s="17"/>
      <c r="F430" s="134" t="s">
        <v>34</v>
      </c>
      <c r="G430" s="133"/>
      <c r="H430" s="18"/>
      <c r="I430" s="19"/>
    </row>
    <row r="431" spans="1:9" ht="12.75">
      <c r="A431" s="17"/>
      <c r="B431" s="24"/>
      <c r="C431" s="24"/>
      <c r="D431" s="24"/>
      <c r="E431" s="135" t="s">
        <v>87</v>
      </c>
      <c r="F431" s="132"/>
      <c r="G431" s="133"/>
      <c r="H431" s="25"/>
      <c r="I431" s="26">
        <f>SUM(I408:I428)</f>
        <v>210</v>
      </c>
    </row>
    <row r="433" spans="1:9">
      <c r="A433" s="1"/>
      <c r="B433" s="131" t="s">
        <v>121</v>
      </c>
      <c r="C433" s="132"/>
      <c r="D433" s="132"/>
      <c r="E433" s="132"/>
      <c r="F433" s="132"/>
      <c r="G433" s="132"/>
      <c r="H433" s="132"/>
      <c r="I433" s="133"/>
    </row>
    <row r="434" spans="1:9" ht="45">
      <c r="A434" s="2" t="s">
        <v>1</v>
      </c>
      <c r="B434" s="3" t="s">
        <v>2</v>
      </c>
      <c r="C434" s="4" t="s">
        <v>3</v>
      </c>
      <c r="D434" s="5" t="s">
        <v>4</v>
      </c>
      <c r="E434" s="2" t="s">
        <v>5</v>
      </c>
      <c r="F434" s="2" t="s">
        <v>6</v>
      </c>
      <c r="G434" s="2" t="s">
        <v>7</v>
      </c>
      <c r="H434" s="6" t="s">
        <v>8</v>
      </c>
      <c r="I434" s="7" t="s">
        <v>9</v>
      </c>
    </row>
    <row r="435" spans="1:9" ht="12.75">
      <c r="A435" s="8" t="s">
        <v>10</v>
      </c>
      <c r="B435" s="9">
        <f t="shared" ref="B435:B455" si="101">H408</f>
        <v>38</v>
      </c>
      <c r="C435" s="8"/>
      <c r="D435" s="8"/>
      <c r="E435" s="8">
        <v>6</v>
      </c>
      <c r="F435" s="8">
        <v>4</v>
      </c>
      <c r="G435" s="9">
        <f t="shared" ref="G435:G455" si="102">E435-F435</f>
        <v>2</v>
      </c>
      <c r="H435" s="9">
        <f t="shared" ref="H435:H455" si="103">B435-C435+D435-G435</f>
        <v>36</v>
      </c>
      <c r="I435" s="10">
        <f t="shared" ref="I435:I455" si="104">G435*6</f>
        <v>12</v>
      </c>
    </row>
    <row r="436" spans="1:9" ht="12.75">
      <c r="A436" s="8" t="s">
        <v>11</v>
      </c>
      <c r="B436" s="9">
        <f t="shared" si="101"/>
        <v>17</v>
      </c>
      <c r="C436" s="8">
        <v>1</v>
      </c>
      <c r="D436" s="8"/>
      <c r="E436" s="8">
        <v>6</v>
      </c>
      <c r="F436" s="8">
        <v>3</v>
      </c>
      <c r="G436" s="9">
        <f t="shared" si="102"/>
        <v>3</v>
      </c>
      <c r="H436" s="9">
        <f t="shared" si="103"/>
        <v>13</v>
      </c>
      <c r="I436" s="10">
        <f t="shared" si="104"/>
        <v>18</v>
      </c>
    </row>
    <row r="437" spans="1:9" ht="12.75">
      <c r="A437" s="8" t="s">
        <v>12</v>
      </c>
      <c r="B437" s="9">
        <f t="shared" si="101"/>
        <v>38</v>
      </c>
      <c r="C437" s="8"/>
      <c r="D437" s="8"/>
      <c r="E437" s="8">
        <v>6</v>
      </c>
      <c r="F437" s="8">
        <v>5</v>
      </c>
      <c r="G437" s="9">
        <f t="shared" si="102"/>
        <v>1</v>
      </c>
      <c r="H437" s="9">
        <f t="shared" si="103"/>
        <v>37</v>
      </c>
      <c r="I437" s="10">
        <f t="shared" si="104"/>
        <v>6</v>
      </c>
    </row>
    <row r="438" spans="1:9" ht="12.75">
      <c r="A438" s="8" t="s">
        <v>13</v>
      </c>
      <c r="B438" s="9">
        <f t="shared" si="101"/>
        <v>28</v>
      </c>
      <c r="C438" s="8"/>
      <c r="D438" s="8"/>
      <c r="E438" s="8">
        <v>7</v>
      </c>
      <c r="F438" s="8">
        <v>2</v>
      </c>
      <c r="G438" s="9">
        <f t="shared" si="102"/>
        <v>5</v>
      </c>
      <c r="H438" s="9">
        <f t="shared" si="103"/>
        <v>23</v>
      </c>
      <c r="I438" s="10">
        <f t="shared" si="104"/>
        <v>30</v>
      </c>
    </row>
    <row r="439" spans="1:9" ht="12.75">
      <c r="A439" s="8" t="s">
        <v>14</v>
      </c>
      <c r="B439" s="9">
        <f t="shared" si="101"/>
        <v>28</v>
      </c>
      <c r="C439" s="8"/>
      <c r="D439" s="8"/>
      <c r="E439" s="8">
        <v>4</v>
      </c>
      <c r="F439" s="8">
        <v>3</v>
      </c>
      <c r="G439" s="9">
        <f t="shared" si="102"/>
        <v>1</v>
      </c>
      <c r="H439" s="9">
        <f t="shared" si="103"/>
        <v>27</v>
      </c>
      <c r="I439" s="10">
        <f t="shared" si="104"/>
        <v>6</v>
      </c>
    </row>
    <row r="440" spans="1:9" ht="12.75">
      <c r="A440" s="8" t="s">
        <v>15</v>
      </c>
      <c r="B440" s="9">
        <f t="shared" si="101"/>
        <v>13</v>
      </c>
      <c r="C440" s="8"/>
      <c r="D440" s="8"/>
      <c r="E440" s="8">
        <v>6</v>
      </c>
      <c r="F440" s="8">
        <v>5</v>
      </c>
      <c r="G440" s="9">
        <f t="shared" si="102"/>
        <v>1</v>
      </c>
      <c r="H440" s="9">
        <f t="shared" si="103"/>
        <v>12</v>
      </c>
      <c r="I440" s="10">
        <f t="shared" si="104"/>
        <v>6</v>
      </c>
    </row>
    <row r="441" spans="1:9" ht="12.75">
      <c r="A441" s="8" t="s">
        <v>16</v>
      </c>
      <c r="B441" s="9">
        <f t="shared" si="101"/>
        <v>7</v>
      </c>
      <c r="C441" s="8"/>
      <c r="D441" s="8">
        <v>27</v>
      </c>
      <c r="E441" s="8">
        <v>5</v>
      </c>
      <c r="F441" s="8">
        <v>5</v>
      </c>
      <c r="G441" s="9">
        <f t="shared" si="102"/>
        <v>0</v>
      </c>
      <c r="H441" s="9">
        <f t="shared" si="103"/>
        <v>34</v>
      </c>
      <c r="I441" s="10">
        <f t="shared" si="104"/>
        <v>0</v>
      </c>
    </row>
    <row r="442" spans="1:9" ht="12.75">
      <c r="A442" s="8" t="s">
        <v>17</v>
      </c>
      <c r="B442" s="9">
        <f t="shared" si="101"/>
        <v>24</v>
      </c>
      <c r="C442" s="8"/>
      <c r="D442" s="8"/>
      <c r="E442" s="8">
        <v>4</v>
      </c>
      <c r="F442" s="8">
        <v>4</v>
      </c>
      <c r="G442" s="9">
        <f t="shared" si="102"/>
        <v>0</v>
      </c>
      <c r="H442" s="9">
        <f t="shared" si="103"/>
        <v>24</v>
      </c>
      <c r="I442" s="10">
        <f t="shared" si="104"/>
        <v>0</v>
      </c>
    </row>
    <row r="443" spans="1:9" ht="12.75">
      <c r="A443" s="8" t="s">
        <v>18</v>
      </c>
      <c r="B443" s="9">
        <f t="shared" si="101"/>
        <v>17</v>
      </c>
      <c r="C443" s="8"/>
      <c r="D443" s="8"/>
      <c r="E443" s="8">
        <v>6</v>
      </c>
      <c r="F443" s="8">
        <v>5</v>
      </c>
      <c r="G443" s="9">
        <f t="shared" si="102"/>
        <v>1</v>
      </c>
      <c r="H443" s="9">
        <f t="shared" si="103"/>
        <v>16</v>
      </c>
      <c r="I443" s="10">
        <f t="shared" si="104"/>
        <v>6</v>
      </c>
    </row>
    <row r="444" spans="1:9" ht="12.75">
      <c r="A444" s="8" t="s">
        <v>19</v>
      </c>
      <c r="B444" s="9">
        <f t="shared" si="101"/>
        <v>36</v>
      </c>
      <c r="C444" s="8"/>
      <c r="D444" s="8"/>
      <c r="E444" s="8">
        <v>6</v>
      </c>
      <c r="F444" s="8">
        <v>5</v>
      </c>
      <c r="G444" s="9">
        <f t="shared" si="102"/>
        <v>1</v>
      </c>
      <c r="H444" s="9">
        <f t="shared" si="103"/>
        <v>35</v>
      </c>
      <c r="I444" s="10">
        <f t="shared" si="104"/>
        <v>6</v>
      </c>
    </row>
    <row r="445" spans="1:9" ht="12.75">
      <c r="A445" s="8" t="s">
        <v>20</v>
      </c>
      <c r="B445" s="9">
        <f t="shared" si="101"/>
        <v>21</v>
      </c>
      <c r="C445" s="8"/>
      <c r="D445" s="8"/>
      <c r="E445" s="8">
        <v>6</v>
      </c>
      <c r="F445" s="8">
        <v>5</v>
      </c>
      <c r="G445" s="9">
        <f t="shared" si="102"/>
        <v>1</v>
      </c>
      <c r="H445" s="9">
        <f t="shared" si="103"/>
        <v>20</v>
      </c>
      <c r="I445" s="10">
        <f t="shared" si="104"/>
        <v>6</v>
      </c>
    </row>
    <row r="446" spans="1:9" ht="12.75">
      <c r="A446" s="8" t="s">
        <v>21</v>
      </c>
      <c r="B446" s="9">
        <f t="shared" si="101"/>
        <v>15</v>
      </c>
      <c r="C446" s="8"/>
      <c r="D446" s="8"/>
      <c r="E446" s="8">
        <v>2</v>
      </c>
      <c r="F446" s="8">
        <v>2</v>
      </c>
      <c r="G446" s="9">
        <f t="shared" si="102"/>
        <v>0</v>
      </c>
      <c r="H446" s="9">
        <f t="shared" si="103"/>
        <v>15</v>
      </c>
      <c r="I446" s="10">
        <f t="shared" si="104"/>
        <v>0</v>
      </c>
    </row>
    <row r="447" spans="1:9" ht="12.75">
      <c r="A447" s="8" t="s">
        <v>22</v>
      </c>
      <c r="B447" s="9">
        <f t="shared" si="101"/>
        <v>3</v>
      </c>
      <c r="C447" s="8"/>
      <c r="D447" s="8">
        <v>27</v>
      </c>
      <c r="E447" s="8">
        <v>5</v>
      </c>
      <c r="F447" s="8">
        <v>4</v>
      </c>
      <c r="G447" s="9">
        <f t="shared" si="102"/>
        <v>1</v>
      </c>
      <c r="H447" s="9">
        <f t="shared" si="103"/>
        <v>29</v>
      </c>
      <c r="I447" s="10">
        <f t="shared" si="104"/>
        <v>6</v>
      </c>
    </row>
    <row r="448" spans="1:9" ht="12.75">
      <c r="A448" s="8" t="s">
        <v>23</v>
      </c>
      <c r="B448" s="9">
        <f t="shared" si="101"/>
        <v>18</v>
      </c>
      <c r="C448" s="8"/>
      <c r="D448" s="8"/>
      <c r="E448" s="8">
        <v>6</v>
      </c>
      <c r="F448" s="8">
        <v>5</v>
      </c>
      <c r="G448" s="9">
        <f t="shared" si="102"/>
        <v>1</v>
      </c>
      <c r="H448" s="9">
        <f t="shared" si="103"/>
        <v>17</v>
      </c>
      <c r="I448" s="10">
        <f t="shared" si="104"/>
        <v>6</v>
      </c>
    </row>
    <row r="449" spans="1:9" ht="12.75">
      <c r="A449" s="8" t="s">
        <v>24</v>
      </c>
      <c r="B449" s="9">
        <f t="shared" si="101"/>
        <v>11</v>
      </c>
      <c r="C449" s="8"/>
      <c r="D449" s="8"/>
      <c r="E449" s="8">
        <v>4</v>
      </c>
      <c r="F449" s="8">
        <v>4</v>
      </c>
      <c r="G449" s="9">
        <f t="shared" si="102"/>
        <v>0</v>
      </c>
      <c r="H449" s="9">
        <f t="shared" si="103"/>
        <v>11</v>
      </c>
      <c r="I449" s="10">
        <f t="shared" si="104"/>
        <v>0</v>
      </c>
    </row>
    <row r="450" spans="1:9" ht="12.75">
      <c r="A450" s="8" t="s">
        <v>25</v>
      </c>
      <c r="B450" s="9">
        <f t="shared" si="101"/>
        <v>15</v>
      </c>
      <c r="C450" s="8"/>
      <c r="D450" s="8">
        <v>29</v>
      </c>
      <c r="E450" s="8">
        <v>10</v>
      </c>
      <c r="F450" s="8">
        <v>4</v>
      </c>
      <c r="G450" s="9">
        <f t="shared" si="102"/>
        <v>6</v>
      </c>
      <c r="H450" s="9">
        <f t="shared" si="103"/>
        <v>38</v>
      </c>
      <c r="I450" s="10">
        <f t="shared" si="104"/>
        <v>36</v>
      </c>
    </row>
    <row r="451" spans="1:9" ht="12.75">
      <c r="A451" s="8" t="s">
        <v>26</v>
      </c>
      <c r="B451" s="9">
        <f t="shared" si="101"/>
        <v>20</v>
      </c>
      <c r="C451" s="8"/>
      <c r="D451" s="8"/>
      <c r="E451" s="8">
        <v>6</v>
      </c>
      <c r="F451" s="8">
        <v>6</v>
      </c>
      <c r="G451" s="9">
        <f t="shared" si="102"/>
        <v>0</v>
      </c>
      <c r="H451" s="9">
        <f t="shared" si="103"/>
        <v>20</v>
      </c>
      <c r="I451" s="10">
        <f t="shared" si="104"/>
        <v>0</v>
      </c>
    </row>
    <row r="452" spans="1:9" ht="12.75">
      <c r="A452" s="8" t="s">
        <v>27</v>
      </c>
      <c r="B452" s="9">
        <f t="shared" si="101"/>
        <v>17</v>
      </c>
      <c r="C452" s="8"/>
      <c r="D452" s="8"/>
      <c r="E452" s="8">
        <v>4</v>
      </c>
      <c r="F452" s="8">
        <v>4</v>
      </c>
      <c r="G452" s="9">
        <f t="shared" si="102"/>
        <v>0</v>
      </c>
      <c r="H452" s="9">
        <f t="shared" si="103"/>
        <v>17</v>
      </c>
      <c r="I452" s="10">
        <f t="shared" si="104"/>
        <v>0</v>
      </c>
    </row>
    <row r="453" spans="1:9" ht="12.75">
      <c r="A453" s="8" t="s">
        <v>28</v>
      </c>
      <c r="B453" s="9">
        <f t="shared" si="101"/>
        <v>16</v>
      </c>
      <c r="C453" s="8">
        <v>1</v>
      </c>
      <c r="D453" s="8"/>
      <c r="E453" s="8">
        <v>8</v>
      </c>
      <c r="F453" s="8">
        <v>3</v>
      </c>
      <c r="G453" s="9">
        <f t="shared" si="102"/>
        <v>5</v>
      </c>
      <c r="H453" s="9">
        <f t="shared" si="103"/>
        <v>10</v>
      </c>
      <c r="I453" s="10">
        <f t="shared" si="104"/>
        <v>30</v>
      </c>
    </row>
    <row r="454" spans="1:9" ht="12.75">
      <c r="A454" s="8" t="s">
        <v>30</v>
      </c>
      <c r="B454" s="9">
        <f t="shared" si="101"/>
        <v>18</v>
      </c>
      <c r="C454" s="8"/>
      <c r="D454" s="8"/>
      <c r="E454" s="8">
        <v>2</v>
      </c>
      <c r="F454" s="8">
        <v>2</v>
      </c>
      <c r="G454" s="9">
        <f t="shared" si="102"/>
        <v>0</v>
      </c>
      <c r="H454" s="9">
        <f t="shared" si="103"/>
        <v>18</v>
      </c>
      <c r="I454" s="10">
        <f t="shared" si="104"/>
        <v>0</v>
      </c>
    </row>
    <row r="455" spans="1:9" ht="12.75">
      <c r="A455" s="13" t="s">
        <v>86</v>
      </c>
      <c r="B455" s="9">
        <f t="shared" si="101"/>
        <v>27</v>
      </c>
      <c r="C455" s="8"/>
      <c r="D455" s="8"/>
      <c r="E455" s="8">
        <v>4</v>
      </c>
      <c r="F455" s="8">
        <v>4</v>
      </c>
      <c r="G455" s="9">
        <f t="shared" si="102"/>
        <v>0</v>
      </c>
      <c r="H455" s="9">
        <f t="shared" si="103"/>
        <v>27</v>
      </c>
      <c r="I455" s="10">
        <f t="shared" si="104"/>
        <v>0</v>
      </c>
    </row>
    <row r="456" spans="1:9" ht="12.75">
      <c r="A456" s="14" t="s">
        <v>33</v>
      </c>
      <c r="B456" s="15">
        <f>SUM(B435:B455)</f>
        <v>427</v>
      </c>
      <c r="C456" s="14"/>
      <c r="D456" s="14"/>
      <c r="E456" s="15">
        <f t="shared" ref="E456:G456" si="105">SUM(E434:E455)</f>
        <v>113</v>
      </c>
      <c r="F456" s="15">
        <f t="shared" si="105"/>
        <v>84</v>
      </c>
      <c r="G456" s="15">
        <f t="shared" si="105"/>
        <v>29</v>
      </c>
      <c r="H456" s="15">
        <f>SUM(H435:H455)</f>
        <v>479</v>
      </c>
      <c r="I456" s="16">
        <f>SUM(I434:I455)</f>
        <v>174</v>
      </c>
    </row>
    <row r="457" spans="1:9" ht="12.75">
      <c r="A457" s="17"/>
      <c r="B457" s="17"/>
      <c r="C457" s="17"/>
      <c r="D457" s="17"/>
      <c r="E457" s="17"/>
      <c r="F457" s="134" t="s">
        <v>34</v>
      </c>
      <c r="G457" s="133"/>
      <c r="H457" s="18"/>
      <c r="I457" s="19"/>
    </row>
    <row r="458" spans="1:9" ht="12.75">
      <c r="A458" s="17"/>
      <c r="B458" s="24"/>
      <c r="C458" s="24"/>
      <c r="D458" s="24"/>
      <c r="E458" s="135" t="s">
        <v>87</v>
      </c>
      <c r="F458" s="132"/>
      <c r="G458" s="133"/>
      <c r="H458" s="25"/>
      <c r="I458" s="26">
        <f>SUM(I435:I455)</f>
        <v>174</v>
      </c>
    </row>
    <row r="460" spans="1:9">
      <c r="A460" s="1"/>
      <c r="B460" s="131" t="s">
        <v>122</v>
      </c>
      <c r="C460" s="132"/>
      <c r="D460" s="132"/>
      <c r="E460" s="132"/>
      <c r="F460" s="132"/>
      <c r="G460" s="132"/>
      <c r="H460" s="132"/>
      <c r="I460" s="133"/>
    </row>
    <row r="461" spans="1:9" ht="45">
      <c r="A461" s="2" t="s">
        <v>1</v>
      </c>
      <c r="B461" s="3" t="s">
        <v>2</v>
      </c>
      <c r="C461" s="4" t="s">
        <v>3</v>
      </c>
      <c r="D461" s="5" t="s">
        <v>4</v>
      </c>
      <c r="E461" s="2" t="s">
        <v>5</v>
      </c>
      <c r="F461" s="2" t="s">
        <v>6</v>
      </c>
      <c r="G461" s="2" t="s">
        <v>7</v>
      </c>
      <c r="H461" s="6" t="s">
        <v>8</v>
      </c>
      <c r="I461" s="7" t="s">
        <v>9</v>
      </c>
    </row>
    <row r="462" spans="1:9" ht="12.75">
      <c r="A462" s="8" t="s">
        <v>10</v>
      </c>
      <c r="B462" s="9">
        <f t="shared" ref="B462:B482" si="106">H435</f>
        <v>36</v>
      </c>
      <c r="C462" s="8"/>
      <c r="D462" s="8"/>
      <c r="E462" s="8">
        <v>6</v>
      </c>
      <c r="F462" s="8">
        <v>5</v>
      </c>
      <c r="G462" s="9">
        <f t="shared" ref="G462:G482" si="107">E462-F462</f>
        <v>1</v>
      </c>
      <c r="H462" s="9">
        <f t="shared" ref="H462:H482" si="108">B462-C462+D462-G462</f>
        <v>35</v>
      </c>
      <c r="I462" s="10">
        <f t="shared" ref="I462:I482" si="109">G462*6</f>
        <v>6</v>
      </c>
    </row>
    <row r="463" spans="1:9" ht="12.75">
      <c r="A463" s="8" t="s">
        <v>11</v>
      </c>
      <c r="B463" s="9">
        <f t="shared" si="106"/>
        <v>13</v>
      </c>
      <c r="C463" s="8"/>
      <c r="D463" s="8"/>
      <c r="E463" s="8">
        <v>6</v>
      </c>
      <c r="F463" s="8">
        <v>5</v>
      </c>
      <c r="G463" s="9">
        <f t="shared" si="107"/>
        <v>1</v>
      </c>
      <c r="H463" s="9">
        <f t="shared" si="108"/>
        <v>12</v>
      </c>
      <c r="I463" s="10">
        <f t="shared" si="109"/>
        <v>6</v>
      </c>
    </row>
    <row r="464" spans="1:9" ht="12.75">
      <c r="A464" s="8" t="s">
        <v>12</v>
      </c>
      <c r="B464" s="9">
        <f t="shared" si="106"/>
        <v>37</v>
      </c>
      <c r="C464" s="8"/>
      <c r="D464" s="8"/>
      <c r="E464" s="8">
        <v>6</v>
      </c>
      <c r="F464" s="8">
        <v>6</v>
      </c>
      <c r="G464" s="9">
        <f t="shared" si="107"/>
        <v>0</v>
      </c>
      <c r="H464" s="9">
        <f t="shared" si="108"/>
        <v>37</v>
      </c>
      <c r="I464" s="10">
        <f t="shared" si="109"/>
        <v>0</v>
      </c>
    </row>
    <row r="465" spans="1:11" ht="12.75">
      <c r="A465" s="8" t="s">
        <v>13</v>
      </c>
      <c r="B465" s="9">
        <f t="shared" si="106"/>
        <v>23</v>
      </c>
      <c r="C465" s="8"/>
      <c r="D465" s="8"/>
      <c r="E465" s="8">
        <v>7</v>
      </c>
      <c r="F465" s="8">
        <v>7</v>
      </c>
      <c r="G465" s="9">
        <f t="shared" si="107"/>
        <v>0</v>
      </c>
      <c r="H465" s="9">
        <f t="shared" si="108"/>
        <v>23</v>
      </c>
      <c r="I465" s="10">
        <f t="shared" si="109"/>
        <v>0</v>
      </c>
    </row>
    <row r="466" spans="1:11" ht="12.75">
      <c r="A466" s="8" t="s">
        <v>14</v>
      </c>
      <c r="B466" s="9">
        <f t="shared" si="106"/>
        <v>27</v>
      </c>
      <c r="C466" s="8"/>
      <c r="D466" s="8"/>
      <c r="E466" s="8">
        <v>4</v>
      </c>
      <c r="F466" s="8">
        <v>2</v>
      </c>
      <c r="G466" s="9">
        <f t="shared" si="107"/>
        <v>2</v>
      </c>
      <c r="H466" s="9">
        <f t="shared" si="108"/>
        <v>25</v>
      </c>
      <c r="I466" s="10">
        <f t="shared" si="109"/>
        <v>12</v>
      </c>
    </row>
    <row r="467" spans="1:11" ht="12.75">
      <c r="A467" s="8" t="s">
        <v>15</v>
      </c>
      <c r="B467" s="9">
        <f t="shared" si="106"/>
        <v>12</v>
      </c>
      <c r="C467" s="8"/>
      <c r="D467" s="8">
        <v>31</v>
      </c>
      <c r="E467" s="8">
        <v>6</v>
      </c>
      <c r="F467" s="8">
        <v>3</v>
      </c>
      <c r="G467" s="9">
        <f t="shared" si="107"/>
        <v>3</v>
      </c>
      <c r="H467" s="9">
        <f t="shared" si="108"/>
        <v>40</v>
      </c>
      <c r="I467" s="10">
        <f t="shared" si="109"/>
        <v>18</v>
      </c>
    </row>
    <row r="468" spans="1:11" ht="12.75">
      <c r="A468" s="8" t="s">
        <v>16</v>
      </c>
      <c r="B468" s="9">
        <f t="shared" si="106"/>
        <v>34</v>
      </c>
      <c r="C468" s="8"/>
      <c r="D468" s="8"/>
      <c r="E468" s="8">
        <v>5</v>
      </c>
      <c r="F468" s="8">
        <v>4</v>
      </c>
      <c r="G468" s="9">
        <f t="shared" si="107"/>
        <v>1</v>
      </c>
      <c r="H468" s="9">
        <f t="shared" si="108"/>
        <v>33</v>
      </c>
      <c r="I468" s="10">
        <f t="shared" si="109"/>
        <v>6</v>
      </c>
    </row>
    <row r="469" spans="1:11" ht="12.75">
      <c r="A469" s="8" t="s">
        <v>17</v>
      </c>
      <c r="B469" s="9">
        <f t="shared" si="106"/>
        <v>24</v>
      </c>
      <c r="C469" s="8"/>
      <c r="D469" s="8"/>
      <c r="E469" s="8">
        <v>4</v>
      </c>
      <c r="F469" s="8">
        <v>2</v>
      </c>
      <c r="G469" s="9">
        <f t="shared" si="107"/>
        <v>2</v>
      </c>
      <c r="H469" s="9">
        <f t="shared" si="108"/>
        <v>22</v>
      </c>
      <c r="I469" s="10">
        <f t="shared" si="109"/>
        <v>12</v>
      </c>
    </row>
    <row r="470" spans="1:11" ht="12.75">
      <c r="A470" s="8" t="s">
        <v>18</v>
      </c>
      <c r="B470" s="9">
        <f t="shared" si="106"/>
        <v>16</v>
      </c>
      <c r="C470" s="8"/>
      <c r="D470" s="8"/>
      <c r="E470" s="8">
        <v>6</v>
      </c>
      <c r="F470" s="8">
        <v>3</v>
      </c>
      <c r="G470" s="9">
        <f t="shared" si="107"/>
        <v>3</v>
      </c>
      <c r="H470" s="9">
        <f t="shared" si="108"/>
        <v>13</v>
      </c>
      <c r="I470" s="10">
        <f t="shared" si="109"/>
        <v>18</v>
      </c>
    </row>
    <row r="471" spans="1:11" ht="12.75">
      <c r="A471" s="8" t="s">
        <v>19</v>
      </c>
      <c r="B471" s="9">
        <f t="shared" si="106"/>
        <v>35</v>
      </c>
      <c r="C471" s="8"/>
      <c r="D471" s="8"/>
      <c r="E471" s="8">
        <v>6</v>
      </c>
      <c r="F471" s="8">
        <v>3</v>
      </c>
      <c r="G471" s="9">
        <f t="shared" si="107"/>
        <v>3</v>
      </c>
      <c r="H471" s="9">
        <f t="shared" si="108"/>
        <v>32</v>
      </c>
      <c r="I471" s="10">
        <f t="shared" si="109"/>
        <v>18</v>
      </c>
    </row>
    <row r="472" spans="1:11" ht="12.75">
      <c r="A472" s="8" t="s">
        <v>20</v>
      </c>
      <c r="B472" s="9">
        <f t="shared" si="106"/>
        <v>20</v>
      </c>
      <c r="C472" s="8"/>
      <c r="D472" s="8"/>
      <c r="E472" s="8">
        <v>6</v>
      </c>
      <c r="F472" s="8">
        <v>6</v>
      </c>
      <c r="G472" s="9">
        <f t="shared" si="107"/>
        <v>0</v>
      </c>
      <c r="H472" s="9">
        <f t="shared" si="108"/>
        <v>20</v>
      </c>
      <c r="I472" s="10">
        <f t="shared" si="109"/>
        <v>0</v>
      </c>
    </row>
    <row r="473" spans="1:11" ht="12.75">
      <c r="A473" s="8" t="s">
        <v>21</v>
      </c>
      <c r="B473" s="9">
        <f t="shared" si="106"/>
        <v>15</v>
      </c>
      <c r="C473" s="8"/>
      <c r="D473" s="8"/>
      <c r="E473" s="8">
        <v>2</v>
      </c>
      <c r="F473" s="8">
        <v>1</v>
      </c>
      <c r="G473" s="9">
        <f t="shared" si="107"/>
        <v>1</v>
      </c>
      <c r="H473" s="9">
        <f t="shared" si="108"/>
        <v>14</v>
      </c>
      <c r="I473" s="10">
        <f t="shared" si="109"/>
        <v>6</v>
      </c>
    </row>
    <row r="474" spans="1:11" ht="12.75">
      <c r="A474" s="8" t="s">
        <v>22</v>
      </c>
      <c r="B474" s="9">
        <f t="shared" si="106"/>
        <v>29</v>
      </c>
      <c r="C474" s="8"/>
      <c r="D474" s="8"/>
      <c r="E474" s="8">
        <v>5</v>
      </c>
      <c r="F474" s="8">
        <v>5</v>
      </c>
      <c r="G474" s="9">
        <f t="shared" si="107"/>
        <v>0</v>
      </c>
      <c r="H474" s="9">
        <f t="shared" si="108"/>
        <v>29</v>
      </c>
      <c r="I474" s="10">
        <f t="shared" si="109"/>
        <v>0</v>
      </c>
    </row>
    <row r="475" spans="1:11" ht="12.75">
      <c r="A475" s="8" t="s">
        <v>23</v>
      </c>
      <c r="B475" s="9">
        <f t="shared" si="106"/>
        <v>17</v>
      </c>
      <c r="C475" s="8"/>
      <c r="D475" s="8"/>
      <c r="E475" s="8">
        <v>6</v>
      </c>
      <c r="F475" s="8">
        <v>6</v>
      </c>
      <c r="G475" s="9">
        <f t="shared" si="107"/>
        <v>0</v>
      </c>
      <c r="H475" s="9">
        <f t="shared" si="108"/>
        <v>17</v>
      </c>
      <c r="I475" s="10">
        <f t="shared" si="109"/>
        <v>0</v>
      </c>
      <c r="K475" s="22"/>
    </row>
    <row r="476" spans="1:11" ht="12.75">
      <c r="A476" s="8" t="s">
        <v>24</v>
      </c>
      <c r="B476" s="9">
        <f t="shared" si="106"/>
        <v>11</v>
      </c>
      <c r="C476" s="8"/>
      <c r="D476" s="8"/>
      <c r="E476" s="8">
        <v>4</v>
      </c>
      <c r="F476" s="8">
        <v>3</v>
      </c>
      <c r="G476" s="9">
        <f t="shared" si="107"/>
        <v>1</v>
      </c>
      <c r="H476" s="9">
        <f t="shared" si="108"/>
        <v>10</v>
      </c>
      <c r="I476" s="10">
        <f t="shared" si="109"/>
        <v>6</v>
      </c>
    </row>
    <row r="477" spans="1:11" ht="12.75">
      <c r="A477" s="8" t="s">
        <v>25</v>
      </c>
      <c r="B477" s="9">
        <f t="shared" si="106"/>
        <v>38</v>
      </c>
      <c r="C477" s="8"/>
      <c r="D477" s="8"/>
      <c r="E477" s="8">
        <v>10</v>
      </c>
      <c r="F477" s="8">
        <v>7</v>
      </c>
      <c r="G477" s="9">
        <f t="shared" si="107"/>
        <v>3</v>
      </c>
      <c r="H477" s="9">
        <f t="shared" si="108"/>
        <v>35</v>
      </c>
      <c r="I477" s="10">
        <f t="shared" si="109"/>
        <v>18</v>
      </c>
    </row>
    <row r="478" spans="1:11" ht="12.75">
      <c r="A478" s="8" t="s">
        <v>26</v>
      </c>
      <c r="B478" s="9">
        <f t="shared" si="106"/>
        <v>20</v>
      </c>
      <c r="C478" s="8"/>
      <c r="D478" s="8"/>
      <c r="E478" s="8">
        <v>6</v>
      </c>
      <c r="F478" s="8">
        <v>5</v>
      </c>
      <c r="G478" s="9">
        <f t="shared" si="107"/>
        <v>1</v>
      </c>
      <c r="H478" s="9">
        <f t="shared" si="108"/>
        <v>19</v>
      </c>
      <c r="I478" s="10">
        <f t="shared" si="109"/>
        <v>6</v>
      </c>
    </row>
    <row r="479" spans="1:11" ht="12.75">
      <c r="A479" s="8" t="s">
        <v>27</v>
      </c>
      <c r="B479" s="9">
        <f t="shared" si="106"/>
        <v>17</v>
      </c>
      <c r="C479" s="8"/>
      <c r="D479" s="8"/>
      <c r="E479" s="8">
        <v>4</v>
      </c>
      <c r="F479" s="8">
        <v>4</v>
      </c>
      <c r="G479" s="9">
        <f t="shared" si="107"/>
        <v>0</v>
      </c>
      <c r="H479" s="9">
        <f t="shared" si="108"/>
        <v>17</v>
      </c>
      <c r="I479" s="10">
        <f t="shared" si="109"/>
        <v>0</v>
      </c>
    </row>
    <row r="480" spans="1:11" ht="12.75">
      <c r="A480" s="8" t="s">
        <v>28</v>
      </c>
      <c r="B480" s="9">
        <f t="shared" si="106"/>
        <v>10</v>
      </c>
      <c r="C480" s="8"/>
      <c r="D480" s="8">
        <v>33</v>
      </c>
      <c r="E480" s="8">
        <v>8</v>
      </c>
      <c r="F480" s="8">
        <v>4</v>
      </c>
      <c r="G480" s="9">
        <f t="shared" si="107"/>
        <v>4</v>
      </c>
      <c r="H480" s="9">
        <f t="shared" si="108"/>
        <v>39</v>
      </c>
      <c r="I480" s="10">
        <f t="shared" si="109"/>
        <v>24</v>
      </c>
    </row>
    <row r="481" spans="1:9" ht="12.75">
      <c r="A481" s="8" t="s">
        <v>30</v>
      </c>
      <c r="B481" s="9">
        <f t="shared" si="106"/>
        <v>18</v>
      </c>
      <c r="C481" s="8"/>
      <c r="D481" s="8"/>
      <c r="E481" s="8">
        <v>2</v>
      </c>
      <c r="F481" s="8">
        <v>0</v>
      </c>
      <c r="G481" s="9">
        <f t="shared" si="107"/>
        <v>2</v>
      </c>
      <c r="H481" s="9">
        <f t="shared" si="108"/>
        <v>16</v>
      </c>
      <c r="I481" s="10">
        <f t="shared" si="109"/>
        <v>12</v>
      </c>
    </row>
    <row r="482" spans="1:9" ht="12.75">
      <c r="A482" s="13" t="s">
        <v>86</v>
      </c>
      <c r="B482" s="9">
        <f t="shared" si="106"/>
        <v>27</v>
      </c>
      <c r="C482" s="8"/>
      <c r="D482" s="8"/>
      <c r="E482" s="8">
        <v>4</v>
      </c>
      <c r="F482" s="8">
        <v>1</v>
      </c>
      <c r="G482" s="9">
        <f t="shared" si="107"/>
        <v>3</v>
      </c>
      <c r="H482" s="9">
        <f t="shared" si="108"/>
        <v>24</v>
      </c>
      <c r="I482" s="10">
        <f t="shared" si="109"/>
        <v>18</v>
      </c>
    </row>
    <row r="483" spans="1:9" ht="12.75">
      <c r="A483" s="14" t="s">
        <v>33</v>
      </c>
      <c r="B483" s="15">
        <f>SUM(B462:B482)</f>
        <v>479</v>
      </c>
      <c r="C483" s="14"/>
      <c r="D483" s="14"/>
      <c r="E483" s="15">
        <f t="shared" ref="E483:G483" si="110">SUM(E461:E482)</f>
        <v>113</v>
      </c>
      <c r="F483" s="15">
        <f t="shared" si="110"/>
        <v>82</v>
      </c>
      <c r="G483" s="15">
        <f t="shared" si="110"/>
        <v>31</v>
      </c>
      <c r="H483" s="15">
        <f>SUM(H462:H482)</f>
        <v>512</v>
      </c>
      <c r="I483" s="16">
        <f>SUM(I461:I482)</f>
        <v>186</v>
      </c>
    </row>
    <row r="484" spans="1:9" ht="12.75">
      <c r="A484" s="17"/>
      <c r="B484" s="17"/>
      <c r="C484" s="17"/>
      <c r="D484" s="17"/>
      <c r="E484" s="17"/>
      <c r="F484" s="134" t="s">
        <v>34</v>
      </c>
      <c r="G484" s="133"/>
      <c r="H484" s="18"/>
      <c r="I484" s="19"/>
    </row>
    <row r="485" spans="1:9" ht="12.75">
      <c r="A485" s="17"/>
      <c r="B485" s="24"/>
      <c r="C485" s="24"/>
      <c r="D485" s="24"/>
      <c r="E485" s="135" t="s">
        <v>87</v>
      </c>
      <c r="F485" s="132"/>
      <c r="G485" s="133"/>
      <c r="H485" s="25"/>
      <c r="I485" s="26">
        <f>SUM(I462:I482)</f>
        <v>186</v>
      </c>
    </row>
  </sheetData>
  <mergeCells count="54">
    <mergeCell ref="F484:G484"/>
    <mergeCell ref="E485:G485"/>
    <mergeCell ref="F376:G376"/>
    <mergeCell ref="F403:G403"/>
    <mergeCell ref="E404:G404"/>
    <mergeCell ref="B406:I406"/>
    <mergeCell ref="F430:G430"/>
    <mergeCell ref="E431:G431"/>
    <mergeCell ref="B433:I433"/>
    <mergeCell ref="E377:G377"/>
    <mergeCell ref="B379:I379"/>
    <mergeCell ref="F457:G457"/>
    <mergeCell ref="E458:G458"/>
    <mergeCell ref="B460:I460"/>
    <mergeCell ref="E323:G323"/>
    <mergeCell ref="B325:I325"/>
    <mergeCell ref="F349:G349"/>
    <mergeCell ref="E350:G350"/>
    <mergeCell ref="B352:I352"/>
    <mergeCell ref="B271:I271"/>
    <mergeCell ref="F295:G295"/>
    <mergeCell ref="E296:G296"/>
    <mergeCell ref="B298:I298"/>
    <mergeCell ref="F322:G322"/>
    <mergeCell ref="F241:G241"/>
    <mergeCell ref="E242:G242"/>
    <mergeCell ref="B244:I244"/>
    <mergeCell ref="F268:G268"/>
    <mergeCell ref="E269:G269"/>
    <mergeCell ref="B190:I190"/>
    <mergeCell ref="F187:G187"/>
    <mergeCell ref="F214:G214"/>
    <mergeCell ref="E215:G215"/>
    <mergeCell ref="B217:I217"/>
    <mergeCell ref="B136:I136"/>
    <mergeCell ref="F160:G160"/>
    <mergeCell ref="E161:G161"/>
    <mergeCell ref="B163:I163"/>
    <mergeCell ref="E188:G188"/>
    <mergeCell ref="F106:G106"/>
    <mergeCell ref="E107:G107"/>
    <mergeCell ref="B109:I109"/>
    <mergeCell ref="F133:G133"/>
    <mergeCell ref="E134:G134"/>
    <mergeCell ref="E53:G53"/>
    <mergeCell ref="B55:I55"/>
    <mergeCell ref="F79:G79"/>
    <mergeCell ref="E80:G80"/>
    <mergeCell ref="B82:I82"/>
    <mergeCell ref="B1:I1"/>
    <mergeCell ref="F25:G25"/>
    <mergeCell ref="E26:G26"/>
    <mergeCell ref="B28:I28"/>
    <mergeCell ref="F52:G5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390"/>
  <sheetViews>
    <sheetView workbookViewId="0"/>
  </sheetViews>
  <sheetFormatPr defaultColWidth="12.5703125" defaultRowHeight="15.75" customHeight="1"/>
  <cols>
    <col min="1" max="1" width="23.7109375" customWidth="1"/>
    <col min="7" max="7" width="4.5703125" customWidth="1"/>
    <col min="11" max="11" width="17.42578125" customWidth="1"/>
  </cols>
  <sheetData>
    <row r="1" spans="1:14" ht="12.75">
      <c r="A1" s="136" t="s">
        <v>123</v>
      </c>
      <c r="B1" s="137"/>
      <c r="C1" s="137"/>
      <c r="D1" s="137"/>
      <c r="E1" s="137"/>
      <c r="F1" s="137"/>
      <c r="G1" s="137"/>
      <c r="H1" s="138"/>
    </row>
    <row r="2" spans="1:14" ht="12.75">
      <c r="A2" s="139"/>
      <c r="B2" s="140"/>
      <c r="C2" s="140"/>
      <c r="D2" s="140"/>
      <c r="E2" s="140"/>
      <c r="F2" s="140"/>
      <c r="G2" s="140"/>
      <c r="H2" s="141"/>
    </row>
    <row r="3" spans="1:14" ht="12.75">
      <c r="A3" s="142" t="s">
        <v>18</v>
      </c>
      <c r="B3" s="132"/>
      <c r="C3" s="132"/>
      <c r="D3" s="132"/>
      <c r="E3" s="132"/>
      <c r="F3" s="132"/>
      <c r="G3" s="132"/>
      <c r="H3" s="133"/>
    </row>
    <row r="4" spans="1:14" ht="12.75">
      <c r="A4" s="29" t="s">
        <v>124</v>
      </c>
      <c r="B4" s="29" t="s">
        <v>125</v>
      </c>
      <c r="C4" s="29" t="s">
        <v>126</v>
      </c>
      <c r="D4" s="29" t="s">
        <v>127</v>
      </c>
      <c r="E4" s="30" t="s">
        <v>128</v>
      </c>
      <c r="F4" s="30"/>
      <c r="G4" s="30" t="s">
        <v>129</v>
      </c>
      <c r="H4" s="30" t="s">
        <v>130</v>
      </c>
    </row>
    <row r="5" spans="1:14" ht="12.75">
      <c r="A5" s="31" t="s">
        <v>131</v>
      </c>
      <c r="B5" s="32">
        <v>8</v>
      </c>
      <c r="C5" s="31">
        <v>2000</v>
      </c>
      <c r="D5" s="33">
        <f t="shared" ref="D5:D13" si="0">B5/C5</f>
        <v>4.0000000000000001E-3</v>
      </c>
      <c r="E5" s="31">
        <v>400</v>
      </c>
      <c r="F5" s="31"/>
      <c r="G5" s="34" t="s">
        <v>132</v>
      </c>
      <c r="H5" s="32">
        <f t="shared" ref="H5:H13" si="1">D5*E5</f>
        <v>1.6</v>
      </c>
    </row>
    <row r="6" spans="1:14" ht="12.75">
      <c r="A6" s="31" t="s">
        <v>133</v>
      </c>
      <c r="B6" s="32">
        <v>3</v>
      </c>
      <c r="C6" s="31">
        <v>1</v>
      </c>
      <c r="D6" s="33">
        <f t="shared" si="0"/>
        <v>3</v>
      </c>
      <c r="E6" s="31">
        <v>1</v>
      </c>
      <c r="F6" s="31"/>
      <c r="G6" s="34" t="s">
        <v>134</v>
      </c>
      <c r="H6" s="32">
        <f t="shared" si="1"/>
        <v>3</v>
      </c>
    </row>
    <row r="7" spans="1:14" ht="12.75">
      <c r="A7" s="35" t="s">
        <v>135</v>
      </c>
      <c r="B7" s="36">
        <v>35</v>
      </c>
      <c r="C7" s="35">
        <v>1000</v>
      </c>
      <c r="D7" s="33">
        <f t="shared" si="0"/>
        <v>3.5000000000000003E-2</v>
      </c>
      <c r="E7" s="35">
        <v>20</v>
      </c>
      <c r="F7" s="35"/>
      <c r="G7" s="37" t="s">
        <v>136</v>
      </c>
      <c r="H7" s="32">
        <f t="shared" si="1"/>
        <v>0.70000000000000007</v>
      </c>
      <c r="J7" s="38"/>
      <c r="K7" s="38"/>
      <c r="L7" s="38"/>
      <c r="M7" s="39"/>
      <c r="N7" s="39"/>
    </row>
    <row r="8" spans="1:14" ht="25.5">
      <c r="A8" s="35" t="s">
        <v>137</v>
      </c>
      <c r="B8" s="36">
        <v>120</v>
      </c>
      <c r="C8" s="35">
        <v>1000</v>
      </c>
      <c r="D8" s="40">
        <f t="shared" si="0"/>
        <v>0.12</v>
      </c>
      <c r="E8" s="35">
        <v>20</v>
      </c>
      <c r="F8" s="35"/>
      <c r="G8" s="37" t="s">
        <v>129</v>
      </c>
      <c r="H8" s="36">
        <f t="shared" si="1"/>
        <v>2.4</v>
      </c>
      <c r="J8" s="41" t="s">
        <v>138</v>
      </c>
      <c r="K8" s="41" t="s">
        <v>139</v>
      </c>
      <c r="L8" s="41" t="s">
        <v>140</v>
      </c>
      <c r="M8" s="42" t="s">
        <v>141</v>
      </c>
      <c r="N8" s="42" t="s">
        <v>142</v>
      </c>
    </row>
    <row r="9" spans="1:14" ht="12.75">
      <c r="A9" s="31" t="s">
        <v>143</v>
      </c>
      <c r="B9" s="32">
        <v>4.5</v>
      </c>
      <c r="C9" s="31">
        <v>1</v>
      </c>
      <c r="D9" s="33">
        <f t="shared" si="0"/>
        <v>4.5</v>
      </c>
      <c r="E9" s="31">
        <v>1</v>
      </c>
      <c r="F9" s="31"/>
      <c r="G9" s="34" t="s">
        <v>134</v>
      </c>
      <c r="H9" s="32">
        <f t="shared" si="1"/>
        <v>4.5</v>
      </c>
      <c r="J9" s="43">
        <f>H14</f>
        <v>30.119999999999997</v>
      </c>
      <c r="K9" s="44">
        <v>20</v>
      </c>
      <c r="L9" s="32">
        <v>6</v>
      </c>
      <c r="M9" s="32">
        <f>K9*L9</f>
        <v>120</v>
      </c>
      <c r="N9" s="45">
        <f>M9-J9</f>
        <v>89.88</v>
      </c>
    </row>
    <row r="10" spans="1:14" ht="12.75">
      <c r="A10" s="31" t="s">
        <v>144</v>
      </c>
      <c r="B10" s="32">
        <v>38</v>
      </c>
      <c r="C10" s="31">
        <v>1000</v>
      </c>
      <c r="D10" s="33">
        <f t="shared" si="0"/>
        <v>3.7999999999999999E-2</v>
      </c>
      <c r="E10" s="46">
        <v>60</v>
      </c>
      <c r="F10" s="46"/>
      <c r="G10" s="34" t="s">
        <v>132</v>
      </c>
      <c r="H10" s="32">
        <f t="shared" si="1"/>
        <v>2.2799999999999998</v>
      </c>
    </row>
    <row r="11" spans="1:14" ht="12.75">
      <c r="A11" s="31" t="s">
        <v>145</v>
      </c>
      <c r="B11" s="32">
        <v>5</v>
      </c>
      <c r="C11" s="31">
        <v>1</v>
      </c>
      <c r="D11" s="33">
        <f t="shared" si="0"/>
        <v>5</v>
      </c>
      <c r="E11" s="31">
        <v>1.5</v>
      </c>
      <c r="F11" s="31"/>
      <c r="G11" s="34" t="s">
        <v>146</v>
      </c>
      <c r="H11" s="32">
        <f t="shared" si="1"/>
        <v>7.5</v>
      </c>
    </row>
    <row r="12" spans="1:14" ht="12.75">
      <c r="A12" s="27" t="s">
        <v>147</v>
      </c>
      <c r="B12" s="32">
        <v>32</v>
      </c>
      <c r="C12" s="31">
        <v>1000</v>
      </c>
      <c r="D12" s="33">
        <f t="shared" si="0"/>
        <v>3.2000000000000001E-2</v>
      </c>
      <c r="E12" s="46">
        <v>20</v>
      </c>
      <c r="F12" s="46"/>
      <c r="G12" s="34" t="s">
        <v>132</v>
      </c>
      <c r="H12" s="32">
        <f t="shared" si="1"/>
        <v>0.64</v>
      </c>
    </row>
    <row r="13" spans="1:14" ht="12.75">
      <c r="A13" s="31" t="s">
        <v>148</v>
      </c>
      <c r="B13" s="32">
        <v>25</v>
      </c>
      <c r="C13" s="31">
        <v>1000</v>
      </c>
      <c r="D13" s="33">
        <f t="shared" si="0"/>
        <v>2.5000000000000001E-2</v>
      </c>
      <c r="E13" s="31">
        <v>300</v>
      </c>
      <c r="F13" s="31"/>
      <c r="G13" s="34" t="s">
        <v>149</v>
      </c>
      <c r="H13" s="32">
        <f t="shared" si="1"/>
        <v>7.5</v>
      </c>
    </row>
    <row r="14" spans="1:14" ht="12.75">
      <c r="B14" s="47"/>
      <c r="C14" s="47"/>
      <c r="E14" s="47" t="s">
        <v>150</v>
      </c>
      <c r="F14" s="47"/>
      <c r="G14" s="47"/>
      <c r="H14" s="48">
        <f>SUM(H5:H13)</f>
        <v>30.119999999999997</v>
      </c>
    </row>
    <row r="15" spans="1:14" ht="20.25" customHeight="1">
      <c r="A15" s="143" t="s">
        <v>123</v>
      </c>
      <c r="B15" s="137"/>
      <c r="C15" s="137"/>
      <c r="D15" s="137"/>
      <c r="E15" s="137"/>
      <c r="F15" s="137"/>
      <c r="G15" s="137"/>
      <c r="H15" s="138"/>
    </row>
    <row r="16" spans="1:14" ht="12.75">
      <c r="A16" s="139"/>
      <c r="B16" s="140"/>
      <c r="C16" s="140"/>
      <c r="D16" s="140"/>
      <c r="E16" s="140"/>
      <c r="F16" s="140"/>
      <c r="G16" s="140"/>
      <c r="H16" s="141"/>
    </row>
    <row r="17" spans="1:31" ht="12.75">
      <c r="A17" s="142" t="s">
        <v>12</v>
      </c>
      <c r="B17" s="132"/>
      <c r="C17" s="132"/>
      <c r="D17" s="132"/>
      <c r="E17" s="132"/>
      <c r="F17" s="132"/>
      <c r="G17" s="132"/>
      <c r="H17" s="133"/>
    </row>
    <row r="18" spans="1:31" ht="12.75">
      <c r="A18" s="31" t="s">
        <v>131</v>
      </c>
      <c r="B18" s="32">
        <v>8</v>
      </c>
      <c r="C18" s="31">
        <v>2000</v>
      </c>
      <c r="D18" s="33">
        <f t="shared" ref="D18:D28" si="2">B18/C18</f>
        <v>4.0000000000000001E-3</v>
      </c>
      <c r="E18" s="31">
        <v>500</v>
      </c>
      <c r="F18" s="31"/>
      <c r="G18" s="34" t="s">
        <v>132</v>
      </c>
      <c r="H18" s="32">
        <f t="shared" ref="H18:H28" si="3">D18*E18</f>
        <v>2</v>
      </c>
    </row>
    <row r="19" spans="1:31" ht="12.75">
      <c r="A19" s="31" t="s">
        <v>133</v>
      </c>
      <c r="B19" s="32">
        <v>3</v>
      </c>
      <c r="C19" s="31">
        <v>1</v>
      </c>
      <c r="D19" s="33">
        <f t="shared" si="2"/>
        <v>3</v>
      </c>
      <c r="E19" s="31">
        <v>1</v>
      </c>
      <c r="F19" s="31"/>
      <c r="G19" s="34" t="s">
        <v>134</v>
      </c>
      <c r="H19" s="32">
        <f t="shared" si="3"/>
        <v>3</v>
      </c>
    </row>
    <row r="20" spans="1:31" ht="12.75">
      <c r="A20" s="35" t="s">
        <v>151</v>
      </c>
      <c r="B20" s="32">
        <v>6</v>
      </c>
      <c r="C20" s="31">
        <v>1000</v>
      </c>
      <c r="D20" s="33">
        <f t="shared" si="2"/>
        <v>6.0000000000000001E-3</v>
      </c>
      <c r="E20" s="31">
        <v>96</v>
      </c>
      <c r="F20" s="31"/>
      <c r="G20" s="34" t="s">
        <v>152</v>
      </c>
      <c r="H20" s="32">
        <f t="shared" si="3"/>
        <v>0.57600000000000007</v>
      </c>
      <c r="J20" s="38"/>
      <c r="K20" s="38"/>
      <c r="L20" s="38"/>
      <c r="M20" s="39"/>
      <c r="N20" s="39"/>
    </row>
    <row r="21" spans="1:31" ht="12.75">
      <c r="A21" s="35" t="s">
        <v>153</v>
      </c>
      <c r="B21" s="36">
        <v>40</v>
      </c>
      <c r="C21" s="35">
        <v>1000</v>
      </c>
      <c r="D21" s="33">
        <f t="shared" si="2"/>
        <v>0.04</v>
      </c>
      <c r="E21" s="35">
        <v>75</v>
      </c>
      <c r="F21" s="35"/>
      <c r="G21" s="37" t="s">
        <v>152</v>
      </c>
      <c r="H21" s="32">
        <f t="shared" si="3"/>
        <v>3</v>
      </c>
      <c r="J21" s="38"/>
      <c r="K21" s="38"/>
      <c r="L21" s="38"/>
      <c r="M21" s="39"/>
      <c r="N21" s="39"/>
    </row>
    <row r="22" spans="1:31" ht="12.75">
      <c r="A22" s="35" t="s">
        <v>135</v>
      </c>
      <c r="B22" s="36">
        <v>35</v>
      </c>
      <c r="C22" s="35">
        <v>1000</v>
      </c>
      <c r="D22" s="33">
        <f t="shared" si="2"/>
        <v>3.5000000000000003E-2</v>
      </c>
      <c r="E22" s="35">
        <v>30</v>
      </c>
      <c r="F22" s="35"/>
      <c r="G22" s="37" t="s">
        <v>136</v>
      </c>
      <c r="H22" s="32">
        <f t="shared" si="3"/>
        <v>1.05</v>
      </c>
      <c r="J22" s="38"/>
      <c r="K22" s="38"/>
      <c r="L22" s="38"/>
      <c r="M22" s="39"/>
      <c r="N22" s="39"/>
    </row>
    <row r="23" spans="1:31" ht="25.5">
      <c r="A23" s="35" t="s">
        <v>137</v>
      </c>
      <c r="B23" s="36">
        <v>120</v>
      </c>
      <c r="C23" s="35">
        <v>1000</v>
      </c>
      <c r="D23" s="40">
        <f t="shared" si="2"/>
        <v>0.12</v>
      </c>
      <c r="E23" s="35">
        <v>30</v>
      </c>
      <c r="F23" s="35"/>
      <c r="G23" s="37" t="s">
        <v>129</v>
      </c>
      <c r="H23" s="36">
        <f t="shared" si="3"/>
        <v>3.5999999999999996</v>
      </c>
      <c r="J23" s="41" t="s">
        <v>138</v>
      </c>
      <c r="K23" s="41" t="s">
        <v>139</v>
      </c>
      <c r="L23" s="41" t="s">
        <v>140</v>
      </c>
      <c r="M23" s="42" t="s">
        <v>141</v>
      </c>
      <c r="N23" s="42" t="s">
        <v>142</v>
      </c>
    </row>
    <row r="24" spans="1:31" ht="12.75">
      <c r="A24" s="31" t="s">
        <v>154</v>
      </c>
      <c r="B24" s="32">
        <v>4.5</v>
      </c>
      <c r="C24" s="31">
        <v>1</v>
      </c>
      <c r="D24" s="33">
        <f t="shared" si="2"/>
        <v>4.5</v>
      </c>
      <c r="E24" s="31">
        <v>2</v>
      </c>
      <c r="F24" s="31"/>
      <c r="G24" s="34" t="s">
        <v>134</v>
      </c>
      <c r="H24" s="32">
        <f t="shared" si="3"/>
        <v>9</v>
      </c>
      <c r="J24" s="43">
        <f>H29</f>
        <v>62.485999999999997</v>
      </c>
      <c r="K24" s="44">
        <v>30</v>
      </c>
      <c r="L24" s="32">
        <v>6</v>
      </c>
      <c r="M24" s="32">
        <f>K24*L24</f>
        <v>180</v>
      </c>
      <c r="N24" s="45">
        <f>M24-J24</f>
        <v>117.51400000000001</v>
      </c>
    </row>
    <row r="25" spans="1:31" ht="12.75">
      <c r="A25" s="31" t="s">
        <v>144</v>
      </c>
      <c r="B25" s="32">
        <v>38</v>
      </c>
      <c r="C25" s="31">
        <v>1000</v>
      </c>
      <c r="D25" s="33">
        <f t="shared" si="2"/>
        <v>3.7999999999999999E-2</v>
      </c>
      <c r="E25" s="46">
        <v>60</v>
      </c>
      <c r="F25" s="46"/>
      <c r="G25" s="34" t="s">
        <v>132</v>
      </c>
      <c r="H25" s="32">
        <f t="shared" si="3"/>
        <v>2.2799999999999998</v>
      </c>
    </row>
    <row r="26" spans="1:31" ht="12.75">
      <c r="A26" s="31" t="s">
        <v>145</v>
      </c>
      <c r="B26" s="32">
        <v>5</v>
      </c>
      <c r="C26" s="31">
        <v>1</v>
      </c>
      <c r="D26" s="33">
        <f t="shared" si="2"/>
        <v>5</v>
      </c>
      <c r="E26" s="31">
        <v>1.5</v>
      </c>
      <c r="F26" s="31"/>
      <c r="G26" s="34" t="s">
        <v>146</v>
      </c>
      <c r="H26" s="32">
        <f t="shared" si="3"/>
        <v>7.5</v>
      </c>
    </row>
    <row r="27" spans="1:31" ht="12.75">
      <c r="A27" s="27" t="s">
        <v>147</v>
      </c>
      <c r="B27" s="32">
        <v>32</v>
      </c>
      <c r="C27" s="31">
        <v>1000</v>
      </c>
      <c r="D27" s="33">
        <f t="shared" si="2"/>
        <v>3.2000000000000001E-2</v>
      </c>
      <c r="E27" s="46">
        <v>15</v>
      </c>
      <c r="F27" s="46"/>
      <c r="G27" s="34" t="s">
        <v>132</v>
      </c>
      <c r="H27" s="32">
        <f t="shared" si="3"/>
        <v>0.48</v>
      </c>
    </row>
    <row r="28" spans="1:31" ht="12.75">
      <c r="A28" s="31" t="s">
        <v>148</v>
      </c>
      <c r="B28" s="32">
        <v>30</v>
      </c>
      <c r="C28" s="31">
        <v>1000</v>
      </c>
      <c r="D28" s="33">
        <f t="shared" si="2"/>
        <v>0.03</v>
      </c>
      <c r="E28" s="31">
        <v>1000</v>
      </c>
      <c r="F28" s="31"/>
      <c r="G28" s="34" t="s">
        <v>149</v>
      </c>
      <c r="H28" s="32">
        <f t="shared" si="3"/>
        <v>30</v>
      </c>
    </row>
    <row r="29" spans="1:31" ht="12.75">
      <c r="B29" s="47"/>
      <c r="C29" s="47"/>
      <c r="E29" s="47" t="s">
        <v>150</v>
      </c>
      <c r="F29" s="47"/>
      <c r="G29" s="47"/>
      <c r="H29" s="48">
        <f>SUM(H18:H28)</f>
        <v>62.485999999999997</v>
      </c>
    </row>
    <row r="30" spans="1:31" ht="12.75">
      <c r="H30" s="22"/>
    </row>
    <row r="31" spans="1:31" ht="12.75">
      <c r="A31" s="144" t="s">
        <v>123</v>
      </c>
      <c r="B31" s="137"/>
      <c r="C31" s="137"/>
      <c r="D31" s="137"/>
      <c r="E31" s="137"/>
      <c r="F31" s="137"/>
      <c r="G31" s="137"/>
      <c r="H31" s="138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 spans="1:31" ht="12.75">
      <c r="A32" s="139"/>
      <c r="B32" s="140"/>
      <c r="C32" s="140"/>
      <c r="D32" s="140"/>
      <c r="E32" s="140"/>
      <c r="F32" s="140"/>
      <c r="G32" s="140"/>
      <c r="H32" s="141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 spans="1:31" ht="12.75">
      <c r="A33" s="145" t="s">
        <v>155</v>
      </c>
      <c r="B33" s="140"/>
      <c r="C33" s="140"/>
      <c r="D33" s="140"/>
      <c r="E33" s="140"/>
      <c r="F33" s="140"/>
      <c r="G33" s="140"/>
      <c r="H33" s="141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 spans="1:31" ht="12.75">
      <c r="A34" s="49" t="s">
        <v>124</v>
      </c>
      <c r="B34" s="50" t="s">
        <v>125</v>
      </c>
      <c r="C34" s="50" t="s">
        <v>126</v>
      </c>
      <c r="D34" s="51" t="s">
        <v>127</v>
      </c>
      <c r="E34" s="51" t="s">
        <v>128</v>
      </c>
      <c r="F34" s="51"/>
      <c r="G34" s="52"/>
      <c r="H34" s="51" t="s">
        <v>130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 spans="1:31" ht="12.75">
      <c r="A35" s="53" t="s">
        <v>131</v>
      </c>
      <c r="B35" s="54">
        <v>8</v>
      </c>
      <c r="C35" s="55">
        <v>2000</v>
      </c>
      <c r="D35" s="56">
        <f t="shared" ref="D35:D45" si="4">B35/C35</f>
        <v>4.0000000000000001E-3</v>
      </c>
      <c r="E35" s="57">
        <v>450</v>
      </c>
      <c r="F35" s="57"/>
      <c r="G35" s="58" t="s">
        <v>132</v>
      </c>
      <c r="H35" s="32">
        <f t="shared" ref="H35:H45" si="5">D35*E35</f>
        <v>1.8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 spans="1:31" ht="12.75">
      <c r="A36" s="53" t="s">
        <v>156</v>
      </c>
      <c r="B36" s="54">
        <v>45</v>
      </c>
      <c r="C36" s="55">
        <v>1000</v>
      </c>
      <c r="D36" s="56">
        <f t="shared" si="4"/>
        <v>4.4999999999999998E-2</v>
      </c>
      <c r="E36" s="57">
        <v>100</v>
      </c>
      <c r="F36" s="57"/>
      <c r="G36" s="58" t="s">
        <v>132</v>
      </c>
      <c r="H36" s="32">
        <f t="shared" si="5"/>
        <v>4.5</v>
      </c>
      <c r="I36" s="17"/>
      <c r="J36" s="59"/>
      <c r="K36" s="59"/>
      <c r="L36" s="59"/>
      <c r="M36" s="59"/>
      <c r="N36" s="59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12.75">
      <c r="A37" s="53" t="s">
        <v>157</v>
      </c>
      <c r="B37" s="54">
        <v>20</v>
      </c>
      <c r="C37" s="55">
        <v>1000</v>
      </c>
      <c r="D37" s="56">
        <f t="shared" si="4"/>
        <v>0.02</v>
      </c>
      <c r="E37" s="57">
        <v>100</v>
      </c>
      <c r="F37" s="57"/>
      <c r="G37" s="58" t="s">
        <v>132</v>
      </c>
      <c r="H37" s="32">
        <f t="shared" si="5"/>
        <v>2</v>
      </c>
      <c r="I37" s="17"/>
      <c r="J37" s="60"/>
      <c r="K37" s="60"/>
      <c r="L37" s="60"/>
      <c r="M37" s="61"/>
      <c r="N37" s="61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25.5">
      <c r="A38" s="62" t="s">
        <v>133</v>
      </c>
      <c r="B38" s="63">
        <v>3</v>
      </c>
      <c r="C38" s="64">
        <v>1</v>
      </c>
      <c r="D38" s="56">
        <f t="shared" si="4"/>
        <v>3</v>
      </c>
      <c r="E38" s="64">
        <v>1</v>
      </c>
      <c r="F38" s="64"/>
      <c r="G38" s="65" t="s">
        <v>134</v>
      </c>
      <c r="H38" s="32">
        <f t="shared" si="5"/>
        <v>3</v>
      </c>
      <c r="I38" s="66"/>
      <c r="J38" s="67" t="s">
        <v>138</v>
      </c>
      <c r="K38" s="67" t="s">
        <v>139</v>
      </c>
      <c r="L38" s="67" t="s">
        <v>140</v>
      </c>
      <c r="M38" s="68" t="s">
        <v>141</v>
      </c>
      <c r="N38" s="68" t="s">
        <v>142</v>
      </c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12.75">
      <c r="A39" s="62" t="s">
        <v>135</v>
      </c>
      <c r="B39" s="63">
        <v>35</v>
      </c>
      <c r="C39" s="64">
        <v>1000</v>
      </c>
      <c r="D39" s="56">
        <f t="shared" si="4"/>
        <v>3.5000000000000003E-2</v>
      </c>
      <c r="E39" s="64">
        <v>25</v>
      </c>
      <c r="F39" s="64"/>
      <c r="G39" s="65" t="s">
        <v>136</v>
      </c>
      <c r="H39" s="32">
        <f t="shared" si="5"/>
        <v>0.87500000000000011</v>
      </c>
      <c r="I39" s="66"/>
      <c r="J39" s="69"/>
      <c r="K39" s="70"/>
      <c r="L39" s="69"/>
      <c r="M39" s="70"/>
      <c r="N39" s="70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12.75">
      <c r="A40" s="53" t="s">
        <v>137</v>
      </c>
      <c r="B40" s="54">
        <v>120</v>
      </c>
      <c r="C40" s="55">
        <v>1000</v>
      </c>
      <c r="D40" s="56">
        <f t="shared" si="4"/>
        <v>0.12</v>
      </c>
      <c r="E40" s="71">
        <v>25</v>
      </c>
      <c r="F40" s="71"/>
      <c r="G40" s="58" t="s">
        <v>129</v>
      </c>
      <c r="H40" s="32">
        <f t="shared" si="5"/>
        <v>3</v>
      </c>
      <c r="I40" s="66"/>
      <c r="J40" s="54">
        <f>H46</f>
        <v>33.094999999999999</v>
      </c>
      <c r="K40" s="55">
        <v>25</v>
      </c>
      <c r="L40" s="54">
        <v>6</v>
      </c>
      <c r="M40" s="54">
        <v>125</v>
      </c>
      <c r="N40" s="72">
        <v>89.69</v>
      </c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2.75">
      <c r="A41" s="53" t="s">
        <v>143</v>
      </c>
      <c r="B41" s="54">
        <v>4.5</v>
      </c>
      <c r="C41" s="55">
        <v>1</v>
      </c>
      <c r="D41" s="56">
        <f t="shared" si="4"/>
        <v>4.5</v>
      </c>
      <c r="E41" s="55">
        <v>1</v>
      </c>
      <c r="F41" s="55"/>
      <c r="G41" s="58" t="s">
        <v>134</v>
      </c>
      <c r="H41" s="32">
        <f t="shared" si="5"/>
        <v>4.5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12.75">
      <c r="A42" s="53" t="s">
        <v>158</v>
      </c>
      <c r="B42" s="54">
        <v>3</v>
      </c>
      <c r="C42" s="55">
        <v>1</v>
      </c>
      <c r="D42" s="56">
        <f t="shared" si="4"/>
        <v>3</v>
      </c>
      <c r="E42" s="55">
        <v>1</v>
      </c>
      <c r="F42" s="55"/>
      <c r="G42" s="58" t="s">
        <v>159</v>
      </c>
      <c r="H42" s="32">
        <f t="shared" si="5"/>
        <v>3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12.75">
      <c r="A43" s="53" t="s">
        <v>144</v>
      </c>
      <c r="B43" s="54">
        <v>38</v>
      </c>
      <c r="C43" s="55">
        <v>1000</v>
      </c>
      <c r="D43" s="56">
        <f t="shared" si="4"/>
        <v>3.7999999999999999E-2</v>
      </c>
      <c r="E43" s="57">
        <v>60</v>
      </c>
      <c r="F43" s="57"/>
      <c r="G43" s="58" t="s">
        <v>132</v>
      </c>
      <c r="H43" s="32">
        <f t="shared" si="5"/>
        <v>2.2799999999999998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12.75">
      <c r="A44" s="53" t="s">
        <v>145</v>
      </c>
      <c r="B44" s="54">
        <v>5</v>
      </c>
      <c r="C44" s="55">
        <v>1</v>
      </c>
      <c r="D44" s="56">
        <f t="shared" si="4"/>
        <v>5</v>
      </c>
      <c r="E44" s="55">
        <v>1.5</v>
      </c>
      <c r="F44" s="55"/>
      <c r="G44" s="58" t="s">
        <v>160</v>
      </c>
      <c r="H44" s="32">
        <f t="shared" si="5"/>
        <v>7.5</v>
      </c>
      <c r="I44" s="17"/>
      <c r="J44" s="17"/>
      <c r="K44" s="17"/>
      <c r="L44" s="73"/>
      <c r="M44" s="17"/>
      <c r="N44" s="73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12.75">
      <c r="A45" s="53" t="s">
        <v>147</v>
      </c>
      <c r="B45" s="54">
        <v>32</v>
      </c>
      <c r="C45" s="55">
        <v>1000</v>
      </c>
      <c r="D45" s="56">
        <f t="shared" si="4"/>
        <v>3.2000000000000001E-2</v>
      </c>
      <c r="E45" s="57">
        <v>20</v>
      </c>
      <c r="F45" s="57"/>
      <c r="G45" s="58" t="s">
        <v>132</v>
      </c>
      <c r="H45" s="32">
        <f t="shared" si="5"/>
        <v>0.64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18.75" customHeight="1">
      <c r="A46" s="17"/>
      <c r="B46" s="74"/>
      <c r="C46" s="74"/>
      <c r="D46" s="74"/>
      <c r="E46" s="75" t="s">
        <v>150</v>
      </c>
      <c r="F46" s="75"/>
      <c r="G46" s="74"/>
      <c r="H46" s="76">
        <f>SUM(H35:H45)</f>
        <v>33.094999999999999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8" spans="1:31" ht="12.75">
      <c r="A48" s="143" t="s">
        <v>123</v>
      </c>
      <c r="B48" s="137"/>
      <c r="C48" s="137"/>
      <c r="D48" s="137"/>
      <c r="E48" s="137"/>
      <c r="F48" s="137"/>
      <c r="G48" s="137"/>
      <c r="H48" s="138"/>
    </row>
    <row r="49" spans="1:14" ht="12.75">
      <c r="A49" s="139"/>
      <c r="B49" s="140"/>
      <c r="C49" s="140"/>
      <c r="D49" s="140"/>
      <c r="E49" s="140"/>
      <c r="F49" s="140"/>
      <c r="G49" s="140"/>
      <c r="H49" s="141"/>
    </row>
    <row r="50" spans="1:14" ht="12.75">
      <c r="A50" s="146" t="s">
        <v>161</v>
      </c>
      <c r="B50" s="132"/>
      <c r="C50" s="132"/>
      <c r="D50" s="132"/>
      <c r="E50" s="132"/>
      <c r="F50" s="132"/>
      <c r="G50" s="132"/>
      <c r="H50" s="133"/>
    </row>
    <row r="51" spans="1:14" ht="12.75">
      <c r="A51" s="30" t="s">
        <v>124</v>
      </c>
      <c r="B51" s="29" t="s">
        <v>125</v>
      </c>
      <c r="C51" s="29" t="s">
        <v>126</v>
      </c>
      <c r="D51" s="29" t="s">
        <v>127</v>
      </c>
      <c r="E51" s="30" t="s">
        <v>128</v>
      </c>
      <c r="F51" s="30"/>
      <c r="G51" s="30"/>
      <c r="H51" s="30" t="s">
        <v>130</v>
      </c>
    </row>
    <row r="52" spans="1:14" ht="12.75">
      <c r="A52" s="31" t="s">
        <v>131</v>
      </c>
      <c r="B52" s="32">
        <v>8</v>
      </c>
      <c r="C52" s="31">
        <v>2000</v>
      </c>
      <c r="D52" s="33">
        <f t="shared" ref="D52:D62" si="6">B52/C52</f>
        <v>4.0000000000000001E-3</v>
      </c>
      <c r="E52" s="77">
        <v>300</v>
      </c>
      <c r="F52" s="77"/>
      <c r="G52" s="34" t="s">
        <v>132</v>
      </c>
      <c r="H52" s="32">
        <f t="shared" ref="H52:H62" si="7">D52*E52</f>
        <v>1.2</v>
      </c>
    </row>
    <row r="53" spans="1:14" ht="12.75">
      <c r="A53" s="31" t="s">
        <v>162</v>
      </c>
      <c r="B53" s="32">
        <v>8</v>
      </c>
      <c r="C53" s="31">
        <v>2000</v>
      </c>
      <c r="D53" s="33">
        <f t="shared" si="6"/>
        <v>4.0000000000000001E-3</v>
      </c>
      <c r="E53" s="77">
        <v>250</v>
      </c>
      <c r="F53" s="77"/>
      <c r="G53" s="34" t="s">
        <v>132</v>
      </c>
      <c r="H53" s="32">
        <f t="shared" si="7"/>
        <v>1</v>
      </c>
    </row>
    <row r="54" spans="1:14" ht="12.75">
      <c r="A54" s="31" t="s">
        <v>133</v>
      </c>
      <c r="B54" s="32">
        <v>3.5</v>
      </c>
      <c r="C54" s="31">
        <v>1</v>
      </c>
      <c r="D54" s="33">
        <f t="shared" si="6"/>
        <v>3.5</v>
      </c>
      <c r="E54" s="31">
        <v>1</v>
      </c>
      <c r="F54" s="31"/>
      <c r="G54" s="34" t="s">
        <v>134</v>
      </c>
      <c r="H54" s="32">
        <f t="shared" si="7"/>
        <v>3.5</v>
      </c>
    </row>
    <row r="55" spans="1:14" ht="12.75">
      <c r="A55" s="35" t="s">
        <v>135</v>
      </c>
      <c r="B55" s="36">
        <v>35</v>
      </c>
      <c r="C55" s="35">
        <v>1000</v>
      </c>
      <c r="D55" s="33">
        <f t="shared" si="6"/>
        <v>3.5000000000000003E-2</v>
      </c>
      <c r="E55" s="35">
        <v>20</v>
      </c>
      <c r="F55" s="35"/>
      <c r="G55" s="37" t="s">
        <v>136</v>
      </c>
      <c r="H55" s="32">
        <f t="shared" si="7"/>
        <v>0.70000000000000007</v>
      </c>
      <c r="J55" s="38"/>
      <c r="K55" s="38"/>
      <c r="L55" s="38"/>
      <c r="M55" s="39"/>
      <c r="N55" s="39"/>
    </row>
    <row r="56" spans="1:14" ht="25.5">
      <c r="A56" s="35" t="s">
        <v>137</v>
      </c>
      <c r="B56" s="36">
        <v>120</v>
      </c>
      <c r="C56" s="35">
        <v>1000</v>
      </c>
      <c r="D56" s="40">
        <f t="shared" si="6"/>
        <v>0.12</v>
      </c>
      <c r="E56" s="35">
        <v>20</v>
      </c>
      <c r="F56" s="35"/>
      <c r="G56" s="37" t="s">
        <v>129</v>
      </c>
      <c r="H56" s="36">
        <f t="shared" si="7"/>
        <v>2.4</v>
      </c>
      <c r="J56" s="41" t="s">
        <v>138</v>
      </c>
      <c r="K56" s="41" t="s">
        <v>139</v>
      </c>
      <c r="L56" s="41" t="s">
        <v>140</v>
      </c>
      <c r="M56" s="42" t="s">
        <v>141</v>
      </c>
      <c r="N56" s="42" t="s">
        <v>142</v>
      </c>
    </row>
    <row r="57" spans="1:14" ht="12.75">
      <c r="A57" s="31" t="s">
        <v>143</v>
      </c>
      <c r="B57" s="32">
        <v>4.5</v>
      </c>
      <c r="C57" s="31">
        <v>1</v>
      </c>
      <c r="D57" s="33">
        <f t="shared" si="6"/>
        <v>4.5</v>
      </c>
      <c r="E57" s="31">
        <v>1</v>
      </c>
      <c r="F57" s="31"/>
      <c r="G57" s="34" t="s">
        <v>134</v>
      </c>
      <c r="H57" s="32">
        <f t="shared" si="7"/>
        <v>4.5</v>
      </c>
      <c r="J57" s="43">
        <f>H63</f>
        <v>49.22</v>
      </c>
      <c r="K57" s="44">
        <v>20</v>
      </c>
      <c r="L57" s="32">
        <v>6</v>
      </c>
      <c r="M57" s="32">
        <f>K57*L57</f>
        <v>120</v>
      </c>
      <c r="N57" s="45">
        <f>M57-J57</f>
        <v>70.78</v>
      </c>
    </row>
    <row r="58" spans="1:14" ht="12.75">
      <c r="A58" s="31" t="s">
        <v>144</v>
      </c>
      <c r="B58" s="32">
        <v>38</v>
      </c>
      <c r="C58" s="31">
        <v>1000</v>
      </c>
      <c r="D58" s="33">
        <f t="shared" si="6"/>
        <v>3.7999999999999999E-2</v>
      </c>
      <c r="E58" s="46">
        <v>60</v>
      </c>
      <c r="F58" s="46"/>
      <c r="G58" s="34" t="s">
        <v>132</v>
      </c>
      <c r="H58" s="32">
        <f t="shared" si="7"/>
        <v>2.2799999999999998</v>
      </c>
    </row>
    <row r="59" spans="1:14" ht="12.75">
      <c r="A59" s="31" t="s">
        <v>145</v>
      </c>
      <c r="B59" s="32">
        <v>5</v>
      </c>
      <c r="C59" s="31">
        <v>1</v>
      </c>
      <c r="D59" s="33">
        <f t="shared" si="6"/>
        <v>5</v>
      </c>
      <c r="E59" s="31">
        <v>1.5</v>
      </c>
      <c r="F59" s="31"/>
      <c r="G59" s="34" t="s">
        <v>160</v>
      </c>
      <c r="H59" s="32">
        <f t="shared" si="7"/>
        <v>7.5</v>
      </c>
    </row>
    <row r="60" spans="1:14" ht="12.75">
      <c r="A60" s="31" t="s">
        <v>147</v>
      </c>
      <c r="B60" s="32">
        <v>32</v>
      </c>
      <c r="C60" s="31">
        <v>1000</v>
      </c>
      <c r="D60" s="33">
        <f t="shared" si="6"/>
        <v>3.2000000000000001E-2</v>
      </c>
      <c r="E60" s="46">
        <v>20</v>
      </c>
      <c r="F60" s="46"/>
      <c r="G60" s="34" t="s">
        <v>132</v>
      </c>
      <c r="H60" s="32">
        <f t="shared" si="7"/>
        <v>0.64</v>
      </c>
    </row>
    <row r="61" spans="1:14" ht="12.75">
      <c r="A61" s="31" t="s">
        <v>161</v>
      </c>
      <c r="B61" s="32">
        <v>15</v>
      </c>
      <c r="C61" s="31">
        <v>250</v>
      </c>
      <c r="D61" s="33">
        <f t="shared" si="6"/>
        <v>0.06</v>
      </c>
      <c r="E61" s="31">
        <v>350</v>
      </c>
      <c r="F61" s="31"/>
      <c r="G61" s="34" t="s">
        <v>132</v>
      </c>
      <c r="H61" s="32">
        <f t="shared" si="7"/>
        <v>21</v>
      </c>
    </row>
    <row r="62" spans="1:14" ht="12.75">
      <c r="A62" s="31" t="s">
        <v>163</v>
      </c>
      <c r="B62" s="32">
        <v>1.5</v>
      </c>
      <c r="C62" s="31">
        <v>1</v>
      </c>
      <c r="D62" s="33">
        <f t="shared" si="6"/>
        <v>1.5</v>
      </c>
      <c r="E62" s="78">
        <v>3</v>
      </c>
      <c r="F62" s="78"/>
      <c r="G62" s="34" t="s">
        <v>129</v>
      </c>
      <c r="H62" s="32">
        <f t="shared" si="7"/>
        <v>4.5</v>
      </c>
    </row>
    <row r="63" spans="1:14" ht="12.75">
      <c r="B63" s="79"/>
      <c r="C63" s="47"/>
      <c r="D63" s="47"/>
      <c r="E63" s="47" t="s">
        <v>150</v>
      </c>
      <c r="F63" s="47"/>
      <c r="G63" s="47"/>
      <c r="H63" s="48">
        <f>SUM(H52:H62)</f>
        <v>49.22</v>
      </c>
    </row>
    <row r="65" spans="1:14" ht="12.75">
      <c r="A65" s="143" t="s">
        <v>123</v>
      </c>
      <c r="B65" s="137"/>
      <c r="C65" s="137"/>
      <c r="D65" s="137"/>
      <c r="E65" s="137"/>
      <c r="F65" s="137"/>
      <c r="G65" s="137"/>
      <c r="H65" s="138"/>
    </row>
    <row r="66" spans="1:14" ht="12.75">
      <c r="A66" s="139"/>
      <c r="B66" s="140"/>
      <c r="C66" s="140"/>
      <c r="D66" s="140"/>
      <c r="E66" s="140"/>
      <c r="F66" s="140"/>
      <c r="G66" s="140"/>
      <c r="H66" s="141"/>
      <c r="J66" s="22"/>
    </row>
    <row r="67" spans="1:14" ht="12.75">
      <c r="A67" s="146" t="s">
        <v>13</v>
      </c>
      <c r="B67" s="132"/>
      <c r="C67" s="132"/>
      <c r="D67" s="132"/>
      <c r="E67" s="132"/>
      <c r="F67" s="132"/>
      <c r="G67" s="132"/>
      <c r="H67" s="133"/>
    </row>
    <row r="68" spans="1:14" ht="12.75">
      <c r="A68" s="30" t="s">
        <v>124</v>
      </c>
      <c r="B68" s="29" t="s">
        <v>125</v>
      </c>
      <c r="C68" s="29" t="s">
        <v>126</v>
      </c>
      <c r="D68" s="29" t="s">
        <v>127</v>
      </c>
      <c r="E68" s="30" t="s">
        <v>128</v>
      </c>
      <c r="F68" s="30"/>
      <c r="G68" s="30" t="s">
        <v>164</v>
      </c>
      <c r="H68" s="30" t="s">
        <v>130</v>
      </c>
    </row>
    <row r="69" spans="1:14" ht="12.75">
      <c r="A69" s="31" t="s">
        <v>131</v>
      </c>
      <c r="B69" s="32">
        <v>8</v>
      </c>
      <c r="C69" s="31">
        <v>2000</v>
      </c>
      <c r="D69" s="33">
        <f t="shared" ref="D69:D77" si="8">B69/C69</f>
        <v>4.0000000000000001E-3</v>
      </c>
      <c r="E69" s="77">
        <v>450</v>
      </c>
      <c r="F69" s="77"/>
      <c r="G69" s="34" t="s">
        <v>132</v>
      </c>
      <c r="H69" s="32">
        <f t="shared" ref="H69:H77" si="9">D69*E69</f>
        <v>1.8</v>
      </c>
    </row>
    <row r="70" spans="1:14" ht="12.75">
      <c r="A70" s="27" t="s">
        <v>13</v>
      </c>
      <c r="B70" s="32">
        <v>13.99</v>
      </c>
      <c r="C70" s="31">
        <v>500</v>
      </c>
      <c r="D70" s="33">
        <f t="shared" si="8"/>
        <v>2.7980000000000001E-2</v>
      </c>
      <c r="E70" s="77">
        <v>200</v>
      </c>
      <c r="F70" s="77"/>
      <c r="G70" s="34" t="s">
        <v>132</v>
      </c>
      <c r="H70" s="32">
        <f t="shared" si="9"/>
        <v>5.5960000000000001</v>
      </c>
    </row>
    <row r="71" spans="1:14" ht="12.75">
      <c r="A71" s="31" t="s">
        <v>133</v>
      </c>
      <c r="B71" s="32">
        <v>3</v>
      </c>
      <c r="C71" s="31">
        <v>1</v>
      </c>
      <c r="D71" s="33">
        <f t="shared" si="8"/>
        <v>3</v>
      </c>
      <c r="E71" s="31">
        <v>1</v>
      </c>
      <c r="F71" s="31"/>
      <c r="G71" s="80" t="s">
        <v>134</v>
      </c>
      <c r="H71" s="32">
        <f t="shared" si="9"/>
        <v>3</v>
      </c>
    </row>
    <row r="72" spans="1:14" ht="12.75">
      <c r="A72" s="35" t="s">
        <v>135</v>
      </c>
      <c r="B72" s="36">
        <v>35</v>
      </c>
      <c r="C72" s="35">
        <v>1000</v>
      </c>
      <c r="D72" s="33">
        <f t="shared" si="8"/>
        <v>3.5000000000000003E-2</v>
      </c>
      <c r="E72" s="35">
        <v>20</v>
      </c>
      <c r="F72" s="35"/>
      <c r="G72" s="37" t="s">
        <v>136</v>
      </c>
      <c r="H72" s="32">
        <f t="shared" si="9"/>
        <v>0.70000000000000007</v>
      </c>
      <c r="J72" s="38"/>
      <c r="K72" s="38"/>
      <c r="L72" s="38"/>
      <c r="M72" s="39"/>
      <c r="N72" s="39"/>
    </row>
    <row r="73" spans="1:14" ht="25.5">
      <c r="A73" s="35" t="s">
        <v>137</v>
      </c>
      <c r="B73" s="36">
        <v>120</v>
      </c>
      <c r="C73" s="35">
        <v>1000</v>
      </c>
      <c r="D73" s="40">
        <f t="shared" si="8"/>
        <v>0.12</v>
      </c>
      <c r="E73" s="35">
        <v>20</v>
      </c>
      <c r="F73" s="35"/>
      <c r="G73" s="37" t="s">
        <v>129</v>
      </c>
      <c r="H73" s="36">
        <f t="shared" si="9"/>
        <v>2.4</v>
      </c>
      <c r="J73" s="41" t="s">
        <v>138</v>
      </c>
      <c r="K73" s="41" t="s">
        <v>139</v>
      </c>
      <c r="L73" s="41" t="s">
        <v>140</v>
      </c>
      <c r="M73" s="42" t="s">
        <v>141</v>
      </c>
      <c r="N73" s="42" t="s">
        <v>142</v>
      </c>
    </row>
    <row r="74" spans="1:14" ht="12.75">
      <c r="A74" s="31" t="s">
        <v>143</v>
      </c>
      <c r="B74" s="32">
        <v>4.5</v>
      </c>
      <c r="C74" s="31">
        <v>1</v>
      </c>
      <c r="D74" s="33">
        <f t="shared" si="8"/>
        <v>4.5</v>
      </c>
      <c r="E74" s="31">
        <v>1</v>
      </c>
      <c r="F74" s="31"/>
      <c r="G74" s="80" t="s">
        <v>134</v>
      </c>
      <c r="H74" s="32">
        <f t="shared" si="9"/>
        <v>4.5</v>
      </c>
      <c r="J74" s="43">
        <f>H78</f>
        <v>28.236000000000004</v>
      </c>
      <c r="K74" s="44">
        <v>20</v>
      </c>
      <c r="L74" s="32">
        <v>6</v>
      </c>
      <c r="M74" s="32">
        <f>K74*L74</f>
        <v>120</v>
      </c>
      <c r="N74" s="45">
        <f>M74-J74</f>
        <v>91.763999999999996</v>
      </c>
    </row>
    <row r="75" spans="1:14" ht="12.75">
      <c r="A75" s="31" t="s">
        <v>144</v>
      </c>
      <c r="B75" s="32">
        <v>35</v>
      </c>
      <c r="C75" s="31">
        <v>1000</v>
      </c>
      <c r="D75" s="33">
        <f t="shared" si="8"/>
        <v>3.5000000000000003E-2</v>
      </c>
      <c r="E75" s="46">
        <v>60</v>
      </c>
      <c r="F75" s="46"/>
      <c r="G75" s="80" t="s">
        <v>132</v>
      </c>
      <c r="H75" s="32">
        <f t="shared" si="9"/>
        <v>2.1</v>
      </c>
    </row>
    <row r="76" spans="1:14" ht="12.75">
      <c r="A76" s="31" t="s">
        <v>145</v>
      </c>
      <c r="B76" s="32">
        <v>5</v>
      </c>
      <c r="C76" s="31">
        <v>1</v>
      </c>
      <c r="D76" s="33">
        <f t="shared" si="8"/>
        <v>5</v>
      </c>
      <c r="E76" s="31">
        <v>1.5</v>
      </c>
      <c r="F76" s="31"/>
      <c r="G76" s="80" t="s">
        <v>160</v>
      </c>
      <c r="H76" s="32">
        <f t="shared" si="9"/>
        <v>7.5</v>
      </c>
    </row>
    <row r="77" spans="1:14" ht="12.75">
      <c r="A77" s="31" t="s">
        <v>147</v>
      </c>
      <c r="B77" s="32">
        <v>32</v>
      </c>
      <c r="C77" s="31">
        <v>1000</v>
      </c>
      <c r="D77" s="33">
        <f t="shared" si="8"/>
        <v>3.2000000000000001E-2</v>
      </c>
      <c r="E77" s="46">
        <v>20</v>
      </c>
      <c r="F77" s="46"/>
      <c r="G77" s="34" t="s">
        <v>132</v>
      </c>
      <c r="H77" s="32">
        <f t="shared" si="9"/>
        <v>0.64</v>
      </c>
    </row>
    <row r="78" spans="1:14" ht="12.75">
      <c r="B78" s="47"/>
      <c r="C78" s="47"/>
      <c r="D78" s="47"/>
      <c r="E78" s="47" t="s">
        <v>150</v>
      </c>
      <c r="F78" s="47"/>
      <c r="G78" s="47"/>
      <c r="H78" s="48">
        <f>SUM(H69:H77)</f>
        <v>28.236000000000004</v>
      </c>
    </row>
    <row r="79" spans="1:14" ht="12.75">
      <c r="A79" s="143" t="s">
        <v>123</v>
      </c>
      <c r="B79" s="137"/>
      <c r="C79" s="137"/>
      <c r="D79" s="137"/>
      <c r="E79" s="137"/>
      <c r="F79" s="137"/>
      <c r="G79" s="137"/>
      <c r="H79" s="138"/>
    </row>
    <row r="80" spans="1:14" ht="12.75">
      <c r="A80" s="139"/>
      <c r="B80" s="140"/>
      <c r="C80" s="140"/>
      <c r="D80" s="140"/>
      <c r="E80" s="140"/>
      <c r="F80" s="140"/>
      <c r="G80" s="140"/>
      <c r="H80" s="141"/>
    </row>
    <row r="81" spans="1:14" ht="12.75">
      <c r="A81" s="146" t="s">
        <v>28</v>
      </c>
      <c r="B81" s="132"/>
      <c r="C81" s="132"/>
      <c r="D81" s="132"/>
      <c r="E81" s="132"/>
      <c r="F81" s="132"/>
      <c r="G81" s="132"/>
      <c r="H81" s="133"/>
    </row>
    <row r="82" spans="1:14" ht="12.75">
      <c r="A82" s="30" t="s">
        <v>124</v>
      </c>
      <c r="B82" s="29" t="s">
        <v>125</v>
      </c>
      <c r="C82" s="29" t="s">
        <v>126</v>
      </c>
      <c r="D82" s="29" t="s">
        <v>127</v>
      </c>
      <c r="E82" s="30" t="s">
        <v>128</v>
      </c>
      <c r="F82" s="30"/>
      <c r="G82" s="30"/>
      <c r="H82" s="30" t="s">
        <v>130</v>
      </c>
    </row>
    <row r="83" spans="1:14" ht="12.75">
      <c r="A83" s="31" t="s">
        <v>131</v>
      </c>
      <c r="B83" s="32">
        <v>8</v>
      </c>
      <c r="C83" s="31">
        <v>2000</v>
      </c>
      <c r="D83" s="33">
        <f t="shared" ref="D83:D94" si="10">B83/C83</f>
        <v>4.0000000000000001E-3</v>
      </c>
      <c r="E83" s="46">
        <v>470</v>
      </c>
      <c r="F83" s="46"/>
      <c r="G83" s="34" t="s">
        <v>132</v>
      </c>
      <c r="H83" s="32">
        <f t="shared" ref="H83:H94" si="11">D83*E83</f>
        <v>1.8800000000000001</v>
      </c>
    </row>
    <row r="84" spans="1:14" ht="12.75">
      <c r="A84" s="31" t="s">
        <v>165</v>
      </c>
      <c r="B84" s="32">
        <v>38.19</v>
      </c>
      <c r="C84" s="31">
        <v>1000</v>
      </c>
      <c r="D84" s="33">
        <f t="shared" si="10"/>
        <v>3.8189999999999995E-2</v>
      </c>
      <c r="E84" s="31">
        <v>100</v>
      </c>
      <c r="F84" s="31"/>
      <c r="G84" s="34" t="s">
        <v>132</v>
      </c>
      <c r="H84" s="32">
        <f t="shared" si="11"/>
        <v>3.8189999999999995</v>
      </c>
    </row>
    <row r="85" spans="1:14" ht="25.5">
      <c r="A85" s="35" t="s">
        <v>166</v>
      </c>
      <c r="B85" s="36">
        <v>45</v>
      </c>
      <c r="C85" s="35">
        <v>1000</v>
      </c>
      <c r="D85" s="40">
        <f t="shared" si="10"/>
        <v>4.4999999999999998E-2</v>
      </c>
      <c r="E85" s="35">
        <v>100</v>
      </c>
      <c r="F85" s="35"/>
      <c r="G85" s="37" t="s">
        <v>132</v>
      </c>
      <c r="H85" s="36">
        <f t="shared" si="11"/>
        <v>4.5</v>
      </c>
      <c r="J85" s="41" t="s">
        <v>138</v>
      </c>
      <c r="K85" s="41" t="s">
        <v>139</v>
      </c>
      <c r="L85" s="41" t="s">
        <v>140</v>
      </c>
      <c r="M85" s="42" t="s">
        <v>141</v>
      </c>
      <c r="N85" s="42" t="s">
        <v>142</v>
      </c>
    </row>
    <row r="86" spans="1:14" ht="12.75">
      <c r="A86" s="35" t="s">
        <v>167</v>
      </c>
      <c r="B86" s="36">
        <v>20</v>
      </c>
      <c r="C86" s="35">
        <v>1000</v>
      </c>
      <c r="D86" s="40">
        <f t="shared" si="10"/>
        <v>0.02</v>
      </c>
      <c r="E86" s="35">
        <v>100</v>
      </c>
      <c r="F86" s="35"/>
      <c r="G86" s="37" t="s">
        <v>132</v>
      </c>
      <c r="H86" s="36">
        <f t="shared" si="11"/>
        <v>2</v>
      </c>
      <c r="J86" s="43"/>
      <c r="K86" s="44"/>
      <c r="L86" s="32"/>
      <c r="M86" s="31"/>
      <c r="N86" s="81"/>
    </row>
    <row r="87" spans="1:14" ht="12.75">
      <c r="A87" s="31" t="s">
        <v>133</v>
      </c>
      <c r="B87" s="32">
        <v>3</v>
      </c>
      <c r="C87" s="31">
        <v>1</v>
      </c>
      <c r="D87" s="33">
        <f t="shared" si="10"/>
        <v>3</v>
      </c>
      <c r="E87" s="31">
        <v>1</v>
      </c>
      <c r="F87" s="31"/>
      <c r="G87" s="34" t="s">
        <v>134</v>
      </c>
      <c r="H87" s="32">
        <f t="shared" si="11"/>
        <v>3</v>
      </c>
      <c r="J87" s="23">
        <f>H95</f>
        <v>36.539000000000001</v>
      </c>
      <c r="K87" s="44">
        <v>20</v>
      </c>
      <c r="L87" s="32">
        <v>6</v>
      </c>
      <c r="M87" s="32">
        <f>K87*L87</f>
        <v>120</v>
      </c>
      <c r="N87" s="45">
        <f>M87-J87</f>
        <v>83.460999999999999</v>
      </c>
    </row>
    <row r="88" spans="1:14" ht="12.75">
      <c r="A88" s="35" t="s">
        <v>135</v>
      </c>
      <c r="B88" s="36">
        <v>35</v>
      </c>
      <c r="C88" s="35">
        <v>1000</v>
      </c>
      <c r="D88" s="33">
        <f t="shared" si="10"/>
        <v>3.5000000000000003E-2</v>
      </c>
      <c r="E88" s="35">
        <v>20</v>
      </c>
      <c r="F88" s="35"/>
      <c r="G88" s="37" t="s">
        <v>136</v>
      </c>
      <c r="H88" s="32">
        <f t="shared" si="11"/>
        <v>0.70000000000000007</v>
      </c>
    </row>
    <row r="89" spans="1:14" ht="12.75">
      <c r="A89" s="31" t="s">
        <v>137</v>
      </c>
      <c r="B89" s="32">
        <v>120</v>
      </c>
      <c r="C89" s="31">
        <v>1000</v>
      </c>
      <c r="D89" s="33">
        <f t="shared" si="10"/>
        <v>0.12</v>
      </c>
      <c r="E89" s="77">
        <v>20</v>
      </c>
      <c r="F89" s="77"/>
      <c r="G89" s="34" t="s">
        <v>129</v>
      </c>
      <c r="H89" s="32">
        <f t="shared" si="11"/>
        <v>2.4</v>
      </c>
    </row>
    <row r="90" spans="1:14" ht="12.75">
      <c r="A90" s="31" t="s">
        <v>143</v>
      </c>
      <c r="B90" s="32">
        <v>4.5</v>
      </c>
      <c r="C90" s="31">
        <v>1</v>
      </c>
      <c r="D90" s="33">
        <f t="shared" si="10"/>
        <v>4.5</v>
      </c>
      <c r="E90" s="31">
        <v>1</v>
      </c>
      <c r="F90" s="31"/>
      <c r="G90" s="34" t="s">
        <v>134</v>
      </c>
      <c r="H90" s="32">
        <f t="shared" si="11"/>
        <v>4.5</v>
      </c>
    </row>
    <row r="91" spans="1:14" ht="12.75">
      <c r="A91" s="27" t="s">
        <v>158</v>
      </c>
      <c r="B91" s="32">
        <v>3.5</v>
      </c>
      <c r="C91" s="31">
        <v>1</v>
      </c>
      <c r="D91" s="33">
        <f t="shared" si="10"/>
        <v>3.5</v>
      </c>
      <c r="E91" s="31">
        <v>1</v>
      </c>
      <c r="F91" s="31"/>
      <c r="G91" s="34" t="s">
        <v>159</v>
      </c>
      <c r="H91" s="32">
        <f t="shared" si="11"/>
        <v>3.5</v>
      </c>
    </row>
    <row r="92" spans="1:14" ht="12.75">
      <c r="A92" s="31" t="s">
        <v>144</v>
      </c>
      <c r="B92" s="32">
        <v>35</v>
      </c>
      <c r="C92" s="31">
        <v>1000</v>
      </c>
      <c r="D92" s="33">
        <f t="shared" si="10"/>
        <v>3.5000000000000003E-2</v>
      </c>
      <c r="E92" s="46">
        <v>60</v>
      </c>
      <c r="F92" s="46"/>
      <c r="G92" s="34" t="s">
        <v>132</v>
      </c>
      <c r="H92" s="32">
        <f t="shared" si="11"/>
        <v>2.1</v>
      </c>
    </row>
    <row r="93" spans="1:14" ht="12.75">
      <c r="A93" s="31" t="s">
        <v>145</v>
      </c>
      <c r="B93" s="32">
        <v>5</v>
      </c>
      <c r="C93" s="31">
        <v>1</v>
      </c>
      <c r="D93" s="33">
        <f t="shared" si="10"/>
        <v>5</v>
      </c>
      <c r="E93" s="31">
        <v>1.5</v>
      </c>
      <c r="F93" s="31"/>
      <c r="G93" s="34" t="s">
        <v>160</v>
      </c>
      <c r="H93" s="32">
        <f t="shared" si="11"/>
        <v>7.5</v>
      </c>
    </row>
    <row r="94" spans="1:14" ht="12.75">
      <c r="A94" s="31" t="s">
        <v>147</v>
      </c>
      <c r="B94" s="32">
        <v>32</v>
      </c>
      <c r="C94" s="31">
        <v>1000</v>
      </c>
      <c r="D94" s="33">
        <f t="shared" si="10"/>
        <v>3.2000000000000001E-2</v>
      </c>
      <c r="E94" s="46">
        <v>20</v>
      </c>
      <c r="F94" s="46"/>
      <c r="G94" s="34" t="s">
        <v>132</v>
      </c>
      <c r="H94" s="32">
        <f t="shared" si="11"/>
        <v>0.64</v>
      </c>
    </row>
    <row r="95" spans="1:14" ht="12.75">
      <c r="B95" s="47"/>
      <c r="C95" s="47"/>
      <c r="D95" s="47"/>
      <c r="E95" s="47" t="s">
        <v>150</v>
      </c>
      <c r="F95" s="47"/>
      <c r="G95" s="47"/>
      <c r="H95" s="48">
        <f>SUM(H83:H94)</f>
        <v>36.539000000000001</v>
      </c>
    </row>
    <row r="97" spans="1:14" ht="12.75">
      <c r="A97" s="143" t="s">
        <v>123</v>
      </c>
      <c r="B97" s="137"/>
      <c r="C97" s="137"/>
      <c r="D97" s="137"/>
      <c r="E97" s="137"/>
      <c r="F97" s="137"/>
      <c r="G97" s="137"/>
      <c r="H97" s="138"/>
    </row>
    <row r="98" spans="1:14" ht="12.75">
      <c r="A98" s="139"/>
      <c r="B98" s="140"/>
      <c r="C98" s="140"/>
      <c r="D98" s="140"/>
      <c r="E98" s="140"/>
      <c r="F98" s="140"/>
      <c r="G98" s="140"/>
      <c r="H98" s="141"/>
    </row>
    <row r="99" spans="1:14" ht="12.75">
      <c r="A99" s="146" t="s">
        <v>14</v>
      </c>
      <c r="B99" s="132"/>
      <c r="C99" s="132"/>
      <c r="D99" s="132"/>
      <c r="E99" s="132"/>
      <c r="F99" s="132"/>
      <c r="G99" s="132"/>
      <c r="H99" s="133"/>
    </row>
    <row r="100" spans="1:14" ht="12.75">
      <c r="A100" s="30" t="s">
        <v>124</v>
      </c>
      <c r="B100" s="29" t="s">
        <v>125</v>
      </c>
      <c r="C100" s="29" t="s">
        <v>126</v>
      </c>
      <c r="D100" s="29" t="s">
        <v>127</v>
      </c>
      <c r="E100" s="30" t="s">
        <v>128</v>
      </c>
      <c r="F100" s="30"/>
      <c r="G100" s="30"/>
      <c r="H100" s="30" t="s">
        <v>130</v>
      </c>
    </row>
    <row r="101" spans="1:14" ht="12.75">
      <c r="A101" s="31" t="s">
        <v>131</v>
      </c>
      <c r="B101" s="32">
        <v>8</v>
      </c>
      <c r="C101" s="31">
        <v>2000</v>
      </c>
      <c r="D101" s="33">
        <f t="shared" ref="D101:D112" si="12">B101/C101</f>
        <v>4.0000000000000001E-3</v>
      </c>
      <c r="E101" s="46">
        <v>250</v>
      </c>
      <c r="F101" s="46"/>
      <c r="G101" s="34" t="s">
        <v>132</v>
      </c>
      <c r="H101" s="32">
        <f t="shared" ref="H101:H112" si="13">D101*E101</f>
        <v>1</v>
      </c>
    </row>
    <row r="102" spans="1:14" ht="12.75">
      <c r="A102" s="27" t="s">
        <v>168</v>
      </c>
      <c r="B102" s="32">
        <v>23</v>
      </c>
      <c r="C102" s="31">
        <v>1000</v>
      </c>
      <c r="D102" s="33">
        <f t="shared" si="12"/>
        <v>2.3E-2</v>
      </c>
      <c r="E102" s="31">
        <v>200</v>
      </c>
      <c r="F102" s="31"/>
      <c r="G102" s="34" t="s">
        <v>132</v>
      </c>
      <c r="H102" s="32">
        <f t="shared" si="13"/>
        <v>4.5999999999999996</v>
      </c>
    </row>
    <row r="103" spans="1:14" ht="25.5">
      <c r="A103" s="35" t="s">
        <v>169</v>
      </c>
      <c r="B103" s="36">
        <v>35</v>
      </c>
      <c r="C103" s="35">
        <v>1000</v>
      </c>
      <c r="D103" s="40">
        <f t="shared" si="12"/>
        <v>3.5000000000000003E-2</v>
      </c>
      <c r="E103" s="35">
        <v>180</v>
      </c>
      <c r="F103" s="35"/>
      <c r="G103" s="37" t="s">
        <v>132</v>
      </c>
      <c r="H103" s="36">
        <f t="shared" si="13"/>
        <v>6.3000000000000007</v>
      </c>
      <c r="J103" s="41" t="s">
        <v>138</v>
      </c>
      <c r="K103" s="41" t="s">
        <v>139</v>
      </c>
      <c r="L103" s="41" t="s">
        <v>140</v>
      </c>
      <c r="M103" s="42" t="s">
        <v>141</v>
      </c>
      <c r="N103" s="42" t="s">
        <v>142</v>
      </c>
    </row>
    <row r="104" spans="1:14" ht="12.75">
      <c r="A104" s="31" t="s">
        <v>133</v>
      </c>
      <c r="B104" s="32">
        <v>3</v>
      </c>
      <c r="C104" s="31">
        <v>1</v>
      </c>
      <c r="D104" s="33">
        <f t="shared" si="12"/>
        <v>3</v>
      </c>
      <c r="E104" s="31">
        <v>1</v>
      </c>
      <c r="F104" s="31"/>
      <c r="G104" s="34" t="s">
        <v>134</v>
      </c>
      <c r="H104" s="32">
        <f t="shared" si="13"/>
        <v>3</v>
      </c>
      <c r="J104" s="43">
        <f>H113</f>
        <v>34.628</v>
      </c>
      <c r="K104" s="44">
        <v>20</v>
      </c>
      <c r="L104" s="32">
        <v>6</v>
      </c>
      <c r="M104" s="32">
        <f>K104*L104</f>
        <v>120</v>
      </c>
      <c r="N104" s="45">
        <f>M104-J104</f>
        <v>85.372</v>
      </c>
    </row>
    <row r="105" spans="1:14" ht="12.75">
      <c r="A105" s="35" t="s">
        <v>135</v>
      </c>
      <c r="B105" s="36">
        <v>35</v>
      </c>
      <c r="C105" s="35">
        <v>1000</v>
      </c>
      <c r="D105" s="33">
        <f t="shared" si="12"/>
        <v>3.5000000000000003E-2</v>
      </c>
      <c r="E105" s="35">
        <v>20</v>
      </c>
      <c r="F105" s="35"/>
      <c r="G105" s="37" t="s">
        <v>136</v>
      </c>
      <c r="H105" s="32">
        <f t="shared" si="13"/>
        <v>0.70000000000000007</v>
      </c>
    </row>
    <row r="106" spans="1:14" ht="12.75">
      <c r="A106" s="31" t="s">
        <v>137</v>
      </c>
      <c r="B106" s="32">
        <v>120</v>
      </c>
      <c r="C106" s="31">
        <v>1000</v>
      </c>
      <c r="D106" s="33">
        <f t="shared" si="12"/>
        <v>0.12</v>
      </c>
      <c r="E106" s="77">
        <v>20</v>
      </c>
      <c r="F106" s="77"/>
      <c r="G106" s="34" t="s">
        <v>129</v>
      </c>
      <c r="H106" s="32">
        <f t="shared" si="13"/>
        <v>2.4</v>
      </c>
    </row>
    <row r="107" spans="1:14" ht="12.75">
      <c r="A107" s="31" t="s">
        <v>170</v>
      </c>
      <c r="B107" s="32">
        <v>23</v>
      </c>
      <c r="C107" s="31">
        <v>1000</v>
      </c>
      <c r="D107" s="33">
        <f t="shared" si="12"/>
        <v>2.3E-2</v>
      </c>
      <c r="E107" s="31">
        <v>6</v>
      </c>
      <c r="F107" s="31"/>
      <c r="G107" s="34" t="s">
        <v>132</v>
      </c>
      <c r="H107" s="32">
        <f t="shared" si="13"/>
        <v>0.13800000000000001</v>
      </c>
    </row>
    <row r="108" spans="1:14" ht="12.75">
      <c r="A108" s="31" t="s">
        <v>143</v>
      </c>
      <c r="B108" s="32">
        <v>4.5</v>
      </c>
      <c r="C108" s="31">
        <v>1</v>
      </c>
      <c r="D108" s="33">
        <f t="shared" si="12"/>
        <v>4.5</v>
      </c>
      <c r="E108" s="31">
        <v>1</v>
      </c>
      <c r="F108" s="31"/>
      <c r="G108" s="34" t="s">
        <v>134</v>
      </c>
      <c r="H108" s="32">
        <f t="shared" si="13"/>
        <v>4.5</v>
      </c>
    </row>
    <row r="109" spans="1:14" ht="12.75">
      <c r="A109" s="31" t="s">
        <v>144</v>
      </c>
      <c r="B109" s="32">
        <v>35</v>
      </c>
      <c r="C109" s="31">
        <v>1000</v>
      </c>
      <c r="D109" s="33">
        <f t="shared" si="12"/>
        <v>3.5000000000000003E-2</v>
      </c>
      <c r="E109" s="46">
        <v>60</v>
      </c>
      <c r="F109" s="46"/>
      <c r="G109" s="34" t="s">
        <v>132</v>
      </c>
      <c r="H109" s="32">
        <f t="shared" si="13"/>
        <v>2.1</v>
      </c>
    </row>
    <row r="110" spans="1:14" ht="12.75">
      <c r="A110" s="31" t="s">
        <v>145</v>
      </c>
      <c r="B110" s="32">
        <v>5</v>
      </c>
      <c r="C110" s="31">
        <v>1</v>
      </c>
      <c r="D110" s="33">
        <f t="shared" si="12"/>
        <v>5</v>
      </c>
      <c r="E110" s="31">
        <v>1.5</v>
      </c>
      <c r="F110" s="31"/>
      <c r="G110" s="34" t="s">
        <v>160</v>
      </c>
      <c r="H110" s="32">
        <f t="shared" si="13"/>
        <v>7.5</v>
      </c>
    </row>
    <row r="111" spans="1:14" ht="12.75">
      <c r="A111" s="31" t="s">
        <v>147</v>
      </c>
      <c r="B111" s="32">
        <v>32</v>
      </c>
      <c r="C111" s="31">
        <v>1000</v>
      </c>
      <c r="D111" s="33">
        <f t="shared" si="12"/>
        <v>3.2000000000000001E-2</v>
      </c>
      <c r="E111" s="46">
        <v>20</v>
      </c>
      <c r="F111" s="46"/>
      <c r="G111" s="34" t="s">
        <v>132</v>
      </c>
      <c r="H111" s="32">
        <f t="shared" si="13"/>
        <v>0.64</v>
      </c>
    </row>
    <row r="112" spans="1:14" ht="12.75">
      <c r="A112" s="31" t="s">
        <v>171</v>
      </c>
      <c r="B112" s="32">
        <v>35</v>
      </c>
      <c r="C112" s="31">
        <v>1000</v>
      </c>
      <c r="D112" s="33">
        <f t="shared" si="12"/>
        <v>3.5000000000000003E-2</v>
      </c>
      <c r="E112" s="81">
        <v>50</v>
      </c>
      <c r="F112" s="81"/>
      <c r="G112" s="32"/>
      <c r="H112" s="32">
        <f t="shared" si="13"/>
        <v>1.7500000000000002</v>
      </c>
    </row>
    <row r="113" spans="1:14" ht="12.75">
      <c r="B113" s="47"/>
      <c r="C113" s="47"/>
      <c r="D113" s="47"/>
      <c r="E113" s="47" t="s">
        <v>150</v>
      </c>
      <c r="F113" s="47"/>
      <c r="G113" s="47"/>
      <c r="H113" s="48">
        <f>SUM(H101:H112)</f>
        <v>34.628</v>
      </c>
    </row>
    <row r="115" spans="1:14" ht="12.75">
      <c r="A115" s="143" t="s">
        <v>123</v>
      </c>
      <c r="B115" s="137"/>
      <c r="C115" s="137"/>
      <c r="D115" s="137"/>
      <c r="E115" s="137"/>
      <c r="F115" s="137"/>
      <c r="G115" s="137"/>
      <c r="H115" s="138"/>
    </row>
    <row r="116" spans="1:14" ht="12.75">
      <c r="A116" s="139"/>
      <c r="B116" s="140"/>
      <c r="C116" s="140"/>
      <c r="D116" s="140"/>
      <c r="E116" s="140"/>
      <c r="F116" s="140"/>
      <c r="G116" s="140"/>
      <c r="H116" s="141"/>
    </row>
    <row r="117" spans="1:14" ht="12.75">
      <c r="A117" s="146" t="s">
        <v>19</v>
      </c>
      <c r="B117" s="132"/>
      <c r="C117" s="132"/>
      <c r="D117" s="132"/>
      <c r="E117" s="132"/>
      <c r="F117" s="132"/>
      <c r="G117" s="132"/>
      <c r="H117" s="133"/>
    </row>
    <row r="118" spans="1:14" ht="12.75">
      <c r="A118" s="30" t="s">
        <v>124</v>
      </c>
      <c r="B118" s="29" t="s">
        <v>125</v>
      </c>
      <c r="C118" s="29" t="s">
        <v>126</v>
      </c>
      <c r="D118" s="29" t="s">
        <v>127</v>
      </c>
      <c r="E118" s="30" t="s">
        <v>128</v>
      </c>
      <c r="F118" s="30"/>
      <c r="G118" s="30"/>
      <c r="H118" s="30" t="s">
        <v>130</v>
      </c>
    </row>
    <row r="119" spans="1:14" ht="12.75">
      <c r="A119" s="31" t="s">
        <v>131</v>
      </c>
      <c r="B119" s="32">
        <v>8</v>
      </c>
      <c r="C119" s="31">
        <v>2000</v>
      </c>
      <c r="D119" s="33">
        <f t="shared" ref="D119:D129" si="14">B119/C119</f>
        <v>4.0000000000000001E-3</v>
      </c>
      <c r="E119" s="77">
        <v>200</v>
      </c>
      <c r="F119" s="77"/>
      <c r="G119" s="34" t="s">
        <v>132</v>
      </c>
      <c r="H119" s="32">
        <f t="shared" ref="H119:H129" si="15">D119*E119</f>
        <v>0.8</v>
      </c>
    </row>
    <row r="120" spans="1:14" ht="12.75">
      <c r="A120" s="31" t="s">
        <v>172</v>
      </c>
      <c r="B120" s="32">
        <v>8</v>
      </c>
      <c r="C120" s="31">
        <v>2000</v>
      </c>
      <c r="D120" s="33">
        <f t="shared" si="14"/>
        <v>4.0000000000000001E-3</v>
      </c>
      <c r="E120" s="77">
        <v>250</v>
      </c>
      <c r="F120" s="77"/>
      <c r="G120" s="34" t="s">
        <v>132</v>
      </c>
      <c r="H120" s="32">
        <f t="shared" si="15"/>
        <v>1</v>
      </c>
    </row>
    <row r="121" spans="1:14" ht="12.75">
      <c r="A121" s="31" t="s">
        <v>133</v>
      </c>
      <c r="B121" s="32">
        <v>3</v>
      </c>
      <c r="C121" s="31">
        <v>1</v>
      </c>
      <c r="D121" s="33">
        <f t="shared" si="14"/>
        <v>3</v>
      </c>
      <c r="E121" s="31">
        <v>1</v>
      </c>
      <c r="F121" s="31"/>
      <c r="G121" s="34" t="s">
        <v>134</v>
      </c>
      <c r="H121" s="32">
        <f t="shared" si="15"/>
        <v>3</v>
      </c>
    </row>
    <row r="122" spans="1:14" ht="12.75">
      <c r="A122" s="35" t="s">
        <v>135</v>
      </c>
      <c r="B122" s="36">
        <v>35</v>
      </c>
      <c r="C122" s="35">
        <v>1000</v>
      </c>
      <c r="D122" s="33">
        <f t="shared" si="14"/>
        <v>3.5000000000000003E-2</v>
      </c>
      <c r="E122" s="35">
        <v>20</v>
      </c>
      <c r="F122" s="35"/>
      <c r="G122" s="37" t="s">
        <v>136</v>
      </c>
      <c r="H122" s="32">
        <f t="shared" si="15"/>
        <v>0.70000000000000007</v>
      </c>
      <c r="J122" s="38"/>
      <c r="K122" s="38"/>
      <c r="L122" s="38"/>
      <c r="M122" s="39"/>
      <c r="N122" s="39"/>
    </row>
    <row r="123" spans="1:14" ht="25.5">
      <c r="A123" s="35" t="s">
        <v>137</v>
      </c>
      <c r="B123" s="36">
        <v>120</v>
      </c>
      <c r="C123" s="35">
        <v>1000</v>
      </c>
      <c r="D123" s="40">
        <f t="shared" si="14"/>
        <v>0.12</v>
      </c>
      <c r="E123" s="35">
        <v>20</v>
      </c>
      <c r="F123" s="35"/>
      <c r="G123" s="37" t="s">
        <v>129</v>
      </c>
      <c r="H123" s="36">
        <f t="shared" si="15"/>
        <v>2.4</v>
      </c>
      <c r="J123" s="41" t="s">
        <v>138</v>
      </c>
      <c r="K123" s="41" t="s">
        <v>139</v>
      </c>
      <c r="L123" s="41" t="s">
        <v>140</v>
      </c>
      <c r="M123" s="42" t="s">
        <v>141</v>
      </c>
      <c r="N123" s="42" t="s">
        <v>142</v>
      </c>
    </row>
    <row r="124" spans="1:14" ht="12.75">
      <c r="A124" s="31" t="s">
        <v>143</v>
      </c>
      <c r="B124" s="32">
        <v>4.5</v>
      </c>
      <c r="C124" s="31">
        <v>1</v>
      </c>
      <c r="D124" s="33">
        <f t="shared" si="14"/>
        <v>4.5</v>
      </c>
      <c r="E124" s="31">
        <v>1</v>
      </c>
      <c r="F124" s="31"/>
      <c r="G124" s="34" t="s">
        <v>134</v>
      </c>
      <c r="H124" s="32">
        <f t="shared" si="15"/>
        <v>4.5</v>
      </c>
      <c r="J124" s="43">
        <f>H130</f>
        <v>25.64</v>
      </c>
      <c r="K124" s="44">
        <v>20</v>
      </c>
      <c r="L124" s="32">
        <v>6</v>
      </c>
      <c r="M124" s="32">
        <f>K124*L124</f>
        <v>120</v>
      </c>
      <c r="N124" s="45">
        <f>M124-J124</f>
        <v>94.36</v>
      </c>
    </row>
    <row r="125" spans="1:14" ht="12.75">
      <c r="A125" s="31" t="s">
        <v>144</v>
      </c>
      <c r="B125" s="32">
        <v>35</v>
      </c>
      <c r="C125" s="31">
        <v>1000</v>
      </c>
      <c r="D125" s="33">
        <f t="shared" si="14"/>
        <v>3.5000000000000003E-2</v>
      </c>
      <c r="E125" s="46">
        <v>60</v>
      </c>
      <c r="F125" s="46"/>
      <c r="G125" s="34" t="s">
        <v>132</v>
      </c>
      <c r="H125" s="32">
        <f t="shared" si="15"/>
        <v>2.1</v>
      </c>
    </row>
    <row r="126" spans="1:14" ht="12.75">
      <c r="A126" s="31" t="s">
        <v>145</v>
      </c>
      <c r="B126" s="32">
        <v>5</v>
      </c>
      <c r="C126" s="31">
        <v>1</v>
      </c>
      <c r="D126" s="33">
        <f t="shared" si="14"/>
        <v>5</v>
      </c>
      <c r="E126" s="31">
        <v>1</v>
      </c>
      <c r="F126" s="31"/>
      <c r="G126" s="34" t="s">
        <v>173</v>
      </c>
      <c r="H126" s="32">
        <f t="shared" si="15"/>
        <v>5</v>
      </c>
    </row>
    <row r="127" spans="1:14" ht="12.75">
      <c r="A127" s="31" t="s">
        <v>147</v>
      </c>
      <c r="B127" s="32">
        <v>32</v>
      </c>
      <c r="C127" s="31">
        <v>1000</v>
      </c>
      <c r="D127" s="33">
        <f t="shared" si="14"/>
        <v>3.2000000000000001E-2</v>
      </c>
      <c r="E127" s="46">
        <v>20</v>
      </c>
      <c r="F127" s="46"/>
      <c r="G127" s="34" t="s">
        <v>132</v>
      </c>
      <c r="H127" s="32">
        <f t="shared" si="15"/>
        <v>0.64</v>
      </c>
    </row>
    <row r="128" spans="1:14" ht="12.75">
      <c r="A128" s="31" t="s">
        <v>174</v>
      </c>
      <c r="B128" s="32">
        <v>10</v>
      </c>
      <c r="C128" s="31">
        <v>1000</v>
      </c>
      <c r="D128" s="33">
        <f t="shared" si="14"/>
        <v>0.01</v>
      </c>
      <c r="E128" s="31">
        <v>100</v>
      </c>
      <c r="F128" s="31"/>
      <c r="G128" s="34" t="s">
        <v>132</v>
      </c>
      <c r="H128" s="32">
        <f t="shared" si="15"/>
        <v>1</v>
      </c>
    </row>
    <row r="129" spans="1:14" ht="12.75">
      <c r="A129" s="31" t="s">
        <v>163</v>
      </c>
      <c r="B129" s="32">
        <v>1.5</v>
      </c>
      <c r="C129" s="31">
        <v>1</v>
      </c>
      <c r="D129" s="33">
        <f t="shared" si="14"/>
        <v>1.5</v>
      </c>
      <c r="E129" s="31">
        <v>3</v>
      </c>
      <c r="F129" s="31"/>
      <c r="G129" s="34" t="s">
        <v>129</v>
      </c>
      <c r="H129" s="32">
        <f t="shared" si="15"/>
        <v>4.5</v>
      </c>
    </row>
    <row r="130" spans="1:14" ht="12.75">
      <c r="B130" s="47"/>
      <c r="C130" s="47"/>
      <c r="D130" s="47"/>
      <c r="E130" s="47" t="s">
        <v>150</v>
      </c>
      <c r="F130" s="47"/>
      <c r="G130" s="47"/>
      <c r="H130" s="48">
        <f>SUM(H119:H129)</f>
        <v>25.64</v>
      </c>
    </row>
    <row r="132" spans="1:14" ht="12.75">
      <c r="A132" s="143" t="s">
        <v>123</v>
      </c>
      <c r="B132" s="137"/>
      <c r="C132" s="137"/>
      <c r="D132" s="137"/>
      <c r="E132" s="137"/>
      <c r="F132" s="137"/>
      <c r="G132" s="137"/>
      <c r="H132" s="138"/>
    </row>
    <row r="133" spans="1:14" ht="12.75">
      <c r="A133" s="139"/>
      <c r="B133" s="140"/>
      <c r="C133" s="140"/>
      <c r="D133" s="140"/>
      <c r="E133" s="140"/>
      <c r="F133" s="140"/>
      <c r="G133" s="140"/>
      <c r="H133" s="141"/>
    </row>
    <row r="134" spans="1:14" ht="12.75">
      <c r="A134" s="146" t="s">
        <v>20</v>
      </c>
      <c r="B134" s="132"/>
      <c r="C134" s="132"/>
      <c r="D134" s="132"/>
      <c r="E134" s="132"/>
      <c r="F134" s="132"/>
      <c r="G134" s="132"/>
      <c r="H134" s="133"/>
    </row>
    <row r="135" spans="1:14" ht="12.75">
      <c r="A135" s="30" t="s">
        <v>124</v>
      </c>
      <c r="B135" s="29" t="s">
        <v>125</v>
      </c>
      <c r="C135" s="29" t="s">
        <v>126</v>
      </c>
      <c r="D135" s="29" t="s">
        <v>127</v>
      </c>
      <c r="E135" s="30" t="s">
        <v>128</v>
      </c>
      <c r="F135" s="30"/>
      <c r="G135" s="30"/>
      <c r="H135" s="30" t="s">
        <v>130</v>
      </c>
    </row>
    <row r="136" spans="1:14" ht="12.75">
      <c r="A136" s="31" t="s">
        <v>131</v>
      </c>
      <c r="B136" s="32">
        <v>8</v>
      </c>
      <c r="C136" s="31">
        <v>2000</v>
      </c>
      <c r="D136" s="33">
        <f t="shared" ref="D136:D145" si="16">B136/C136</f>
        <v>4.0000000000000001E-3</v>
      </c>
      <c r="E136" s="77">
        <v>200</v>
      </c>
      <c r="F136" s="77"/>
      <c r="G136" s="34" t="s">
        <v>132</v>
      </c>
      <c r="H136" s="32">
        <f t="shared" ref="H136:H145" si="17">D136*E136</f>
        <v>0.8</v>
      </c>
    </row>
    <row r="137" spans="1:14" ht="12.75">
      <c r="A137" s="31" t="s">
        <v>133</v>
      </c>
      <c r="B137" s="32">
        <v>3</v>
      </c>
      <c r="C137" s="31">
        <v>1</v>
      </c>
      <c r="D137" s="33">
        <f t="shared" si="16"/>
        <v>3</v>
      </c>
      <c r="E137" s="31">
        <v>1</v>
      </c>
      <c r="F137" s="31"/>
      <c r="G137" s="34" t="s">
        <v>134</v>
      </c>
      <c r="H137" s="32">
        <f t="shared" si="17"/>
        <v>3</v>
      </c>
    </row>
    <row r="138" spans="1:14" ht="12.75">
      <c r="A138" s="35" t="s">
        <v>135</v>
      </c>
      <c r="B138" s="36">
        <v>35</v>
      </c>
      <c r="C138" s="35">
        <v>1000</v>
      </c>
      <c r="D138" s="33">
        <f t="shared" si="16"/>
        <v>3.5000000000000003E-2</v>
      </c>
      <c r="E138" s="35">
        <v>20</v>
      </c>
      <c r="F138" s="35"/>
      <c r="G138" s="37" t="s">
        <v>136</v>
      </c>
      <c r="H138" s="32">
        <f t="shared" si="17"/>
        <v>0.70000000000000007</v>
      </c>
    </row>
    <row r="139" spans="1:14" ht="25.5">
      <c r="A139" s="35" t="s">
        <v>137</v>
      </c>
      <c r="B139" s="36">
        <v>120</v>
      </c>
      <c r="C139" s="35">
        <v>1000</v>
      </c>
      <c r="D139" s="40">
        <f t="shared" si="16"/>
        <v>0.12</v>
      </c>
      <c r="E139" s="35">
        <v>20</v>
      </c>
      <c r="F139" s="35"/>
      <c r="G139" s="37" t="s">
        <v>129</v>
      </c>
      <c r="H139" s="36">
        <f t="shared" si="17"/>
        <v>2.4</v>
      </c>
      <c r="J139" s="41" t="s">
        <v>138</v>
      </c>
      <c r="K139" s="41" t="s">
        <v>139</v>
      </c>
      <c r="L139" s="41" t="s">
        <v>140</v>
      </c>
      <c r="M139" s="42" t="s">
        <v>141</v>
      </c>
      <c r="N139" s="42" t="s">
        <v>142</v>
      </c>
    </row>
    <row r="140" spans="1:14" ht="12.75">
      <c r="A140" s="31" t="s">
        <v>143</v>
      </c>
      <c r="B140" s="32">
        <v>4.5</v>
      </c>
      <c r="C140" s="31">
        <v>1</v>
      </c>
      <c r="D140" s="33">
        <f t="shared" si="16"/>
        <v>4.5</v>
      </c>
      <c r="E140" s="31">
        <v>1</v>
      </c>
      <c r="F140" s="31"/>
      <c r="G140" s="34" t="s">
        <v>134</v>
      </c>
      <c r="H140" s="32">
        <f t="shared" si="17"/>
        <v>4.5</v>
      </c>
      <c r="J140" s="43">
        <f>H146</f>
        <v>39.068571428571431</v>
      </c>
      <c r="K140" s="44">
        <v>20</v>
      </c>
      <c r="L140" s="32">
        <v>6</v>
      </c>
      <c r="M140" s="32">
        <f>K140*L140</f>
        <v>120</v>
      </c>
      <c r="N140" s="45">
        <f>M140-J140</f>
        <v>80.931428571428569</v>
      </c>
    </row>
    <row r="141" spans="1:14" ht="12.75">
      <c r="A141" s="31" t="s">
        <v>144</v>
      </c>
      <c r="B141" s="32">
        <v>35</v>
      </c>
      <c r="C141" s="31">
        <v>1000</v>
      </c>
      <c r="D141" s="33">
        <f t="shared" si="16"/>
        <v>3.5000000000000003E-2</v>
      </c>
      <c r="E141" s="46">
        <v>60</v>
      </c>
      <c r="F141" s="46"/>
      <c r="G141" s="34" t="s">
        <v>132</v>
      </c>
      <c r="H141" s="32">
        <f t="shared" si="17"/>
        <v>2.1</v>
      </c>
    </row>
    <row r="142" spans="1:14" ht="12.75">
      <c r="A142" s="31" t="s">
        <v>145</v>
      </c>
      <c r="B142" s="32">
        <v>5</v>
      </c>
      <c r="C142" s="31">
        <v>1</v>
      </c>
      <c r="D142" s="33">
        <f t="shared" si="16"/>
        <v>5</v>
      </c>
      <c r="E142" s="31">
        <v>1</v>
      </c>
      <c r="F142" s="31"/>
      <c r="G142" s="34" t="s">
        <v>173</v>
      </c>
      <c r="H142" s="32">
        <f t="shared" si="17"/>
        <v>5</v>
      </c>
    </row>
    <row r="143" spans="1:14" ht="12.75">
      <c r="A143" s="31" t="s">
        <v>147</v>
      </c>
      <c r="B143" s="32">
        <v>32</v>
      </c>
      <c r="C143" s="31">
        <v>1000</v>
      </c>
      <c r="D143" s="33">
        <f t="shared" si="16"/>
        <v>3.2000000000000001E-2</v>
      </c>
      <c r="E143" s="46">
        <v>20</v>
      </c>
      <c r="F143" s="46"/>
      <c r="G143" s="34" t="s">
        <v>132</v>
      </c>
      <c r="H143" s="32">
        <f t="shared" si="17"/>
        <v>0.64</v>
      </c>
    </row>
    <row r="144" spans="1:14" ht="12.75">
      <c r="A144" s="31" t="s">
        <v>175</v>
      </c>
      <c r="B144" s="32">
        <v>27</v>
      </c>
      <c r="C144" s="31">
        <v>350</v>
      </c>
      <c r="D144" s="33">
        <f t="shared" si="16"/>
        <v>7.7142857142857138E-2</v>
      </c>
      <c r="E144" s="31">
        <v>200</v>
      </c>
      <c r="F144" s="31"/>
      <c r="G144" s="34" t="s">
        <v>132</v>
      </c>
      <c r="H144" s="32">
        <f t="shared" si="17"/>
        <v>15.428571428571427</v>
      </c>
    </row>
    <row r="145" spans="1:14" ht="12.75">
      <c r="A145" s="31" t="s">
        <v>163</v>
      </c>
      <c r="B145" s="32">
        <v>1.5</v>
      </c>
      <c r="C145" s="31">
        <v>1</v>
      </c>
      <c r="D145" s="33">
        <f t="shared" si="16"/>
        <v>1.5</v>
      </c>
      <c r="E145" s="31">
        <v>3</v>
      </c>
      <c r="F145" s="31"/>
      <c r="G145" s="34" t="s">
        <v>129</v>
      </c>
      <c r="H145" s="32">
        <f t="shared" si="17"/>
        <v>4.5</v>
      </c>
    </row>
    <row r="146" spans="1:14" ht="12.75">
      <c r="B146" s="47"/>
      <c r="C146" s="47"/>
      <c r="D146" s="47"/>
      <c r="E146" s="47" t="s">
        <v>150</v>
      </c>
      <c r="F146" s="47"/>
      <c r="G146" s="47"/>
      <c r="H146" s="48">
        <f>SUM(H136:H145)</f>
        <v>39.068571428571431</v>
      </c>
    </row>
    <row r="147" spans="1:14" ht="12.75">
      <c r="A147" s="82"/>
      <c r="B147" s="82"/>
      <c r="C147" s="82"/>
      <c r="D147" s="82"/>
      <c r="E147" s="82"/>
      <c r="F147" s="82"/>
      <c r="G147" s="82"/>
      <c r="H147" s="82"/>
    </row>
    <row r="148" spans="1:14" ht="12.75">
      <c r="A148" s="143" t="s">
        <v>123</v>
      </c>
      <c r="B148" s="137"/>
      <c r="C148" s="137"/>
      <c r="D148" s="137"/>
      <c r="E148" s="137"/>
      <c r="F148" s="137"/>
      <c r="G148" s="137"/>
      <c r="H148" s="138"/>
    </row>
    <row r="149" spans="1:14" ht="12.75">
      <c r="A149" s="139"/>
      <c r="B149" s="140"/>
      <c r="C149" s="140"/>
      <c r="D149" s="140"/>
      <c r="E149" s="140"/>
      <c r="F149" s="140"/>
      <c r="G149" s="140"/>
      <c r="H149" s="141"/>
    </row>
    <row r="150" spans="1:14" ht="12.75">
      <c r="A150" s="146" t="s">
        <v>30</v>
      </c>
      <c r="B150" s="132"/>
      <c r="C150" s="132"/>
      <c r="D150" s="132"/>
      <c r="E150" s="132"/>
      <c r="F150" s="132"/>
      <c r="G150" s="132"/>
      <c r="H150" s="133"/>
    </row>
    <row r="151" spans="1:14" ht="12.75">
      <c r="A151" s="30" t="s">
        <v>124</v>
      </c>
      <c r="B151" s="29" t="s">
        <v>125</v>
      </c>
      <c r="C151" s="29" t="s">
        <v>126</v>
      </c>
      <c r="D151" s="29" t="s">
        <v>127</v>
      </c>
      <c r="E151" s="30" t="s">
        <v>128</v>
      </c>
      <c r="F151" s="30"/>
      <c r="G151" s="30"/>
      <c r="H151" s="30" t="s">
        <v>130</v>
      </c>
    </row>
    <row r="152" spans="1:14" ht="12.75">
      <c r="A152" s="31" t="s">
        <v>131</v>
      </c>
      <c r="B152" s="32">
        <v>8</v>
      </c>
      <c r="C152" s="31">
        <v>2000</v>
      </c>
      <c r="D152" s="33">
        <f t="shared" ref="D152:D163" si="18">B152/C152</f>
        <v>4.0000000000000001E-3</v>
      </c>
      <c r="E152" s="46">
        <v>200</v>
      </c>
      <c r="F152" s="46"/>
      <c r="G152" s="34" t="s">
        <v>132</v>
      </c>
      <c r="H152" s="32">
        <f t="shared" ref="H152:H163" si="19">D152*E152</f>
        <v>0.8</v>
      </c>
    </row>
    <row r="153" spans="1:14" ht="12.75">
      <c r="A153" s="31" t="s">
        <v>172</v>
      </c>
      <c r="B153" s="32">
        <v>8</v>
      </c>
      <c r="C153" s="31">
        <v>2000</v>
      </c>
      <c r="D153" s="33">
        <f t="shared" si="18"/>
        <v>4.0000000000000001E-3</v>
      </c>
      <c r="E153" s="46">
        <v>120</v>
      </c>
      <c r="F153" s="46"/>
      <c r="G153" s="34" t="s">
        <v>132</v>
      </c>
      <c r="H153" s="32">
        <f t="shared" si="19"/>
        <v>0.48</v>
      </c>
    </row>
    <row r="154" spans="1:14" ht="12.75">
      <c r="A154" s="27" t="s">
        <v>176</v>
      </c>
      <c r="B154" s="32">
        <v>20</v>
      </c>
      <c r="C154" s="31">
        <v>1300</v>
      </c>
      <c r="D154" s="33">
        <f t="shared" si="18"/>
        <v>1.5384615384615385E-2</v>
      </c>
      <c r="E154" s="78">
        <v>15</v>
      </c>
      <c r="F154" s="78"/>
      <c r="G154" s="34" t="s">
        <v>132</v>
      </c>
      <c r="H154" s="32">
        <f t="shared" si="19"/>
        <v>0.23076923076923078</v>
      </c>
    </row>
    <row r="155" spans="1:14" ht="25.5">
      <c r="A155" s="35" t="s">
        <v>133</v>
      </c>
      <c r="B155" s="36">
        <v>3</v>
      </c>
      <c r="C155" s="35">
        <v>1</v>
      </c>
      <c r="D155" s="40">
        <f t="shared" si="18"/>
        <v>3</v>
      </c>
      <c r="E155" s="35">
        <v>1</v>
      </c>
      <c r="F155" s="35"/>
      <c r="G155" s="37" t="s">
        <v>134</v>
      </c>
      <c r="H155" s="36">
        <f t="shared" si="19"/>
        <v>3</v>
      </c>
      <c r="J155" s="41" t="s">
        <v>138</v>
      </c>
      <c r="K155" s="41" t="s">
        <v>139</v>
      </c>
      <c r="L155" s="41" t="s">
        <v>140</v>
      </c>
      <c r="M155" s="42" t="s">
        <v>141</v>
      </c>
      <c r="N155" s="42" t="s">
        <v>142</v>
      </c>
    </row>
    <row r="156" spans="1:14" ht="12.75">
      <c r="A156" s="35" t="s">
        <v>135</v>
      </c>
      <c r="B156" s="36">
        <v>35</v>
      </c>
      <c r="C156" s="35">
        <v>1000</v>
      </c>
      <c r="D156" s="33">
        <f t="shared" si="18"/>
        <v>3.5000000000000003E-2</v>
      </c>
      <c r="E156" s="35">
        <v>20</v>
      </c>
      <c r="F156" s="35"/>
      <c r="G156" s="37" t="s">
        <v>136</v>
      </c>
      <c r="H156" s="32">
        <f t="shared" si="19"/>
        <v>0.70000000000000007</v>
      </c>
      <c r="J156" s="43"/>
      <c r="K156" s="44"/>
      <c r="L156" s="32"/>
      <c r="M156" s="31"/>
      <c r="N156" s="81"/>
    </row>
    <row r="157" spans="1:14" ht="12.75">
      <c r="A157" s="31" t="s">
        <v>137</v>
      </c>
      <c r="B157" s="32">
        <v>120</v>
      </c>
      <c r="C157" s="31">
        <v>1000</v>
      </c>
      <c r="D157" s="33">
        <f t="shared" si="18"/>
        <v>0.12</v>
      </c>
      <c r="E157" s="77">
        <v>20</v>
      </c>
      <c r="F157" s="77"/>
      <c r="G157" s="34" t="s">
        <v>129</v>
      </c>
      <c r="H157" s="32">
        <f t="shared" si="19"/>
        <v>2.4</v>
      </c>
      <c r="J157" s="43">
        <f>H164</f>
        <v>26.850769230769231</v>
      </c>
      <c r="K157" s="44">
        <v>20</v>
      </c>
      <c r="L157" s="32">
        <v>6</v>
      </c>
      <c r="M157" s="32">
        <f>K157*L157</f>
        <v>120</v>
      </c>
      <c r="N157" s="45">
        <f>M157-J157</f>
        <v>93.149230769230769</v>
      </c>
    </row>
    <row r="158" spans="1:14" ht="12.75">
      <c r="A158" s="31" t="s">
        <v>143</v>
      </c>
      <c r="B158" s="32">
        <v>4.5</v>
      </c>
      <c r="C158" s="31">
        <v>1</v>
      </c>
      <c r="D158" s="33">
        <f t="shared" si="18"/>
        <v>4.5</v>
      </c>
      <c r="E158" s="31">
        <v>1</v>
      </c>
      <c r="F158" s="31"/>
      <c r="G158" s="34" t="s">
        <v>134</v>
      </c>
      <c r="H158" s="32">
        <f t="shared" si="19"/>
        <v>4.5</v>
      </c>
    </row>
    <row r="159" spans="1:14" ht="12.75">
      <c r="A159" s="31" t="s">
        <v>144</v>
      </c>
      <c r="B159" s="32">
        <v>35</v>
      </c>
      <c r="C159" s="31">
        <v>1000</v>
      </c>
      <c r="D159" s="33">
        <f t="shared" si="18"/>
        <v>3.5000000000000003E-2</v>
      </c>
      <c r="E159" s="46">
        <v>60</v>
      </c>
      <c r="F159" s="46"/>
      <c r="G159" s="34" t="s">
        <v>132</v>
      </c>
      <c r="H159" s="32">
        <f t="shared" si="19"/>
        <v>2.1</v>
      </c>
    </row>
    <row r="160" spans="1:14" ht="12.75">
      <c r="A160" s="31" t="s">
        <v>145</v>
      </c>
      <c r="B160" s="32">
        <v>5</v>
      </c>
      <c r="C160" s="31">
        <v>1</v>
      </c>
      <c r="D160" s="33">
        <f t="shared" si="18"/>
        <v>5</v>
      </c>
      <c r="E160" s="31">
        <v>1.5</v>
      </c>
      <c r="F160" s="31"/>
      <c r="G160" s="34" t="s">
        <v>132</v>
      </c>
      <c r="H160" s="32">
        <f t="shared" si="19"/>
        <v>7.5</v>
      </c>
    </row>
    <row r="161" spans="1:14" ht="12.75">
      <c r="A161" s="31" t="s">
        <v>147</v>
      </c>
      <c r="B161" s="32">
        <v>32</v>
      </c>
      <c r="C161" s="31">
        <v>1000</v>
      </c>
      <c r="D161" s="33">
        <f t="shared" si="18"/>
        <v>3.2000000000000001E-2</v>
      </c>
      <c r="E161" s="46">
        <v>20</v>
      </c>
      <c r="F161" s="46"/>
      <c r="G161" s="34" t="s">
        <v>160</v>
      </c>
      <c r="H161" s="32">
        <f t="shared" si="19"/>
        <v>0.64</v>
      </c>
    </row>
    <row r="162" spans="1:14" ht="12.75">
      <c r="A162" s="31" t="s">
        <v>163</v>
      </c>
      <c r="B162" s="32">
        <v>1.5</v>
      </c>
      <c r="C162" s="31">
        <v>1</v>
      </c>
      <c r="D162" s="33">
        <f t="shared" si="18"/>
        <v>1.5</v>
      </c>
      <c r="E162" s="31">
        <v>3</v>
      </c>
      <c r="F162" s="31"/>
      <c r="G162" s="34" t="s">
        <v>129</v>
      </c>
      <c r="H162" s="32">
        <f t="shared" si="19"/>
        <v>4.5</v>
      </c>
    </row>
    <row r="163" spans="1:14" ht="12.75">
      <c r="A163" s="31" t="s">
        <v>30</v>
      </c>
      <c r="B163" s="32">
        <v>10</v>
      </c>
      <c r="C163" s="31">
        <v>500</v>
      </c>
      <c r="D163" s="33">
        <f t="shared" si="18"/>
        <v>0.02</v>
      </c>
      <c r="E163" s="31">
        <v>250</v>
      </c>
      <c r="F163" s="31"/>
      <c r="G163" s="34" t="s">
        <v>132</v>
      </c>
      <c r="H163" s="32">
        <f t="shared" si="19"/>
        <v>5</v>
      </c>
    </row>
    <row r="164" spans="1:14" ht="12.75">
      <c r="B164" s="47"/>
      <c r="C164" s="47"/>
      <c r="D164" s="47"/>
      <c r="E164" s="47" t="s">
        <v>150</v>
      </c>
      <c r="F164" s="47"/>
      <c r="G164" s="47"/>
      <c r="H164" s="48">
        <f>SUM(H152:H162)</f>
        <v>26.850769230769231</v>
      </c>
    </row>
    <row r="165" spans="1:14" ht="12.75">
      <c r="B165" s="27">
        <v>3</v>
      </c>
    </row>
    <row r="166" spans="1:14" ht="12.75">
      <c r="A166" s="143" t="s">
        <v>123</v>
      </c>
      <c r="B166" s="137"/>
      <c r="C166" s="137"/>
      <c r="D166" s="137"/>
      <c r="E166" s="137"/>
      <c r="F166" s="137"/>
      <c r="G166" s="137"/>
      <c r="H166" s="138"/>
    </row>
    <row r="167" spans="1:14" ht="12.75">
      <c r="A167" s="139"/>
      <c r="B167" s="140"/>
      <c r="C167" s="140"/>
      <c r="D167" s="140"/>
      <c r="E167" s="140"/>
      <c r="F167" s="140"/>
      <c r="G167" s="140"/>
      <c r="H167" s="141"/>
    </row>
    <row r="168" spans="1:14" ht="12.75">
      <c r="A168" s="146" t="s">
        <v>15</v>
      </c>
      <c r="B168" s="132"/>
      <c r="C168" s="132"/>
      <c r="D168" s="132"/>
      <c r="E168" s="132"/>
      <c r="F168" s="132"/>
      <c r="G168" s="132"/>
      <c r="H168" s="133"/>
    </row>
    <row r="169" spans="1:14" ht="12.75">
      <c r="A169" s="30" t="s">
        <v>124</v>
      </c>
      <c r="B169" s="29" t="s">
        <v>125</v>
      </c>
      <c r="C169" s="29" t="s">
        <v>126</v>
      </c>
      <c r="D169" s="29" t="s">
        <v>127</v>
      </c>
      <c r="E169" s="30" t="s">
        <v>128</v>
      </c>
      <c r="F169" s="30"/>
      <c r="G169" s="30"/>
      <c r="H169" s="30" t="s">
        <v>130</v>
      </c>
    </row>
    <row r="170" spans="1:14" ht="12.75">
      <c r="A170" s="31" t="s">
        <v>131</v>
      </c>
      <c r="B170" s="32">
        <v>8</v>
      </c>
      <c r="C170" s="31">
        <v>2000</v>
      </c>
      <c r="D170" s="33">
        <f t="shared" ref="D170:D177" si="20">B170/C170</f>
        <v>4.0000000000000001E-3</v>
      </c>
      <c r="E170" s="77">
        <v>400</v>
      </c>
      <c r="F170" s="77"/>
      <c r="G170" s="34" t="s">
        <v>132</v>
      </c>
      <c r="H170" s="32">
        <f t="shared" ref="H170:H177" si="21">D170*E170</f>
        <v>1.6</v>
      </c>
    </row>
    <row r="171" spans="1:14" ht="25.5">
      <c r="A171" s="31" t="s">
        <v>15</v>
      </c>
      <c r="B171" s="32">
        <v>25</v>
      </c>
      <c r="C171" s="31">
        <v>500</v>
      </c>
      <c r="D171" s="33">
        <f t="shared" si="20"/>
        <v>0.05</v>
      </c>
      <c r="E171" s="31">
        <v>400</v>
      </c>
      <c r="F171" s="31"/>
      <c r="G171" s="34" t="s">
        <v>132</v>
      </c>
      <c r="H171" s="32">
        <f t="shared" si="21"/>
        <v>20</v>
      </c>
      <c r="J171" s="41" t="s">
        <v>138</v>
      </c>
      <c r="K171" s="41" t="s">
        <v>139</v>
      </c>
      <c r="L171" s="41" t="s">
        <v>140</v>
      </c>
      <c r="M171" s="42" t="s">
        <v>141</v>
      </c>
      <c r="N171" s="42" t="s">
        <v>142</v>
      </c>
    </row>
    <row r="172" spans="1:14" ht="12.75">
      <c r="A172" s="31" t="s">
        <v>133</v>
      </c>
      <c r="B172" s="32">
        <v>3</v>
      </c>
      <c r="C172" s="31">
        <v>1</v>
      </c>
      <c r="D172" s="33">
        <f t="shared" si="20"/>
        <v>3</v>
      </c>
      <c r="E172" s="31">
        <v>1</v>
      </c>
      <c r="F172" s="31"/>
      <c r="G172" s="34" t="s">
        <v>134</v>
      </c>
      <c r="H172" s="32">
        <f t="shared" si="21"/>
        <v>3</v>
      </c>
      <c r="J172" s="43">
        <f>H178</f>
        <v>41.115000000000002</v>
      </c>
      <c r="K172" s="44">
        <v>25</v>
      </c>
      <c r="L172" s="32">
        <v>6</v>
      </c>
      <c r="M172" s="32">
        <f>K172*L172</f>
        <v>150</v>
      </c>
      <c r="N172" s="45">
        <f>M172-J172</f>
        <v>108.88499999999999</v>
      </c>
    </row>
    <row r="173" spans="1:14" ht="12.75">
      <c r="A173" s="35" t="s">
        <v>135</v>
      </c>
      <c r="B173" s="36">
        <v>35</v>
      </c>
      <c r="C173" s="35">
        <v>1000</v>
      </c>
      <c r="D173" s="33">
        <f t="shared" si="20"/>
        <v>3.5000000000000003E-2</v>
      </c>
      <c r="E173" s="35">
        <v>25</v>
      </c>
      <c r="F173" s="35"/>
      <c r="G173" s="37" t="s">
        <v>136</v>
      </c>
      <c r="H173" s="32">
        <f t="shared" si="21"/>
        <v>0.87500000000000011</v>
      </c>
    </row>
    <row r="174" spans="1:14" ht="12.75">
      <c r="A174" s="35" t="s">
        <v>137</v>
      </c>
      <c r="B174" s="36">
        <v>120</v>
      </c>
      <c r="C174" s="35">
        <v>1000</v>
      </c>
      <c r="D174" s="40">
        <f t="shared" si="20"/>
        <v>0.12</v>
      </c>
      <c r="E174" s="35">
        <v>25</v>
      </c>
      <c r="F174" s="35"/>
      <c r="G174" s="37" t="s">
        <v>129</v>
      </c>
      <c r="H174" s="36">
        <f t="shared" si="21"/>
        <v>3</v>
      </c>
    </row>
    <row r="175" spans="1:14" ht="12.75">
      <c r="A175" s="31" t="s">
        <v>154</v>
      </c>
      <c r="B175" s="32">
        <v>4.5</v>
      </c>
      <c r="C175" s="31">
        <v>1</v>
      </c>
      <c r="D175" s="33">
        <f t="shared" si="20"/>
        <v>4.5</v>
      </c>
      <c r="E175" s="78">
        <v>1</v>
      </c>
      <c r="F175" s="78"/>
      <c r="G175" s="34" t="s">
        <v>134</v>
      </c>
      <c r="H175" s="32">
        <f t="shared" si="21"/>
        <v>4.5</v>
      </c>
    </row>
    <row r="176" spans="1:14" ht="12.75">
      <c r="A176" s="31" t="s">
        <v>145</v>
      </c>
      <c r="B176" s="32">
        <v>5</v>
      </c>
      <c r="C176" s="31">
        <v>1</v>
      </c>
      <c r="D176" s="33">
        <f t="shared" si="20"/>
        <v>5</v>
      </c>
      <c r="E176" s="31">
        <v>1.5</v>
      </c>
      <c r="F176" s="31"/>
      <c r="G176" s="34" t="s">
        <v>160</v>
      </c>
      <c r="H176" s="32">
        <f t="shared" si="21"/>
        <v>7.5</v>
      </c>
    </row>
    <row r="177" spans="1:14" ht="12.75">
      <c r="A177" s="31" t="s">
        <v>147</v>
      </c>
      <c r="B177" s="32">
        <v>32</v>
      </c>
      <c r="C177" s="31">
        <v>1000</v>
      </c>
      <c r="D177" s="33">
        <f t="shared" si="20"/>
        <v>3.2000000000000001E-2</v>
      </c>
      <c r="E177" s="46">
        <v>20</v>
      </c>
      <c r="F177" s="46"/>
      <c r="G177" s="34" t="s">
        <v>132</v>
      </c>
      <c r="H177" s="32">
        <f t="shared" si="21"/>
        <v>0.64</v>
      </c>
      <c r="I177" s="22"/>
    </row>
    <row r="178" spans="1:14" ht="12.75">
      <c r="B178" s="47"/>
      <c r="C178" s="47"/>
      <c r="D178" s="47"/>
      <c r="E178" s="47" t="s">
        <v>150</v>
      </c>
      <c r="F178" s="47"/>
      <c r="G178" s="47"/>
      <c r="H178" s="48">
        <f>SUM(H170:H177)</f>
        <v>41.115000000000002</v>
      </c>
    </row>
    <row r="179" spans="1:14" ht="12.75">
      <c r="B179" s="83"/>
      <c r="C179" s="83"/>
      <c r="D179" s="83"/>
      <c r="E179" s="83"/>
      <c r="F179" s="83"/>
      <c r="G179" s="83"/>
      <c r="H179" s="83"/>
    </row>
    <row r="180" spans="1:14" ht="12.75">
      <c r="A180" s="143" t="s">
        <v>123</v>
      </c>
      <c r="B180" s="137"/>
      <c r="C180" s="137"/>
      <c r="D180" s="137"/>
      <c r="E180" s="137"/>
      <c r="F180" s="137"/>
      <c r="G180" s="137"/>
      <c r="H180" s="138"/>
    </row>
    <row r="181" spans="1:14" ht="12.75">
      <c r="A181" s="139"/>
      <c r="B181" s="140"/>
      <c r="C181" s="140"/>
      <c r="D181" s="140"/>
      <c r="E181" s="140"/>
      <c r="F181" s="140"/>
      <c r="G181" s="140"/>
      <c r="H181" s="141"/>
    </row>
    <row r="182" spans="1:14" ht="12.75">
      <c r="A182" s="146" t="s">
        <v>177</v>
      </c>
      <c r="B182" s="132"/>
      <c r="C182" s="132"/>
      <c r="D182" s="132"/>
      <c r="E182" s="132"/>
      <c r="F182" s="132"/>
      <c r="G182" s="132"/>
      <c r="H182" s="133"/>
    </row>
    <row r="183" spans="1:14" ht="12.75">
      <c r="A183" s="30" t="s">
        <v>124</v>
      </c>
      <c r="B183" s="29" t="s">
        <v>125</v>
      </c>
      <c r="C183" s="29" t="s">
        <v>126</v>
      </c>
      <c r="D183" s="29" t="s">
        <v>127</v>
      </c>
      <c r="E183" s="30" t="s">
        <v>128</v>
      </c>
      <c r="F183" s="30"/>
      <c r="G183" s="30"/>
      <c r="H183" s="30" t="s">
        <v>130</v>
      </c>
    </row>
    <row r="184" spans="1:14" ht="12.75">
      <c r="A184" s="31" t="s">
        <v>131</v>
      </c>
      <c r="B184" s="32">
        <v>8</v>
      </c>
      <c r="C184" s="31">
        <v>2000</v>
      </c>
      <c r="D184" s="33">
        <f t="shared" ref="D184:D193" si="22">B184/C184</f>
        <v>4.0000000000000001E-3</v>
      </c>
      <c r="E184" s="46">
        <v>200</v>
      </c>
      <c r="F184" s="46"/>
      <c r="G184" s="34" t="s">
        <v>132</v>
      </c>
      <c r="H184" s="32">
        <f t="shared" ref="H184:H193" si="23">D184*E184</f>
        <v>0.8</v>
      </c>
    </row>
    <row r="185" spans="1:14" ht="12.75">
      <c r="A185" s="31" t="s">
        <v>133</v>
      </c>
      <c r="B185" s="32">
        <v>3</v>
      </c>
      <c r="C185" s="31">
        <v>1</v>
      </c>
      <c r="D185" s="33">
        <f t="shared" si="22"/>
        <v>3</v>
      </c>
      <c r="E185" s="31">
        <v>1</v>
      </c>
      <c r="F185" s="31"/>
      <c r="G185" s="34" t="s">
        <v>134</v>
      </c>
      <c r="H185" s="32">
        <f t="shared" si="23"/>
        <v>3</v>
      </c>
    </row>
    <row r="186" spans="1:14" ht="12.75">
      <c r="A186" s="35" t="s">
        <v>135</v>
      </c>
      <c r="B186" s="36">
        <v>35</v>
      </c>
      <c r="C186" s="35">
        <v>1000</v>
      </c>
      <c r="D186" s="33">
        <f t="shared" si="22"/>
        <v>3.5000000000000003E-2</v>
      </c>
      <c r="E186" s="35">
        <v>25</v>
      </c>
      <c r="F186" s="35"/>
      <c r="G186" s="37" t="s">
        <v>136</v>
      </c>
      <c r="H186" s="32">
        <f t="shared" si="23"/>
        <v>0.87500000000000011</v>
      </c>
      <c r="J186" s="38"/>
      <c r="K186" s="38"/>
      <c r="L186" s="38"/>
      <c r="M186" s="39"/>
      <c r="N186" s="39"/>
    </row>
    <row r="187" spans="1:14" ht="25.5">
      <c r="A187" s="35" t="s">
        <v>137</v>
      </c>
      <c r="B187" s="36">
        <v>120</v>
      </c>
      <c r="C187" s="35">
        <v>1000</v>
      </c>
      <c r="D187" s="40">
        <f t="shared" si="22"/>
        <v>0.12</v>
      </c>
      <c r="E187" s="35">
        <v>25</v>
      </c>
      <c r="F187" s="35"/>
      <c r="G187" s="37" t="s">
        <v>129</v>
      </c>
      <c r="H187" s="36">
        <f t="shared" si="23"/>
        <v>3</v>
      </c>
      <c r="J187" s="41" t="s">
        <v>138</v>
      </c>
      <c r="K187" s="41" t="s">
        <v>139</v>
      </c>
      <c r="L187" s="41" t="s">
        <v>140</v>
      </c>
      <c r="M187" s="42" t="s">
        <v>141</v>
      </c>
      <c r="N187" s="42" t="s">
        <v>142</v>
      </c>
    </row>
    <row r="188" spans="1:14" ht="12.75">
      <c r="A188" s="31" t="s">
        <v>143</v>
      </c>
      <c r="B188" s="32">
        <v>4.5</v>
      </c>
      <c r="C188" s="31">
        <v>1</v>
      </c>
      <c r="D188" s="33">
        <f t="shared" si="22"/>
        <v>4.5</v>
      </c>
      <c r="E188" s="31">
        <v>1</v>
      </c>
      <c r="F188" s="31"/>
      <c r="G188" s="34" t="s">
        <v>134</v>
      </c>
      <c r="H188" s="32">
        <f t="shared" si="23"/>
        <v>4.5</v>
      </c>
      <c r="J188" s="43">
        <f>H194</f>
        <v>42.343571428571423</v>
      </c>
      <c r="K188" s="44">
        <v>20</v>
      </c>
      <c r="L188" s="32">
        <v>6</v>
      </c>
      <c r="M188" s="32">
        <f>K188*L188</f>
        <v>120</v>
      </c>
      <c r="N188" s="45">
        <f>M188-J188</f>
        <v>77.656428571428577</v>
      </c>
    </row>
    <row r="189" spans="1:14" ht="12.75">
      <c r="A189" s="31" t="s">
        <v>144</v>
      </c>
      <c r="B189" s="32">
        <v>35</v>
      </c>
      <c r="C189" s="31">
        <v>1000</v>
      </c>
      <c r="D189" s="33">
        <f t="shared" si="22"/>
        <v>3.5000000000000003E-2</v>
      </c>
      <c r="E189" s="46">
        <v>60</v>
      </c>
      <c r="F189" s="46"/>
      <c r="G189" s="34" t="s">
        <v>132</v>
      </c>
      <c r="H189" s="32">
        <f t="shared" si="23"/>
        <v>2.1</v>
      </c>
    </row>
    <row r="190" spans="1:14" ht="12.75">
      <c r="A190" s="31" t="s">
        <v>145</v>
      </c>
      <c r="B190" s="32">
        <v>5</v>
      </c>
      <c r="C190" s="31">
        <v>1</v>
      </c>
      <c r="D190" s="33">
        <f t="shared" si="22"/>
        <v>5</v>
      </c>
      <c r="E190" s="31">
        <v>1.5</v>
      </c>
      <c r="F190" s="31"/>
      <c r="G190" s="34" t="s">
        <v>160</v>
      </c>
      <c r="H190" s="32">
        <f t="shared" si="23"/>
        <v>7.5</v>
      </c>
    </row>
    <row r="191" spans="1:14" ht="12.75">
      <c r="A191" s="31" t="s">
        <v>147</v>
      </c>
      <c r="B191" s="32">
        <v>32</v>
      </c>
      <c r="C191" s="31">
        <v>1000</v>
      </c>
      <c r="D191" s="33">
        <f t="shared" si="22"/>
        <v>3.2000000000000001E-2</v>
      </c>
      <c r="E191" s="46">
        <v>20</v>
      </c>
      <c r="F191" s="46"/>
      <c r="G191" s="34" t="s">
        <v>132</v>
      </c>
      <c r="H191" s="32">
        <f t="shared" si="23"/>
        <v>0.64</v>
      </c>
    </row>
    <row r="192" spans="1:14" ht="12.75">
      <c r="A192" s="31" t="s">
        <v>175</v>
      </c>
      <c r="B192" s="32">
        <v>27</v>
      </c>
      <c r="C192" s="31">
        <v>350</v>
      </c>
      <c r="D192" s="33">
        <f t="shared" si="22"/>
        <v>7.7142857142857138E-2</v>
      </c>
      <c r="E192" s="31">
        <v>200</v>
      </c>
      <c r="F192" s="31"/>
      <c r="G192" s="34" t="s">
        <v>132</v>
      </c>
      <c r="H192" s="32">
        <f t="shared" si="23"/>
        <v>15.428571428571427</v>
      </c>
    </row>
    <row r="193" spans="1:14" ht="12.75">
      <c r="A193" s="31" t="s">
        <v>163</v>
      </c>
      <c r="B193" s="32">
        <v>1.5</v>
      </c>
      <c r="C193" s="31">
        <v>1</v>
      </c>
      <c r="D193" s="33">
        <f t="shared" si="22"/>
        <v>1.5</v>
      </c>
      <c r="E193" s="31">
        <v>3</v>
      </c>
      <c r="F193" s="31"/>
      <c r="G193" s="34" t="s">
        <v>129</v>
      </c>
      <c r="H193" s="32">
        <f t="shared" si="23"/>
        <v>4.5</v>
      </c>
    </row>
    <row r="194" spans="1:14" ht="12.75">
      <c r="B194" s="47"/>
      <c r="C194" s="47"/>
      <c r="D194" s="47"/>
      <c r="E194" s="47" t="s">
        <v>150</v>
      </c>
      <c r="F194" s="47"/>
      <c r="G194" s="47"/>
      <c r="H194" s="48">
        <f>SUM(H184:H193)</f>
        <v>42.343571428571423</v>
      </c>
    </row>
    <row r="196" spans="1:14" ht="12.75">
      <c r="A196" s="143" t="s">
        <v>123</v>
      </c>
      <c r="B196" s="137"/>
      <c r="C196" s="137"/>
      <c r="D196" s="137"/>
      <c r="E196" s="137"/>
      <c r="F196" s="137"/>
      <c r="G196" s="137"/>
      <c r="H196" s="138"/>
    </row>
    <row r="197" spans="1:14" ht="12.75">
      <c r="A197" s="139"/>
      <c r="B197" s="140"/>
      <c r="C197" s="140"/>
      <c r="D197" s="140"/>
      <c r="E197" s="140"/>
      <c r="F197" s="140"/>
      <c r="G197" s="140"/>
      <c r="H197" s="141"/>
    </row>
    <row r="198" spans="1:14" ht="12.75">
      <c r="A198" s="146" t="s">
        <v>178</v>
      </c>
      <c r="B198" s="132"/>
      <c r="C198" s="132"/>
      <c r="D198" s="132"/>
      <c r="E198" s="132"/>
      <c r="F198" s="132"/>
      <c r="G198" s="132"/>
      <c r="H198" s="133"/>
    </row>
    <row r="199" spans="1:14" ht="12.75">
      <c r="A199" s="30" t="s">
        <v>124</v>
      </c>
      <c r="B199" s="29" t="s">
        <v>125</v>
      </c>
      <c r="C199" s="29" t="s">
        <v>126</v>
      </c>
      <c r="D199" s="29" t="s">
        <v>127</v>
      </c>
      <c r="E199" s="30" t="s">
        <v>128</v>
      </c>
      <c r="F199" s="30"/>
      <c r="G199" s="30"/>
      <c r="H199" s="30" t="s">
        <v>130</v>
      </c>
    </row>
    <row r="200" spans="1:14" ht="12.75">
      <c r="A200" s="31" t="s">
        <v>131</v>
      </c>
      <c r="B200" s="32">
        <v>8</v>
      </c>
      <c r="C200" s="31">
        <v>2000</v>
      </c>
      <c r="D200" s="33">
        <f t="shared" ref="D200:D208" si="24">B200/C200</f>
        <v>4.0000000000000001E-3</v>
      </c>
      <c r="E200" s="46">
        <v>590</v>
      </c>
      <c r="F200" s="46"/>
      <c r="G200" s="34" t="s">
        <v>132</v>
      </c>
      <c r="H200" s="32">
        <f t="shared" ref="H200:H208" si="25">D200*E200</f>
        <v>2.36</v>
      </c>
    </row>
    <row r="201" spans="1:14" ht="12.75">
      <c r="A201" s="31" t="s">
        <v>133</v>
      </c>
      <c r="B201" s="32">
        <v>3</v>
      </c>
      <c r="C201" s="31">
        <v>1</v>
      </c>
      <c r="D201" s="33">
        <f t="shared" si="24"/>
        <v>3</v>
      </c>
      <c r="E201" s="31">
        <v>1</v>
      </c>
      <c r="F201" s="31"/>
      <c r="G201" s="34" t="s">
        <v>134</v>
      </c>
      <c r="H201" s="32">
        <f t="shared" si="25"/>
        <v>3</v>
      </c>
    </row>
    <row r="202" spans="1:14" ht="12.75">
      <c r="A202" s="35" t="s">
        <v>135</v>
      </c>
      <c r="B202" s="36">
        <v>35</v>
      </c>
      <c r="C202" s="35">
        <v>1000</v>
      </c>
      <c r="D202" s="33">
        <f t="shared" si="24"/>
        <v>3.5000000000000003E-2</v>
      </c>
      <c r="E202" s="35">
        <v>20</v>
      </c>
      <c r="F202" s="35"/>
      <c r="G202" s="37" t="s">
        <v>136</v>
      </c>
      <c r="H202" s="32">
        <f t="shared" si="25"/>
        <v>0.70000000000000007</v>
      </c>
      <c r="J202" s="38"/>
      <c r="K202" s="38"/>
      <c r="L202" s="38"/>
      <c r="M202" s="39"/>
      <c r="N202" s="39"/>
    </row>
    <row r="203" spans="1:14" ht="25.5">
      <c r="A203" s="35" t="s">
        <v>137</v>
      </c>
      <c r="B203" s="36">
        <v>120</v>
      </c>
      <c r="C203" s="35">
        <v>1000</v>
      </c>
      <c r="D203" s="40">
        <f t="shared" si="24"/>
        <v>0.12</v>
      </c>
      <c r="E203" s="35">
        <v>20</v>
      </c>
      <c r="F203" s="35"/>
      <c r="G203" s="37" t="s">
        <v>129</v>
      </c>
      <c r="H203" s="36">
        <f t="shared" si="25"/>
        <v>2.4</v>
      </c>
      <c r="J203" s="41" t="s">
        <v>138</v>
      </c>
      <c r="K203" s="41" t="s">
        <v>139</v>
      </c>
      <c r="L203" s="41" t="s">
        <v>140</v>
      </c>
      <c r="M203" s="42" t="s">
        <v>141</v>
      </c>
      <c r="N203" s="42" t="s">
        <v>142</v>
      </c>
    </row>
    <row r="204" spans="1:14" ht="12.75">
      <c r="A204" s="31" t="s">
        <v>143</v>
      </c>
      <c r="B204" s="32">
        <v>4.5</v>
      </c>
      <c r="C204" s="31">
        <v>1</v>
      </c>
      <c r="D204" s="33">
        <f t="shared" si="24"/>
        <v>4.5</v>
      </c>
      <c r="E204" s="31">
        <v>1</v>
      </c>
      <c r="F204" s="31"/>
      <c r="G204" s="34" t="s">
        <v>134</v>
      </c>
      <c r="H204" s="32">
        <f t="shared" si="25"/>
        <v>4.5</v>
      </c>
      <c r="J204" s="43">
        <f>H209</f>
        <v>43.528571428571425</v>
      </c>
      <c r="K204" s="44">
        <v>20</v>
      </c>
      <c r="L204" s="32">
        <v>6</v>
      </c>
      <c r="M204" s="32">
        <f>K204*L204</f>
        <v>120</v>
      </c>
      <c r="N204" s="45">
        <f>M204-J204</f>
        <v>76.471428571428575</v>
      </c>
    </row>
    <row r="205" spans="1:14" ht="12.75">
      <c r="A205" s="31" t="s">
        <v>144</v>
      </c>
      <c r="B205" s="32">
        <v>35</v>
      </c>
      <c r="C205" s="31">
        <v>1000</v>
      </c>
      <c r="D205" s="33">
        <f t="shared" si="24"/>
        <v>3.5000000000000003E-2</v>
      </c>
      <c r="E205" s="31">
        <v>200</v>
      </c>
      <c r="F205" s="31"/>
      <c r="G205" s="34" t="s">
        <v>132</v>
      </c>
      <c r="H205" s="32">
        <f t="shared" si="25"/>
        <v>7.0000000000000009</v>
      </c>
    </row>
    <row r="206" spans="1:14" ht="12.75">
      <c r="A206" s="31" t="s">
        <v>145</v>
      </c>
      <c r="B206" s="32">
        <v>5</v>
      </c>
      <c r="C206" s="31">
        <v>1</v>
      </c>
      <c r="D206" s="33">
        <f t="shared" si="24"/>
        <v>5</v>
      </c>
      <c r="E206" s="31">
        <v>1.5</v>
      </c>
      <c r="F206" s="31"/>
      <c r="G206" s="34" t="s">
        <v>160</v>
      </c>
      <c r="H206" s="32">
        <f t="shared" si="25"/>
        <v>7.5</v>
      </c>
    </row>
    <row r="207" spans="1:14" ht="12.75">
      <c r="A207" s="31" t="s">
        <v>147</v>
      </c>
      <c r="B207" s="32">
        <v>32</v>
      </c>
      <c r="C207" s="31">
        <v>1000</v>
      </c>
      <c r="D207" s="33">
        <f t="shared" si="24"/>
        <v>3.2000000000000001E-2</v>
      </c>
      <c r="E207" s="46">
        <v>20</v>
      </c>
      <c r="F207" s="46"/>
      <c r="G207" s="34" t="s">
        <v>132</v>
      </c>
      <c r="H207" s="32">
        <f t="shared" si="25"/>
        <v>0.64</v>
      </c>
    </row>
    <row r="208" spans="1:14" ht="12.75">
      <c r="A208" s="31" t="s">
        <v>175</v>
      </c>
      <c r="B208" s="32">
        <v>27</v>
      </c>
      <c r="C208" s="31">
        <v>350</v>
      </c>
      <c r="D208" s="33">
        <f t="shared" si="24"/>
        <v>7.7142857142857138E-2</v>
      </c>
      <c r="E208" s="31">
        <v>200</v>
      </c>
      <c r="F208" s="31"/>
      <c r="G208" s="34" t="s">
        <v>132</v>
      </c>
      <c r="H208" s="32">
        <f t="shared" si="25"/>
        <v>15.428571428571427</v>
      </c>
    </row>
    <row r="209" spans="1:14" ht="12.75">
      <c r="B209" s="47"/>
      <c r="C209" s="47"/>
      <c r="D209" s="47"/>
      <c r="E209" s="47" t="s">
        <v>150</v>
      </c>
      <c r="F209" s="47"/>
      <c r="G209" s="47"/>
      <c r="H209" s="48">
        <f>SUM(H200:H208)</f>
        <v>43.528571428571425</v>
      </c>
    </row>
    <row r="211" spans="1:14" ht="12.75">
      <c r="A211" s="147" t="s">
        <v>123</v>
      </c>
      <c r="B211" s="137"/>
      <c r="C211" s="137"/>
      <c r="D211" s="137"/>
      <c r="E211" s="137"/>
      <c r="F211" s="137"/>
      <c r="G211" s="137"/>
      <c r="H211" s="138"/>
    </row>
    <row r="212" spans="1:14" ht="12.75">
      <c r="A212" s="139"/>
      <c r="B212" s="140"/>
      <c r="C212" s="140"/>
      <c r="D212" s="140"/>
      <c r="E212" s="140"/>
      <c r="F212" s="140"/>
      <c r="G212" s="140"/>
      <c r="H212" s="141"/>
    </row>
    <row r="213" spans="1:14" ht="12.75">
      <c r="A213" s="148" t="s">
        <v>179</v>
      </c>
      <c r="B213" s="132"/>
      <c r="C213" s="132"/>
      <c r="D213" s="132"/>
      <c r="E213" s="132"/>
      <c r="F213" s="132"/>
      <c r="G213" s="132"/>
      <c r="H213" s="133"/>
    </row>
    <row r="214" spans="1:14" ht="12.75">
      <c r="A214" s="84" t="s">
        <v>124</v>
      </c>
      <c r="B214" s="85" t="s">
        <v>125</v>
      </c>
      <c r="C214" s="85" t="s">
        <v>126</v>
      </c>
      <c r="D214" s="85" t="s">
        <v>127</v>
      </c>
      <c r="E214" s="84" t="s">
        <v>128</v>
      </c>
      <c r="F214" s="84"/>
      <c r="G214" s="84"/>
      <c r="H214" s="84" t="s">
        <v>130</v>
      </c>
    </row>
    <row r="215" spans="1:14" ht="12.75">
      <c r="A215" s="86" t="s">
        <v>131</v>
      </c>
      <c r="B215" s="87">
        <v>8</v>
      </c>
      <c r="C215" s="86">
        <v>2000</v>
      </c>
      <c r="D215" s="88">
        <f t="shared" ref="D215:D224" si="26">B215/C215</f>
        <v>4.0000000000000001E-3</v>
      </c>
      <c r="E215" s="86">
        <v>590</v>
      </c>
      <c r="F215" s="86"/>
      <c r="G215" s="89" t="s">
        <v>132</v>
      </c>
      <c r="H215" s="87">
        <f t="shared" ref="H215:H224" si="27">D215*E215</f>
        <v>2.36</v>
      </c>
    </row>
    <row r="216" spans="1:14" ht="12.75">
      <c r="A216" s="86" t="s">
        <v>162</v>
      </c>
      <c r="B216" s="87">
        <v>8</v>
      </c>
      <c r="C216" s="86">
        <v>2000</v>
      </c>
      <c r="D216" s="88">
        <f t="shared" si="26"/>
        <v>4.0000000000000001E-3</v>
      </c>
      <c r="E216" s="86">
        <v>250</v>
      </c>
      <c r="F216" s="86"/>
      <c r="G216" s="89" t="s">
        <v>132</v>
      </c>
      <c r="H216" s="87">
        <f t="shared" si="27"/>
        <v>1</v>
      </c>
    </row>
    <row r="217" spans="1:14" ht="12.75">
      <c r="A217" s="86" t="s">
        <v>133</v>
      </c>
      <c r="B217" s="87">
        <v>3</v>
      </c>
      <c r="C217" s="86">
        <v>1</v>
      </c>
      <c r="D217" s="88">
        <f t="shared" si="26"/>
        <v>3</v>
      </c>
      <c r="E217" s="86">
        <v>1</v>
      </c>
      <c r="F217" s="86"/>
      <c r="G217" s="89" t="s">
        <v>134</v>
      </c>
      <c r="H217" s="87">
        <f t="shared" si="27"/>
        <v>3</v>
      </c>
    </row>
    <row r="218" spans="1:14" ht="12.75">
      <c r="A218" s="90" t="s">
        <v>135</v>
      </c>
      <c r="B218" s="91">
        <v>35</v>
      </c>
      <c r="C218" s="90">
        <v>1000</v>
      </c>
      <c r="D218" s="88">
        <f t="shared" si="26"/>
        <v>3.5000000000000003E-2</v>
      </c>
      <c r="E218" s="90">
        <v>20</v>
      </c>
      <c r="F218" s="90"/>
      <c r="G218" s="92" t="s">
        <v>136</v>
      </c>
      <c r="H218" s="87">
        <f t="shared" si="27"/>
        <v>0.70000000000000007</v>
      </c>
      <c r="J218" s="38"/>
      <c r="K218" s="38"/>
      <c r="L218" s="38"/>
      <c r="M218" s="39"/>
      <c r="N218" s="39"/>
    </row>
    <row r="219" spans="1:14" ht="25.5">
      <c r="A219" s="90" t="s">
        <v>137</v>
      </c>
      <c r="B219" s="91">
        <v>120</v>
      </c>
      <c r="C219" s="90">
        <v>1000</v>
      </c>
      <c r="D219" s="93">
        <f t="shared" si="26"/>
        <v>0.12</v>
      </c>
      <c r="E219" s="90">
        <v>20</v>
      </c>
      <c r="F219" s="90"/>
      <c r="G219" s="92" t="s">
        <v>129</v>
      </c>
      <c r="H219" s="91">
        <f t="shared" si="27"/>
        <v>2.4</v>
      </c>
      <c r="J219" s="41" t="s">
        <v>138</v>
      </c>
      <c r="K219" s="41" t="s">
        <v>139</v>
      </c>
      <c r="L219" s="41" t="s">
        <v>140</v>
      </c>
      <c r="M219" s="42" t="s">
        <v>141</v>
      </c>
      <c r="N219" s="42" t="s">
        <v>142</v>
      </c>
    </row>
    <row r="220" spans="1:14" ht="12.75">
      <c r="A220" s="86" t="s">
        <v>143</v>
      </c>
      <c r="B220" s="87">
        <v>4.5</v>
      </c>
      <c r="C220" s="86">
        <v>1</v>
      </c>
      <c r="D220" s="88">
        <f t="shared" si="26"/>
        <v>4.5</v>
      </c>
      <c r="E220" s="86">
        <v>1</v>
      </c>
      <c r="F220" s="86"/>
      <c r="G220" s="89" t="s">
        <v>134</v>
      </c>
      <c r="H220" s="87">
        <f t="shared" si="27"/>
        <v>4.5</v>
      </c>
      <c r="J220" s="43">
        <f>H225</f>
        <v>50.1</v>
      </c>
      <c r="K220" s="44">
        <v>20</v>
      </c>
      <c r="L220" s="32">
        <v>6</v>
      </c>
      <c r="M220" s="32">
        <f>K220*L220</f>
        <v>120</v>
      </c>
      <c r="N220" s="45">
        <f>M220-J220</f>
        <v>69.900000000000006</v>
      </c>
    </row>
    <row r="221" spans="1:14" ht="12.75">
      <c r="A221" s="86" t="s">
        <v>144</v>
      </c>
      <c r="B221" s="87">
        <v>35</v>
      </c>
      <c r="C221" s="86">
        <v>1000</v>
      </c>
      <c r="D221" s="88">
        <f t="shared" si="26"/>
        <v>3.5000000000000003E-2</v>
      </c>
      <c r="E221" s="86">
        <v>200</v>
      </c>
      <c r="F221" s="86"/>
      <c r="G221" s="89" t="s">
        <v>132</v>
      </c>
      <c r="H221" s="87">
        <f t="shared" si="27"/>
        <v>7.0000000000000009</v>
      </c>
    </row>
    <row r="222" spans="1:14" ht="12.75">
      <c r="A222" s="86" t="s">
        <v>145</v>
      </c>
      <c r="B222" s="87">
        <v>5</v>
      </c>
      <c r="C222" s="86">
        <v>1</v>
      </c>
      <c r="D222" s="88">
        <f t="shared" si="26"/>
        <v>5</v>
      </c>
      <c r="E222" s="86">
        <v>1.5</v>
      </c>
      <c r="F222" s="86"/>
      <c r="G222" s="89" t="s">
        <v>160</v>
      </c>
      <c r="H222" s="87">
        <f t="shared" si="27"/>
        <v>7.5</v>
      </c>
    </row>
    <row r="223" spans="1:14" ht="12.75">
      <c r="A223" s="86" t="s">
        <v>147</v>
      </c>
      <c r="B223" s="87">
        <v>32</v>
      </c>
      <c r="C223" s="86">
        <v>1000</v>
      </c>
      <c r="D223" s="88">
        <f t="shared" si="26"/>
        <v>3.2000000000000001E-2</v>
      </c>
      <c r="E223" s="86">
        <v>20</v>
      </c>
      <c r="F223" s="86"/>
      <c r="G223" s="89" t="s">
        <v>132</v>
      </c>
      <c r="H223" s="87">
        <f t="shared" si="27"/>
        <v>0.64</v>
      </c>
    </row>
    <row r="224" spans="1:14" ht="12.75">
      <c r="A224" s="86" t="s">
        <v>161</v>
      </c>
      <c r="B224" s="87">
        <v>15</v>
      </c>
      <c r="C224" s="86">
        <v>250</v>
      </c>
      <c r="D224" s="88">
        <f t="shared" si="26"/>
        <v>0.06</v>
      </c>
      <c r="E224" s="86">
        <v>350</v>
      </c>
      <c r="F224" s="86"/>
      <c r="G224" s="89" t="s">
        <v>132</v>
      </c>
      <c r="H224" s="87">
        <f t="shared" si="27"/>
        <v>21</v>
      </c>
    </row>
    <row r="225" spans="1:14" ht="12.75">
      <c r="A225" s="94"/>
      <c r="B225" s="95"/>
      <c r="C225" s="95"/>
      <c r="D225" s="95"/>
      <c r="E225" s="95" t="s">
        <v>150</v>
      </c>
      <c r="F225" s="95"/>
      <c r="G225" s="95"/>
      <c r="H225" s="96">
        <f>SUM(H215:H224)</f>
        <v>50.1</v>
      </c>
    </row>
    <row r="226" spans="1:14" ht="12.75">
      <c r="A226" s="97"/>
      <c r="B226" s="98"/>
      <c r="C226" s="98"/>
      <c r="D226" s="98"/>
      <c r="E226" s="98"/>
      <c r="F226" s="98"/>
      <c r="G226" s="98"/>
      <c r="H226" s="99"/>
    </row>
    <row r="227" spans="1:14" ht="12.75">
      <c r="A227" s="142" t="s">
        <v>180</v>
      </c>
      <c r="B227" s="132"/>
      <c r="C227" s="132"/>
      <c r="D227" s="132"/>
      <c r="E227" s="132"/>
      <c r="F227" s="132"/>
      <c r="G227" s="132"/>
      <c r="H227" s="133"/>
    </row>
    <row r="228" spans="1:14" ht="12.75">
      <c r="A228" s="29" t="s">
        <v>124</v>
      </c>
      <c r="B228" s="29" t="s">
        <v>125</v>
      </c>
      <c r="C228" s="29" t="s">
        <v>126</v>
      </c>
      <c r="D228" s="29" t="s">
        <v>127</v>
      </c>
      <c r="E228" s="30" t="s">
        <v>128</v>
      </c>
      <c r="F228" s="30"/>
      <c r="G228" s="30" t="s">
        <v>129</v>
      </c>
      <c r="H228" s="30" t="s">
        <v>130</v>
      </c>
    </row>
    <row r="229" spans="1:14" ht="12.75">
      <c r="A229" s="31" t="s">
        <v>131</v>
      </c>
      <c r="B229" s="32">
        <v>8</v>
      </c>
      <c r="C229" s="31">
        <v>2000</v>
      </c>
      <c r="D229" s="33">
        <f t="shared" ref="D229:D236" si="28">B229/C229</f>
        <v>4.0000000000000001E-3</v>
      </c>
      <c r="E229" s="31">
        <v>400</v>
      </c>
      <c r="F229" s="31"/>
      <c r="G229" s="34" t="s">
        <v>132</v>
      </c>
      <c r="H229" s="32">
        <f t="shared" ref="H229:H236" si="29">D229*E229</f>
        <v>1.6</v>
      </c>
    </row>
    <row r="230" spans="1:14" ht="12.75">
      <c r="A230" s="31" t="s">
        <v>133</v>
      </c>
      <c r="B230" s="32">
        <v>3</v>
      </c>
      <c r="C230" s="31">
        <v>1</v>
      </c>
      <c r="D230" s="33">
        <f t="shared" si="28"/>
        <v>3</v>
      </c>
      <c r="E230" s="31">
        <v>1</v>
      </c>
      <c r="F230" s="31"/>
      <c r="G230" s="34" t="s">
        <v>134</v>
      </c>
      <c r="H230" s="32">
        <f t="shared" si="29"/>
        <v>3</v>
      </c>
    </row>
    <row r="231" spans="1:14" ht="12.75">
      <c r="A231" s="35" t="s">
        <v>135</v>
      </c>
      <c r="B231" s="36">
        <v>35</v>
      </c>
      <c r="C231" s="35">
        <v>1000</v>
      </c>
      <c r="D231" s="33">
        <f t="shared" si="28"/>
        <v>3.5000000000000003E-2</v>
      </c>
      <c r="E231" s="35">
        <v>20</v>
      </c>
      <c r="F231" s="35"/>
      <c r="G231" s="37" t="s">
        <v>136</v>
      </c>
      <c r="H231" s="32">
        <f t="shared" si="29"/>
        <v>0.70000000000000007</v>
      </c>
      <c r="J231" s="38"/>
      <c r="K231" s="38"/>
      <c r="L231" s="38"/>
      <c r="M231" s="39"/>
      <c r="N231" s="39"/>
    </row>
    <row r="232" spans="1:14" ht="25.5">
      <c r="A232" s="35" t="s">
        <v>137</v>
      </c>
      <c r="B232" s="36">
        <v>120</v>
      </c>
      <c r="C232" s="35">
        <v>1000</v>
      </c>
      <c r="D232" s="40">
        <f t="shared" si="28"/>
        <v>0.12</v>
      </c>
      <c r="E232" s="35">
        <v>20</v>
      </c>
      <c r="F232" s="35"/>
      <c r="G232" s="37" t="s">
        <v>129</v>
      </c>
      <c r="H232" s="36">
        <f t="shared" si="29"/>
        <v>2.4</v>
      </c>
      <c r="J232" s="41" t="s">
        <v>138</v>
      </c>
      <c r="K232" s="41" t="s">
        <v>139</v>
      </c>
      <c r="L232" s="41" t="s">
        <v>140</v>
      </c>
      <c r="M232" s="42" t="s">
        <v>141</v>
      </c>
      <c r="N232" s="42" t="s">
        <v>142</v>
      </c>
    </row>
    <row r="233" spans="1:14" ht="12.75">
      <c r="A233" s="31" t="s">
        <v>143</v>
      </c>
      <c r="B233" s="32">
        <v>4.5</v>
      </c>
      <c r="C233" s="31">
        <v>1</v>
      </c>
      <c r="D233" s="33">
        <f t="shared" si="28"/>
        <v>4.5</v>
      </c>
      <c r="E233" s="31">
        <v>0</v>
      </c>
      <c r="F233" s="31"/>
      <c r="G233" s="34" t="s">
        <v>134</v>
      </c>
      <c r="H233" s="32">
        <f t="shared" si="29"/>
        <v>0</v>
      </c>
      <c r="J233" s="43">
        <f>H237</f>
        <v>29.84</v>
      </c>
      <c r="K233" s="44">
        <v>20</v>
      </c>
      <c r="L233" s="32">
        <v>6</v>
      </c>
      <c r="M233" s="32">
        <f>K233*L233</f>
        <v>120</v>
      </c>
      <c r="N233" s="45">
        <f>M233-J233</f>
        <v>90.16</v>
      </c>
    </row>
    <row r="234" spans="1:14" ht="12.75">
      <c r="A234" s="31" t="s">
        <v>145</v>
      </c>
      <c r="B234" s="32">
        <v>5</v>
      </c>
      <c r="C234" s="31">
        <v>1</v>
      </c>
      <c r="D234" s="33">
        <f t="shared" si="28"/>
        <v>5</v>
      </c>
      <c r="E234" s="31">
        <v>1.5</v>
      </c>
      <c r="F234" s="31"/>
      <c r="G234" s="34" t="s">
        <v>146</v>
      </c>
      <c r="H234" s="32">
        <f t="shared" si="29"/>
        <v>7.5</v>
      </c>
    </row>
    <row r="235" spans="1:14" ht="12.75">
      <c r="A235" s="27" t="s">
        <v>147</v>
      </c>
      <c r="B235" s="32">
        <v>32</v>
      </c>
      <c r="C235" s="31">
        <v>1000</v>
      </c>
      <c r="D235" s="33">
        <f t="shared" si="28"/>
        <v>3.2000000000000001E-2</v>
      </c>
      <c r="E235" s="46">
        <v>20</v>
      </c>
      <c r="F235" s="46"/>
      <c r="G235" s="34" t="s">
        <v>132</v>
      </c>
      <c r="H235" s="32">
        <f t="shared" si="29"/>
        <v>0.64</v>
      </c>
    </row>
    <row r="236" spans="1:14" ht="12.75">
      <c r="A236" s="31" t="s">
        <v>148</v>
      </c>
      <c r="B236" s="32">
        <v>20</v>
      </c>
      <c r="C236" s="31">
        <v>1000</v>
      </c>
      <c r="D236" s="33">
        <f t="shared" si="28"/>
        <v>0.02</v>
      </c>
      <c r="E236" s="31">
        <v>700</v>
      </c>
      <c r="F236" s="31"/>
      <c r="G236" s="34" t="s">
        <v>132</v>
      </c>
      <c r="H236" s="32">
        <f t="shared" si="29"/>
        <v>14</v>
      </c>
    </row>
    <row r="237" spans="1:14" ht="12.75">
      <c r="B237" s="47"/>
      <c r="C237" s="47"/>
      <c r="D237" s="47"/>
      <c r="E237" s="47" t="s">
        <v>150</v>
      </c>
      <c r="F237" s="47"/>
      <c r="G237" s="47"/>
      <c r="H237" s="48">
        <f>SUM(H229:H236)</f>
        <v>29.84</v>
      </c>
    </row>
    <row r="240" spans="1:14" ht="12.75">
      <c r="A240" s="143" t="s">
        <v>123</v>
      </c>
      <c r="B240" s="137"/>
      <c r="C240" s="137"/>
      <c r="D240" s="137"/>
      <c r="E240" s="137"/>
      <c r="F240" s="137"/>
      <c r="G240" s="137"/>
      <c r="H240" s="138"/>
    </row>
    <row r="241" spans="1:14" ht="12.75">
      <c r="A241" s="139"/>
      <c r="B241" s="140"/>
      <c r="C241" s="140"/>
      <c r="D241" s="140"/>
      <c r="E241" s="140"/>
      <c r="F241" s="140"/>
      <c r="G241" s="140"/>
      <c r="H241" s="141"/>
    </row>
    <row r="242" spans="1:14" ht="12.75">
      <c r="A242" s="142" t="s">
        <v>27</v>
      </c>
      <c r="B242" s="132"/>
      <c r="C242" s="132"/>
      <c r="D242" s="132"/>
      <c r="E242" s="132"/>
      <c r="F242" s="132"/>
      <c r="G242" s="132"/>
      <c r="H242" s="133"/>
    </row>
    <row r="243" spans="1:14" ht="12.75">
      <c r="A243" s="29" t="s">
        <v>124</v>
      </c>
      <c r="B243" s="29" t="s">
        <v>125</v>
      </c>
      <c r="C243" s="29" t="s">
        <v>126</v>
      </c>
      <c r="D243" s="29" t="s">
        <v>127</v>
      </c>
      <c r="E243" s="30" t="s">
        <v>128</v>
      </c>
      <c r="F243" s="30"/>
      <c r="G243" s="30" t="s">
        <v>129</v>
      </c>
      <c r="H243" s="30" t="s">
        <v>130</v>
      </c>
    </row>
    <row r="244" spans="1:14" ht="12.75">
      <c r="A244" s="31" t="s">
        <v>131</v>
      </c>
      <c r="B244" s="32">
        <v>8</v>
      </c>
      <c r="C244" s="31">
        <v>2000</v>
      </c>
      <c r="D244" s="33">
        <f t="shared" ref="D244:D252" si="30">B244/C244</f>
        <v>4.0000000000000001E-3</v>
      </c>
      <c r="E244" s="31">
        <v>400</v>
      </c>
      <c r="F244" s="31"/>
      <c r="G244" s="34" t="s">
        <v>132</v>
      </c>
      <c r="H244" s="32">
        <f t="shared" ref="H244:H252" si="31">D244*E244</f>
        <v>1.6</v>
      </c>
    </row>
    <row r="245" spans="1:14" ht="12.75">
      <c r="A245" s="31" t="s">
        <v>133</v>
      </c>
      <c r="B245" s="32">
        <v>3</v>
      </c>
      <c r="C245" s="31">
        <v>1</v>
      </c>
      <c r="D245" s="33">
        <f t="shared" si="30"/>
        <v>3</v>
      </c>
      <c r="E245" s="31">
        <v>1</v>
      </c>
      <c r="F245" s="31"/>
      <c r="G245" s="34" t="s">
        <v>134</v>
      </c>
      <c r="H245" s="32">
        <f t="shared" si="31"/>
        <v>3</v>
      </c>
    </row>
    <row r="246" spans="1:14" ht="12.75">
      <c r="A246" s="35" t="s">
        <v>135</v>
      </c>
      <c r="B246" s="36">
        <v>35</v>
      </c>
      <c r="C246" s="35">
        <v>1000</v>
      </c>
      <c r="D246" s="33">
        <f t="shared" si="30"/>
        <v>3.5000000000000003E-2</v>
      </c>
      <c r="E246" s="35">
        <v>20</v>
      </c>
      <c r="F246" s="35"/>
      <c r="G246" s="37" t="s">
        <v>136</v>
      </c>
      <c r="H246" s="32">
        <f t="shared" si="31"/>
        <v>0.70000000000000007</v>
      </c>
      <c r="J246" s="38"/>
      <c r="K246" s="38"/>
      <c r="L246" s="38"/>
      <c r="M246" s="39"/>
      <c r="N246" s="39"/>
    </row>
    <row r="247" spans="1:14" ht="25.5">
      <c r="A247" s="35" t="s">
        <v>137</v>
      </c>
      <c r="B247" s="36">
        <v>120</v>
      </c>
      <c r="C247" s="35">
        <v>1000</v>
      </c>
      <c r="D247" s="40">
        <f t="shared" si="30"/>
        <v>0.12</v>
      </c>
      <c r="E247" s="35">
        <v>20</v>
      </c>
      <c r="F247" s="35"/>
      <c r="G247" s="37" t="s">
        <v>129</v>
      </c>
      <c r="H247" s="36">
        <f t="shared" si="31"/>
        <v>2.4</v>
      </c>
      <c r="J247" s="41" t="s">
        <v>138</v>
      </c>
      <c r="K247" s="41" t="s">
        <v>139</v>
      </c>
      <c r="L247" s="41" t="s">
        <v>140</v>
      </c>
      <c r="M247" s="42" t="s">
        <v>141</v>
      </c>
      <c r="N247" s="42" t="s">
        <v>142</v>
      </c>
    </row>
    <row r="248" spans="1:14" ht="12.75">
      <c r="A248" s="31" t="s">
        <v>143</v>
      </c>
      <c r="B248" s="32">
        <v>4.5</v>
      </c>
      <c r="C248" s="31">
        <v>1</v>
      </c>
      <c r="D248" s="33">
        <f t="shared" si="30"/>
        <v>4.5</v>
      </c>
      <c r="E248" s="31">
        <v>1</v>
      </c>
      <c r="F248" s="31"/>
      <c r="G248" s="34" t="s">
        <v>134</v>
      </c>
      <c r="H248" s="32">
        <f t="shared" si="31"/>
        <v>4.5</v>
      </c>
      <c r="J248" s="43">
        <f>H253</f>
        <v>34.773333333333326</v>
      </c>
      <c r="K248" s="44">
        <v>20</v>
      </c>
      <c r="L248" s="32">
        <v>6</v>
      </c>
      <c r="M248" s="32">
        <f>K248*L248</f>
        <v>120</v>
      </c>
      <c r="N248" s="45">
        <f>M248-J248</f>
        <v>85.226666666666674</v>
      </c>
    </row>
    <row r="249" spans="1:14" ht="12.75">
      <c r="A249" s="31" t="s">
        <v>144</v>
      </c>
      <c r="B249" s="32">
        <v>35</v>
      </c>
      <c r="C249" s="31">
        <v>1000</v>
      </c>
      <c r="D249" s="33">
        <f t="shared" si="30"/>
        <v>3.5000000000000003E-2</v>
      </c>
      <c r="E249" s="46">
        <v>60</v>
      </c>
      <c r="F249" s="46"/>
      <c r="G249" s="34" t="s">
        <v>132</v>
      </c>
      <c r="H249" s="32">
        <f t="shared" si="31"/>
        <v>2.1</v>
      </c>
    </row>
    <row r="250" spans="1:14" ht="12.75">
      <c r="A250" s="31" t="s">
        <v>145</v>
      </c>
      <c r="B250" s="32">
        <v>5</v>
      </c>
      <c r="C250" s="31">
        <v>1</v>
      </c>
      <c r="D250" s="33">
        <f t="shared" si="30"/>
        <v>5</v>
      </c>
      <c r="E250" s="31">
        <v>1.5</v>
      </c>
      <c r="F250" s="31"/>
      <c r="G250" s="34" t="s">
        <v>146</v>
      </c>
      <c r="H250" s="32">
        <f t="shared" si="31"/>
        <v>7.5</v>
      </c>
    </row>
    <row r="251" spans="1:14" ht="12.75">
      <c r="A251" s="27" t="s">
        <v>147</v>
      </c>
      <c r="B251" s="32">
        <v>32</v>
      </c>
      <c r="C251" s="31">
        <v>1000</v>
      </c>
      <c r="D251" s="33">
        <f t="shared" si="30"/>
        <v>3.2000000000000001E-2</v>
      </c>
      <c r="E251" s="46">
        <v>20</v>
      </c>
      <c r="F251" s="46"/>
      <c r="G251" s="34" t="s">
        <v>132</v>
      </c>
      <c r="H251" s="32">
        <f t="shared" si="31"/>
        <v>0.64</v>
      </c>
    </row>
    <row r="252" spans="1:14" ht="12.75">
      <c r="A252" s="31" t="s">
        <v>27</v>
      </c>
      <c r="B252" s="32">
        <v>10</v>
      </c>
      <c r="C252" s="31">
        <v>30</v>
      </c>
      <c r="D252" s="33">
        <f t="shared" si="30"/>
        <v>0.33333333333333331</v>
      </c>
      <c r="E252" s="78">
        <v>37</v>
      </c>
      <c r="F252" s="78"/>
      <c r="G252" s="34" t="s">
        <v>136</v>
      </c>
      <c r="H252" s="32">
        <f t="shared" si="31"/>
        <v>12.333333333333332</v>
      </c>
    </row>
    <row r="253" spans="1:14" ht="12.75">
      <c r="B253" s="47"/>
      <c r="C253" s="47"/>
      <c r="E253" s="47" t="s">
        <v>150</v>
      </c>
      <c r="F253" s="47"/>
      <c r="G253" s="47"/>
      <c r="H253" s="48">
        <f>SUM(H244:H252)</f>
        <v>34.773333333333326</v>
      </c>
    </row>
    <row r="256" spans="1:14" ht="12.75">
      <c r="A256" s="100"/>
      <c r="B256" s="100"/>
      <c r="C256" s="100"/>
      <c r="D256" s="100"/>
      <c r="E256" s="100"/>
      <c r="F256" s="100"/>
      <c r="G256" s="100"/>
      <c r="H256" s="100"/>
      <c r="I256" s="17"/>
      <c r="J256" s="17"/>
      <c r="K256" s="17"/>
      <c r="L256" s="17"/>
      <c r="M256" s="17"/>
      <c r="N256" s="17"/>
    </row>
    <row r="257" spans="1:14" ht="12.75">
      <c r="A257" s="143" t="s">
        <v>123</v>
      </c>
      <c r="B257" s="137"/>
      <c r="C257" s="137"/>
      <c r="D257" s="137"/>
      <c r="E257" s="137"/>
      <c r="F257" s="137"/>
      <c r="G257" s="137"/>
      <c r="H257" s="138"/>
    </row>
    <row r="258" spans="1:14" ht="12.75">
      <c r="A258" s="139"/>
      <c r="B258" s="140"/>
      <c r="C258" s="140"/>
      <c r="D258" s="140"/>
      <c r="E258" s="140"/>
      <c r="F258" s="140"/>
      <c r="G258" s="140"/>
      <c r="H258" s="141"/>
    </row>
    <row r="259" spans="1:14" ht="12.75">
      <c r="A259" s="142" t="s">
        <v>10</v>
      </c>
      <c r="B259" s="132"/>
      <c r="C259" s="132"/>
      <c r="D259" s="132"/>
      <c r="E259" s="132"/>
      <c r="F259" s="132"/>
      <c r="G259" s="132"/>
      <c r="H259" s="133"/>
    </row>
    <row r="260" spans="1:14" ht="12.75">
      <c r="A260" s="29" t="s">
        <v>124</v>
      </c>
      <c r="B260" s="29" t="s">
        <v>125</v>
      </c>
      <c r="C260" s="29" t="s">
        <v>126</v>
      </c>
      <c r="D260" s="29" t="s">
        <v>127</v>
      </c>
      <c r="E260" s="30" t="s">
        <v>128</v>
      </c>
      <c r="F260" s="30"/>
      <c r="G260" s="30" t="s">
        <v>129</v>
      </c>
      <c r="H260" s="30" t="s">
        <v>130</v>
      </c>
    </row>
    <row r="261" spans="1:14" ht="12.75">
      <c r="A261" s="31" t="s">
        <v>131</v>
      </c>
      <c r="B261" s="32">
        <v>8</v>
      </c>
      <c r="C261" s="31">
        <v>2000</v>
      </c>
      <c r="D261" s="33">
        <f t="shared" ref="D261:D269" si="32">B261/C261</f>
        <v>4.0000000000000001E-3</v>
      </c>
      <c r="E261" s="31">
        <v>420</v>
      </c>
      <c r="F261" s="31"/>
      <c r="G261" s="34" t="s">
        <v>132</v>
      </c>
      <c r="H261" s="32">
        <f t="shared" ref="H261:H269" si="33">D261*E261</f>
        <v>1.68</v>
      </c>
    </row>
    <row r="262" spans="1:14" ht="12.75">
      <c r="A262" s="31" t="s">
        <v>133</v>
      </c>
      <c r="B262" s="32">
        <v>3</v>
      </c>
      <c r="C262" s="31">
        <v>1</v>
      </c>
      <c r="D262" s="33">
        <f t="shared" si="32"/>
        <v>3</v>
      </c>
      <c r="E262" s="31">
        <v>1</v>
      </c>
      <c r="F262" s="31"/>
      <c r="G262" s="34" t="s">
        <v>134</v>
      </c>
      <c r="H262" s="32">
        <f t="shared" si="33"/>
        <v>3</v>
      </c>
    </row>
    <row r="263" spans="1:14" ht="12.75">
      <c r="A263" s="35" t="s">
        <v>135</v>
      </c>
      <c r="B263" s="36">
        <v>35</v>
      </c>
      <c r="C263" s="35">
        <v>1000</v>
      </c>
      <c r="D263" s="33">
        <f t="shared" si="32"/>
        <v>3.5000000000000003E-2</v>
      </c>
      <c r="E263" s="35">
        <v>20</v>
      </c>
      <c r="F263" s="35"/>
      <c r="G263" s="37" t="s">
        <v>136</v>
      </c>
      <c r="H263" s="32">
        <f t="shared" si="33"/>
        <v>0.70000000000000007</v>
      </c>
      <c r="J263" s="38"/>
      <c r="K263" s="38"/>
      <c r="L263" s="38"/>
      <c r="M263" s="39"/>
      <c r="N263" s="39"/>
    </row>
    <row r="264" spans="1:14" ht="25.5">
      <c r="A264" s="35" t="s">
        <v>137</v>
      </c>
      <c r="B264" s="36">
        <v>120</v>
      </c>
      <c r="C264" s="35">
        <v>1000</v>
      </c>
      <c r="D264" s="40">
        <f t="shared" si="32"/>
        <v>0.12</v>
      </c>
      <c r="E264" s="35">
        <v>20</v>
      </c>
      <c r="F264" s="35"/>
      <c r="G264" s="37" t="s">
        <v>129</v>
      </c>
      <c r="H264" s="36">
        <f t="shared" si="33"/>
        <v>2.4</v>
      </c>
      <c r="J264" s="41" t="s">
        <v>138</v>
      </c>
      <c r="K264" s="41" t="s">
        <v>139</v>
      </c>
      <c r="L264" s="41" t="s">
        <v>140</v>
      </c>
      <c r="M264" s="42" t="s">
        <v>141</v>
      </c>
      <c r="N264" s="42" t="s">
        <v>142</v>
      </c>
    </row>
    <row r="265" spans="1:14" ht="12.75">
      <c r="A265" s="31" t="s">
        <v>154</v>
      </c>
      <c r="B265" s="32">
        <v>4.5</v>
      </c>
      <c r="C265" s="31">
        <v>1</v>
      </c>
      <c r="D265" s="33">
        <f t="shared" si="32"/>
        <v>4.5</v>
      </c>
      <c r="E265" s="31">
        <v>1</v>
      </c>
      <c r="F265" s="31"/>
      <c r="G265" s="34" t="s">
        <v>134</v>
      </c>
      <c r="H265" s="32">
        <f t="shared" si="33"/>
        <v>4.5</v>
      </c>
      <c r="J265" s="43">
        <f>H270</f>
        <v>35.119999999999997</v>
      </c>
      <c r="K265" s="44">
        <v>25</v>
      </c>
      <c r="L265" s="32">
        <v>6</v>
      </c>
      <c r="M265" s="32">
        <f>K265*L265</f>
        <v>150</v>
      </c>
      <c r="N265" s="45">
        <f>M265-J265</f>
        <v>114.88</v>
      </c>
    </row>
    <row r="266" spans="1:14" ht="12.75">
      <c r="A266" s="31" t="s">
        <v>144</v>
      </c>
      <c r="B266" s="32">
        <v>35</v>
      </c>
      <c r="C266" s="31">
        <v>1000</v>
      </c>
      <c r="D266" s="33">
        <f t="shared" si="32"/>
        <v>3.5000000000000003E-2</v>
      </c>
      <c r="E266" s="46">
        <v>60</v>
      </c>
      <c r="F266" s="46"/>
      <c r="G266" s="34" t="s">
        <v>132</v>
      </c>
      <c r="H266" s="32">
        <f t="shared" si="33"/>
        <v>2.1</v>
      </c>
    </row>
    <row r="267" spans="1:14" ht="12.75">
      <c r="A267" s="31" t="s">
        <v>145</v>
      </c>
      <c r="B267" s="32">
        <v>5</v>
      </c>
      <c r="C267" s="31">
        <v>1</v>
      </c>
      <c r="D267" s="33">
        <f t="shared" si="32"/>
        <v>5</v>
      </c>
      <c r="E267" s="31">
        <v>1.5</v>
      </c>
      <c r="F267" s="31"/>
      <c r="G267" s="34" t="s">
        <v>146</v>
      </c>
      <c r="H267" s="32">
        <f t="shared" si="33"/>
        <v>7.5</v>
      </c>
    </row>
    <row r="268" spans="1:14" ht="12.75">
      <c r="A268" s="27" t="s">
        <v>147</v>
      </c>
      <c r="B268" s="32">
        <v>32</v>
      </c>
      <c r="C268" s="31">
        <v>1000</v>
      </c>
      <c r="D268" s="33">
        <f t="shared" si="32"/>
        <v>3.2000000000000001E-2</v>
      </c>
      <c r="E268" s="46">
        <v>20</v>
      </c>
      <c r="F268" s="46"/>
      <c r="G268" s="34" t="s">
        <v>132</v>
      </c>
      <c r="H268" s="32">
        <f t="shared" si="33"/>
        <v>0.64</v>
      </c>
    </row>
    <row r="269" spans="1:14" ht="12.75">
      <c r="A269" s="31" t="s">
        <v>148</v>
      </c>
      <c r="B269" s="32">
        <v>14</v>
      </c>
      <c r="C269" s="31">
        <v>1000</v>
      </c>
      <c r="D269" s="33">
        <f t="shared" si="32"/>
        <v>1.4E-2</v>
      </c>
      <c r="E269" s="31">
        <v>900</v>
      </c>
      <c r="F269" s="31"/>
      <c r="G269" s="34" t="s">
        <v>132</v>
      </c>
      <c r="H269" s="32">
        <f t="shared" si="33"/>
        <v>12.6</v>
      </c>
    </row>
    <row r="270" spans="1:14" ht="12.75">
      <c r="B270" s="47"/>
      <c r="C270" s="47"/>
      <c r="E270" s="47" t="s">
        <v>150</v>
      </c>
      <c r="F270" s="47"/>
      <c r="G270" s="47"/>
      <c r="H270" s="48">
        <f>SUM(H261:H269)</f>
        <v>35.119999999999997</v>
      </c>
    </row>
    <row r="271" spans="1:14" ht="12.75">
      <c r="A271" s="101"/>
      <c r="B271" s="101"/>
      <c r="C271" s="101"/>
      <c r="D271" s="101"/>
      <c r="E271" s="101"/>
      <c r="F271" s="101"/>
      <c r="G271" s="101"/>
      <c r="H271" s="101"/>
      <c r="I271" s="17"/>
      <c r="J271" s="17"/>
      <c r="K271" s="17"/>
      <c r="L271" s="17"/>
      <c r="M271" s="17"/>
      <c r="N271" s="17"/>
    </row>
    <row r="272" spans="1:14" ht="12.75">
      <c r="A272" s="101"/>
      <c r="B272" s="101"/>
      <c r="C272" s="101"/>
      <c r="D272" s="101"/>
      <c r="E272" s="101"/>
      <c r="F272" s="101"/>
      <c r="G272" s="101"/>
      <c r="H272" s="101"/>
      <c r="I272" s="17"/>
      <c r="J272" s="17"/>
      <c r="K272" s="17"/>
      <c r="L272" s="17"/>
      <c r="M272" s="17"/>
      <c r="N272" s="17"/>
    </row>
    <row r="273" spans="1:14" ht="12.75">
      <c r="A273" s="143" t="s">
        <v>123</v>
      </c>
      <c r="B273" s="137"/>
      <c r="C273" s="137"/>
      <c r="D273" s="137"/>
      <c r="E273" s="137"/>
      <c r="F273" s="137"/>
      <c r="G273" s="137"/>
      <c r="H273" s="138"/>
    </row>
    <row r="274" spans="1:14" ht="12.75">
      <c r="A274" s="139"/>
      <c r="B274" s="140"/>
      <c r="C274" s="140"/>
      <c r="D274" s="140"/>
      <c r="E274" s="140"/>
      <c r="F274" s="140"/>
      <c r="G274" s="140"/>
      <c r="H274" s="141"/>
    </row>
    <row r="275" spans="1:14" ht="12.75">
      <c r="A275" s="142" t="s">
        <v>181</v>
      </c>
      <c r="B275" s="132"/>
      <c r="C275" s="132"/>
      <c r="D275" s="132"/>
      <c r="E275" s="132"/>
      <c r="F275" s="132"/>
      <c r="G275" s="132"/>
      <c r="H275" s="133"/>
    </row>
    <row r="276" spans="1:14" ht="12.75">
      <c r="A276" s="29" t="s">
        <v>124</v>
      </c>
      <c r="B276" s="29" t="s">
        <v>125</v>
      </c>
      <c r="C276" s="29" t="s">
        <v>126</v>
      </c>
      <c r="D276" s="29" t="s">
        <v>127</v>
      </c>
      <c r="E276" s="30" t="s">
        <v>128</v>
      </c>
      <c r="F276" s="30"/>
      <c r="G276" s="30" t="s">
        <v>129</v>
      </c>
      <c r="H276" s="30" t="s">
        <v>130</v>
      </c>
    </row>
    <row r="277" spans="1:14" ht="12.75">
      <c r="A277" s="31" t="s">
        <v>131</v>
      </c>
      <c r="B277" s="32">
        <v>8</v>
      </c>
      <c r="C277" s="31">
        <v>2000</v>
      </c>
      <c r="D277" s="33">
        <f t="shared" ref="D277:D282" si="34">B277/C277</f>
        <v>4.0000000000000001E-3</v>
      </c>
      <c r="E277" s="31">
        <v>200</v>
      </c>
      <c r="F277" s="31"/>
      <c r="G277" s="34" t="s">
        <v>132</v>
      </c>
      <c r="H277" s="32">
        <f t="shared" ref="H277:H282" si="35">D277*E277</f>
        <v>0.8</v>
      </c>
    </row>
    <row r="278" spans="1:14" ht="12.75">
      <c r="A278" s="31" t="s">
        <v>182</v>
      </c>
      <c r="B278" s="45">
        <v>45</v>
      </c>
      <c r="C278" s="31">
        <v>1000</v>
      </c>
      <c r="D278" s="33">
        <f t="shared" si="34"/>
        <v>4.4999999999999998E-2</v>
      </c>
      <c r="E278" s="31">
        <v>200</v>
      </c>
      <c r="F278" s="31"/>
      <c r="G278" s="34" t="s">
        <v>132</v>
      </c>
      <c r="H278" s="32">
        <f t="shared" si="35"/>
        <v>9</v>
      </c>
    </row>
    <row r="279" spans="1:14" ht="12.75">
      <c r="A279" s="31" t="s">
        <v>133</v>
      </c>
      <c r="B279" s="45">
        <v>6</v>
      </c>
      <c r="C279" s="31">
        <v>1</v>
      </c>
      <c r="D279" s="33">
        <f t="shared" si="34"/>
        <v>6</v>
      </c>
      <c r="E279" s="31">
        <v>1</v>
      </c>
      <c r="F279" s="31"/>
      <c r="G279" s="34" t="s">
        <v>134</v>
      </c>
      <c r="H279" s="32">
        <f t="shared" si="35"/>
        <v>6</v>
      </c>
    </row>
    <row r="280" spans="1:14" ht="12.75">
      <c r="A280" s="35" t="s">
        <v>135</v>
      </c>
      <c r="B280" s="36">
        <v>35</v>
      </c>
      <c r="C280" s="35">
        <v>1000</v>
      </c>
      <c r="D280" s="33">
        <f t="shared" si="34"/>
        <v>3.5000000000000003E-2</v>
      </c>
      <c r="E280" s="35">
        <v>20</v>
      </c>
      <c r="F280" s="35"/>
      <c r="G280" s="37" t="s">
        <v>136</v>
      </c>
      <c r="H280" s="32">
        <f t="shared" si="35"/>
        <v>0.70000000000000007</v>
      </c>
      <c r="J280" s="38"/>
      <c r="K280" s="38"/>
      <c r="L280" s="38"/>
      <c r="M280" s="39"/>
      <c r="N280" s="39"/>
    </row>
    <row r="281" spans="1:14" ht="25.5">
      <c r="A281" s="35" t="s">
        <v>137</v>
      </c>
      <c r="B281" s="36">
        <v>125</v>
      </c>
      <c r="C281" s="35">
        <v>1000</v>
      </c>
      <c r="D281" s="40">
        <f t="shared" si="34"/>
        <v>0.125</v>
      </c>
      <c r="E281" s="35">
        <v>20</v>
      </c>
      <c r="F281" s="35"/>
      <c r="G281" s="37" t="s">
        <v>129</v>
      </c>
      <c r="H281" s="36">
        <f t="shared" si="35"/>
        <v>2.5</v>
      </c>
      <c r="J281" s="41" t="s">
        <v>138</v>
      </c>
      <c r="K281" s="41" t="s">
        <v>139</v>
      </c>
      <c r="L281" s="41" t="s">
        <v>140</v>
      </c>
      <c r="M281" s="42" t="s">
        <v>141</v>
      </c>
      <c r="N281" s="42" t="s">
        <v>142</v>
      </c>
    </row>
    <row r="282" spans="1:14" ht="12.75">
      <c r="A282" s="31" t="s">
        <v>183</v>
      </c>
      <c r="B282" s="45">
        <v>8.59</v>
      </c>
      <c r="C282" s="31">
        <v>1</v>
      </c>
      <c r="D282" s="33">
        <f t="shared" si="34"/>
        <v>8.59</v>
      </c>
      <c r="E282" s="31">
        <v>1</v>
      </c>
      <c r="F282" s="31"/>
      <c r="G282" s="34" t="s">
        <v>134</v>
      </c>
      <c r="H282" s="32">
        <f t="shared" si="35"/>
        <v>8.59</v>
      </c>
      <c r="J282" s="43">
        <f>H287</f>
        <v>41.32</v>
      </c>
      <c r="K282" s="44">
        <v>18</v>
      </c>
      <c r="L282" s="32">
        <v>7</v>
      </c>
      <c r="M282" s="32">
        <f>K282*L282</f>
        <v>126</v>
      </c>
      <c r="N282" s="45">
        <f>M282-J282</f>
        <v>84.68</v>
      </c>
    </row>
    <row r="283" spans="1:14" ht="12.75">
      <c r="A283" s="53" t="s">
        <v>158</v>
      </c>
      <c r="B283" s="54">
        <v>3</v>
      </c>
      <c r="C283" s="55">
        <v>1</v>
      </c>
      <c r="D283" s="56">
        <v>3</v>
      </c>
      <c r="E283" s="55">
        <v>1</v>
      </c>
      <c r="F283" s="55"/>
      <c r="G283" s="58" t="s">
        <v>159</v>
      </c>
      <c r="H283" s="54">
        <v>3</v>
      </c>
      <c r="L283" s="22"/>
    </row>
    <row r="284" spans="1:14" ht="12.75">
      <c r="A284" s="31" t="s">
        <v>144</v>
      </c>
      <c r="B284" s="32">
        <v>35</v>
      </c>
      <c r="C284" s="31">
        <v>1000</v>
      </c>
      <c r="D284" s="33">
        <f t="shared" ref="D284:D286" si="36">B284/C284</f>
        <v>3.5000000000000003E-2</v>
      </c>
      <c r="E284" s="46">
        <v>60</v>
      </c>
      <c r="F284" s="46"/>
      <c r="G284" s="34" t="s">
        <v>132</v>
      </c>
      <c r="H284" s="32">
        <f t="shared" ref="H284:H286" si="37">D284*E284</f>
        <v>2.1</v>
      </c>
    </row>
    <row r="285" spans="1:14" ht="12.75">
      <c r="A285" s="31" t="s">
        <v>145</v>
      </c>
      <c r="B285" s="45">
        <v>7.99</v>
      </c>
      <c r="C285" s="31">
        <v>1</v>
      </c>
      <c r="D285" s="33">
        <f t="shared" si="36"/>
        <v>7.99</v>
      </c>
      <c r="E285" s="31">
        <v>1</v>
      </c>
      <c r="F285" s="31"/>
      <c r="G285" s="34" t="s">
        <v>146</v>
      </c>
      <c r="H285" s="32">
        <f t="shared" si="37"/>
        <v>7.99</v>
      </c>
    </row>
    <row r="286" spans="1:14" ht="12.75">
      <c r="A286" s="27" t="s">
        <v>147</v>
      </c>
      <c r="B286" s="32">
        <v>32</v>
      </c>
      <c r="C286" s="31">
        <v>1000</v>
      </c>
      <c r="D286" s="33">
        <f t="shared" si="36"/>
        <v>3.2000000000000001E-2</v>
      </c>
      <c r="E286" s="46">
        <v>20</v>
      </c>
      <c r="F286" s="46"/>
      <c r="G286" s="34" t="s">
        <v>132</v>
      </c>
      <c r="H286" s="32">
        <f t="shared" si="37"/>
        <v>0.64</v>
      </c>
    </row>
    <row r="287" spans="1:14" ht="12.75">
      <c r="B287" s="47"/>
      <c r="C287" s="47"/>
      <c r="E287" s="47" t="s">
        <v>150</v>
      </c>
      <c r="F287" s="47"/>
      <c r="G287" s="47"/>
      <c r="H287" s="48">
        <f>SUM(H277:H286)</f>
        <v>41.32</v>
      </c>
    </row>
    <row r="288" spans="1:14" ht="12.75">
      <c r="A288" s="101"/>
      <c r="B288" s="101"/>
      <c r="C288" s="101"/>
      <c r="D288" s="101"/>
      <c r="E288" s="101"/>
      <c r="F288" s="101"/>
      <c r="G288" s="101"/>
      <c r="H288" s="101"/>
      <c r="I288" s="17"/>
      <c r="J288" s="17"/>
      <c r="K288" s="17"/>
      <c r="L288" s="17"/>
      <c r="M288" s="17"/>
      <c r="N288" s="17"/>
    </row>
    <row r="289" spans="1:14" ht="12.75">
      <c r="A289" s="101"/>
      <c r="B289" s="101"/>
      <c r="C289" s="101"/>
      <c r="D289" s="101"/>
      <c r="E289" s="101"/>
      <c r="F289" s="101"/>
      <c r="G289" s="101"/>
      <c r="H289" s="101"/>
      <c r="I289" s="17"/>
      <c r="J289" s="17"/>
      <c r="K289" s="17"/>
      <c r="L289" s="17"/>
      <c r="M289" s="17"/>
      <c r="N289" s="17"/>
    </row>
    <row r="290" spans="1:14" ht="12.75">
      <c r="A290" s="143" t="s">
        <v>123</v>
      </c>
      <c r="B290" s="137"/>
      <c r="C290" s="137"/>
      <c r="D290" s="137"/>
      <c r="E290" s="137"/>
      <c r="F290" s="137"/>
      <c r="G290" s="137"/>
      <c r="H290" s="138"/>
    </row>
    <row r="291" spans="1:14" ht="12.75">
      <c r="A291" s="139"/>
      <c r="B291" s="140"/>
      <c r="C291" s="140"/>
      <c r="D291" s="140"/>
      <c r="E291" s="140"/>
      <c r="F291" s="140"/>
      <c r="G291" s="140"/>
      <c r="H291" s="141"/>
    </row>
    <row r="292" spans="1:14" ht="12.75">
      <c r="A292" s="142" t="s">
        <v>184</v>
      </c>
      <c r="B292" s="132"/>
      <c r="C292" s="132"/>
      <c r="D292" s="132"/>
      <c r="E292" s="132"/>
      <c r="F292" s="132"/>
      <c r="G292" s="132"/>
      <c r="H292" s="133"/>
    </row>
    <row r="293" spans="1:14" ht="12.75">
      <c r="A293" s="29" t="s">
        <v>124</v>
      </c>
      <c r="B293" s="29" t="s">
        <v>125</v>
      </c>
      <c r="C293" s="29" t="s">
        <v>126</v>
      </c>
      <c r="D293" s="29" t="s">
        <v>127</v>
      </c>
      <c r="E293" s="30" t="s">
        <v>128</v>
      </c>
      <c r="F293" s="30"/>
      <c r="G293" s="30" t="s">
        <v>129</v>
      </c>
      <c r="H293" s="30" t="s">
        <v>130</v>
      </c>
    </row>
    <row r="294" spans="1:14" ht="12.75">
      <c r="A294" s="31" t="s">
        <v>131</v>
      </c>
      <c r="B294" s="32">
        <v>8</v>
      </c>
      <c r="C294" s="31">
        <v>2000</v>
      </c>
      <c r="D294" s="33">
        <f t="shared" ref="D294:D302" si="38">B294/C294</f>
        <v>4.0000000000000001E-3</v>
      </c>
      <c r="E294" s="31">
        <v>300</v>
      </c>
      <c r="F294" s="31"/>
      <c r="G294" s="34" t="s">
        <v>132</v>
      </c>
      <c r="H294" s="32">
        <f t="shared" ref="H294:H302" si="39">D294*E294</f>
        <v>1.2</v>
      </c>
    </row>
    <row r="295" spans="1:14" ht="12.75">
      <c r="A295" s="31" t="s">
        <v>133</v>
      </c>
      <c r="B295" s="45">
        <v>3.5</v>
      </c>
      <c r="C295" s="31">
        <v>1</v>
      </c>
      <c r="D295" s="33">
        <f t="shared" si="38"/>
        <v>3.5</v>
      </c>
      <c r="E295" s="31">
        <v>1</v>
      </c>
      <c r="F295" s="31"/>
      <c r="G295" s="34" t="s">
        <v>134</v>
      </c>
      <c r="H295" s="32">
        <f t="shared" si="39"/>
        <v>3.5</v>
      </c>
    </row>
    <row r="296" spans="1:14" ht="12.75">
      <c r="A296" s="35" t="s">
        <v>135</v>
      </c>
      <c r="B296" s="36">
        <v>35</v>
      </c>
      <c r="C296" s="35">
        <v>1000</v>
      </c>
      <c r="D296" s="33">
        <f t="shared" si="38"/>
        <v>3.5000000000000003E-2</v>
      </c>
      <c r="E296" s="35">
        <v>20</v>
      </c>
      <c r="F296" s="35"/>
      <c r="G296" s="37" t="s">
        <v>136</v>
      </c>
      <c r="H296" s="32">
        <f t="shared" si="39"/>
        <v>0.70000000000000007</v>
      </c>
      <c r="J296" s="38"/>
      <c r="K296" s="38"/>
      <c r="L296" s="38"/>
      <c r="M296" s="39"/>
      <c r="N296" s="39"/>
    </row>
    <row r="297" spans="1:14" ht="25.5">
      <c r="A297" s="35" t="s">
        <v>137</v>
      </c>
      <c r="B297" s="36">
        <v>125</v>
      </c>
      <c r="C297" s="35">
        <v>1000</v>
      </c>
      <c r="D297" s="40">
        <f t="shared" si="38"/>
        <v>0.125</v>
      </c>
      <c r="E297" s="35">
        <v>20</v>
      </c>
      <c r="F297" s="35"/>
      <c r="G297" s="37" t="s">
        <v>129</v>
      </c>
      <c r="H297" s="36">
        <f t="shared" si="39"/>
        <v>2.5</v>
      </c>
      <c r="J297" s="41" t="s">
        <v>138</v>
      </c>
      <c r="K297" s="41" t="s">
        <v>139</v>
      </c>
      <c r="L297" s="41" t="s">
        <v>140</v>
      </c>
      <c r="M297" s="42" t="s">
        <v>141</v>
      </c>
      <c r="N297" s="42" t="s">
        <v>142</v>
      </c>
    </row>
    <row r="298" spans="1:14" ht="12.75">
      <c r="A298" s="31" t="s">
        <v>183</v>
      </c>
      <c r="B298" s="32">
        <v>4.5</v>
      </c>
      <c r="C298" s="31">
        <v>1</v>
      </c>
      <c r="D298" s="33">
        <f t="shared" si="38"/>
        <v>4.5</v>
      </c>
      <c r="E298" s="31">
        <v>1</v>
      </c>
      <c r="F298" s="31"/>
      <c r="G298" s="34" t="s">
        <v>134</v>
      </c>
      <c r="H298" s="32">
        <f t="shared" si="39"/>
        <v>4.5</v>
      </c>
      <c r="J298" s="43">
        <f>H303</f>
        <v>23.827000000000002</v>
      </c>
      <c r="K298" s="44">
        <v>18</v>
      </c>
      <c r="L298" s="32">
        <v>6</v>
      </c>
      <c r="M298" s="32">
        <f>K298*L298</f>
        <v>108</v>
      </c>
      <c r="N298" s="45">
        <f>M298-J298</f>
        <v>84.173000000000002</v>
      </c>
    </row>
    <row r="299" spans="1:14" ht="12.75">
      <c r="A299" s="31" t="s">
        <v>144</v>
      </c>
      <c r="B299" s="32">
        <v>35</v>
      </c>
      <c r="C299" s="31">
        <v>1000</v>
      </c>
      <c r="D299" s="33">
        <f t="shared" si="38"/>
        <v>3.5000000000000003E-2</v>
      </c>
      <c r="E299" s="46">
        <v>45</v>
      </c>
      <c r="F299" s="46"/>
      <c r="G299" s="34" t="s">
        <v>132</v>
      </c>
      <c r="H299" s="32">
        <f t="shared" si="39"/>
        <v>1.5750000000000002</v>
      </c>
    </row>
    <row r="300" spans="1:14" ht="12.75">
      <c r="A300" s="31" t="s">
        <v>145</v>
      </c>
      <c r="B300" s="32">
        <v>5</v>
      </c>
      <c r="C300" s="31">
        <v>1</v>
      </c>
      <c r="D300" s="33">
        <f t="shared" si="38"/>
        <v>5</v>
      </c>
      <c r="E300" s="31">
        <v>1</v>
      </c>
      <c r="F300" s="31"/>
      <c r="G300" s="34" t="s">
        <v>146</v>
      </c>
      <c r="H300" s="32">
        <f t="shared" si="39"/>
        <v>5</v>
      </c>
    </row>
    <row r="301" spans="1:14" ht="12.75">
      <c r="A301" s="27" t="s">
        <v>147</v>
      </c>
      <c r="B301" s="32">
        <v>32</v>
      </c>
      <c r="C301" s="31">
        <v>1000</v>
      </c>
      <c r="D301" s="33">
        <f t="shared" si="38"/>
        <v>3.2000000000000001E-2</v>
      </c>
      <c r="E301" s="46">
        <v>11</v>
      </c>
      <c r="F301" s="46"/>
      <c r="G301" s="34" t="s">
        <v>132</v>
      </c>
      <c r="H301" s="32">
        <f t="shared" si="39"/>
        <v>0.35199999999999998</v>
      </c>
    </row>
    <row r="302" spans="1:14" ht="12.75">
      <c r="A302" s="31" t="s">
        <v>163</v>
      </c>
      <c r="B302" s="32">
        <v>1.5</v>
      </c>
      <c r="C302" s="31">
        <v>1</v>
      </c>
      <c r="D302" s="33">
        <f t="shared" si="38"/>
        <v>1.5</v>
      </c>
      <c r="E302" s="31">
        <v>3</v>
      </c>
      <c r="F302" s="31"/>
      <c r="G302" s="34" t="s">
        <v>185</v>
      </c>
      <c r="H302" s="32">
        <f t="shared" si="39"/>
        <v>4.5</v>
      </c>
    </row>
    <row r="303" spans="1:14" ht="12.75">
      <c r="B303" s="47"/>
      <c r="C303" s="47"/>
      <c r="E303" s="47" t="s">
        <v>150</v>
      </c>
      <c r="F303" s="47"/>
      <c r="G303" s="47"/>
      <c r="H303" s="48">
        <f>SUM(H294:H302)</f>
        <v>23.827000000000002</v>
      </c>
    </row>
    <row r="304" spans="1:14" ht="12.75">
      <c r="A304" s="101"/>
      <c r="B304" s="101"/>
      <c r="C304" s="101"/>
      <c r="D304" s="101"/>
      <c r="E304" s="101"/>
      <c r="F304" s="101"/>
      <c r="G304" s="101"/>
      <c r="H304" s="101"/>
      <c r="I304" s="17"/>
      <c r="J304" s="17"/>
      <c r="K304" s="17"/>
      <c r="L304" s="17"/>
      <c r="M304" s="17"/>
      <c r="N304" s="17"/>
    </row>
    <row r="305" spans="1:14" ht="12.75">
      <c r="A305" s="101"/>
      <c r="B305" s="101"/>
      <c r="C305" s="101"/>
      <c r="D305" s="101"/>
      <c r="E305" s="101"/>
      <c r="F305" s="101"/>
      <c r="G305" s="101"/>
      <c r="H305" s="101"/>
      <c r="I305" s="17"/>
      <c r="J305" s="17"/>
      <c r="K305" s="17"/>
      <c r="L305" s="17"/>
      <c r="M305" s="17"/>
      <c r="N305" s="17"/>
    </row>
    <row r="306" spans="1:14" ht="12.75">
      <c r="A306" s="143" t="s">
        <v>123</v>
      </c>
      <c r="B306" s="137"/>
      <c r="C306" s="137"/>
      <c r="D306" s="137"/>
      <c r="E306" s="137"/>
      <c r="F306" s="137"/>
      <c r="G306" s="137"/>
      <c r="H306" s="138"/>
    </row>
    <row r="307" spans="1:14" ht="12.75">
      <c r="A307" s="139"/>
      <c r="B307" s="140"/>
      <c r="C307" s="140"/>
      <c r="D307" s="140"/>
      <c r="E307" s="140"/>
      <c r="F307" s="140"/>
      <c r="G307" s="140"/>
      <c r="H307" s="141"/>
    </row>
    <row r="308" spans="1:14" ht="12.75">
      <c r="A308" s="142" t="s">
        <v>11</v>
      </c>
      <c r="B308" s="132"/>
      <c r="C308" s="132"/>
      <c r="D308" s="132"/>
      <c r="E308" s="132"/>
      <c r="F308" s="132"/>
      <c r="G308" s="132"/>
      <c r="H308" s="133"/>
    </row>
    <row r="309" spans="1:14" ht="12.75">
      <c r="A309" s="29" t="s">
        <v>124</v>
      </c>
      <c r="B309" s="29" t="s">
        <v>125</v>
      </c>
      <c r="C309" s="29" t="s">
        <v>126</v>
      </c>
      <c r="D309" s="29" t="s">
        <v>127</v>
      </c>
      <c r="E309" s="30" t="s">
        <v>128</v>
      </c>
      <c r="F309" s="30"/>
      <c r="G309" s="30" t="s">
        <v>129</v>
      </c>
      <c r="H309" s="30" t="s">
        <v>130</v>
      </c>
    </row>
    <row r="310" spans="1:14" ht="12.75">
      <c r="A310" s="31" t="s">
        <v>131</v>
      </c>
      <c r="B310" s="32">
        <v>8</v>
      </c>
      <c r="C310" s="31">
        <v>2000</v>
      </c>
      <c r="D310" s="33">
        <f t="shared" ref="D310:D320" si="40">B310/C310</f>
        <v>4.0000000000000001E-3</v>
      </c>
      <c r="E310" s="31">
        <v>200</v>
      </c>
      <c r="F310" s="31"/>
      <c r="G310" s="34" t="s">
        <v>132</v>
      </c>
      <c r="H310" s="32">
        <f t="shared" ref="H310:H320" si="41">D310*E310</f>
        <v>0.8</v>
      </c>
    </row>
    <row r="311" spans="1:14" ht="12.75">
      <c r="A311" s="31" t="s">
        <v>186</v>
      </c>
      <c r="B311" s="45">
        <v>8</v>
      </c>
      <c r="C311" s="31">
        <v>2000</v>
      </c>
      <c r="D311" s="33">
        <f t="shared" si="40"/>
        <v>4.0000000000000001E-3</v>
      </c>
      <c r="E311" s="31">
        <v>200</v>
      </c>
      <c r="F311" s="31"/>
      <c r="G311" s="34" t="s">
        <v>132</v>
      </c>
      <c r="H311" s="32">
        <f t="shared" si="41"/>
        <v>0.8</v>
      </c>
    </row>
    <row r="312" spans="1:14" ht="12.75">
      <c r="A312" s="31" t="s">
        <v>11</v>
      </c>
      <c r="B312" s="45">
        <v>12</v>
      </c>
      <c r="C312" s="31">
        <v>1</v>
      </c>
      <c r="D312" s="33">
        <f t="shared" si="40"/>
        <v>12</v>
      </c>
      <c r="E312" s="31">
        <v>1</v>
      </c>
      <c r="F312" s="31"/>
      <c r="G312" s="34" t="s">
        <v>136</v>
      </c>
      <c r="H312" s="32">
        <f t="shared" si="41"/>
        <v>12</v>
      </c>
    </row>
    <row r="313" spans="1:14" ht="12.75">
      <c r="A313" s="31" t="s">
        <v>133</v>
      </c>
      <c r="B313" s="32">
        <v>3.5</v>
      </c>
      <c r="C313" s="31">
        <v>1</v>
      </c>
      <c r="D313" s="33">
        <f t="shared" si="40"/>
        <v>3.5</v>
      </c>
      <c r="E313" s="31">
        <v>1</v>
      </c>
      <c r="F313" s="31"/>
      <c r="G313" s="34" t="s">
        <v>134</v>
      </c>
      <c r="H313" s="32">
        <f t="shared" si="41"/>
        <v>3.5</v>
      </c>
    </row>
    <row r="314" spans="1:14" ht="12.75">
      <c r="A314" s="35" t="s">
        <v>135</v>
      </c>
      <c r="B314" s="36">
        <v>35</v>
      </c>
      <c r="C314" s="35">
        <v>1000</v>
      </c>
      <c r="D314" s="33">
        <f t="shared" si="40"/>
        <v>3.5000000000000003E-2</v>
      </c>
      <c r="E314" s="35">
        <v>20</v>
      </c>
      <c r="F314" s="35"/>
      <c r="G314" s="37" t="s">
        <v>136</v>
      </c>
      <c r="H314" s="32">
        <f t="shared" si="41"/>
        <v>0.70000000000000007</v>
      </c>
      <c r="J314" s="38"/>
      <c r="K314" s="38"/>
      <c r="L314" s="38"/>
      <c r="M314" s="39"/>
      <c r="N314" s="39"/>
    </row>
    <row r="315" spans="1:14" ht="25.5">
      <c r="A315" s="35" t="s">
        <v>137</v>
      </c>
      <c r="B315" s="36">
        <v>125</v>
      </c>
      <c r="C315" s="35">
        <v>1000</v>
      </c>
      <c r="D315" s="40">
        <f t="shared" si="40"/>
        <v>0.125</v>
      </c>
      <c r="E315" s="35">
        <v>20</v>
      </c>
      <c r="F315" s="35"/>
      <c r="G315" s="37" t="s">
        <v>129</v>
      </c>
      <c r="H315" s="36">
        <f t="shared" si="41"/>
        <v>2.5</v>
      </c>
      <c r="J315" s="41" t="s">
        <v>138</v>
      </c>
      <c r="K315" s="41" t="s">
        <v>139</v>
      </c>
      <c r="L315" s="41" t="s">
        <v>140</v>
      </c>
      <c r="M315" s="42" t="s">
        <v>141</v>
      </c>
      <c r="N315" s="42" t="s">
        <v>142</v>
      </c>
    </row>
    <row r="316" spans="1:14" ht="12.75">
      <c r="A316" s="31" t="s">
        <v>183</v>
      </c>
      <c r="B316" s="32">
        <v>4.5</v>
      </c>
      <c r="C316" s="31">
        <v>1</v>
      </c>
      <c r="D316" s="33">
        <f t="shared" si="40"/>
        <v>4.5</v>
      </c>
      <c r="E316" s="31">
        <v>1</v>
      </c>
      <c r="F316" s="31"/>
      <c r="G316" s="34" t="s">
        <v>134</v>
      </c>
      <c r="H316" s="32">
        <f t="shared" si="41"/>
        <v>4.5</v>
      </c>
      <c r="J316" s="43">
        <f>H321</f>
        <v>36.227000000000004</v>
      </c>
      <c r="K316" s="44">
        <v>18</v>
      </c>
      <c r="L316" s="32">
        <v>6</v>
      </c>
      <c r="M316" s="32">
        <f>K316*L316</f>
        <v>108</v>
      </c>
      <c r="N316" s="45">
        <f>M316-J316</f>
        <v>71.772999999999996</v>
      </c>
    </row>
    <row r="317" spans="1:14" ht="12.75">
      <c r="A317" s="31" t="s">
        <v>144</v>
      </c>
      <c r="B317" s="32">
        <v>35</v>
      </c>
      <c r="C317" s="31">
        <v>1000</v>
      </c>
      <c r="D317" s="33">
        <f t="shared" si="40"/>
        <v>3.5000000000000003E-2</v>
      </c>
      <c r="E317" s="31">
        <v>45</v>
      </c>
      <c r="F317" s="46"/>
      <c r="G317" s="34" t="s">
        <v>132</v>
      </c>
      <c r="H317" s="32">
        <f t="shared" si="41"/>
        <v>1.5750000000000002</v>
      </c>
    </row>
    <row r="318" spans="1:14" ht="12.75">
      <c r="A318" s="31" t="s">
        <v>145</v>
      </c>
      <c r="B318" s="32">
        <v>5</v>
      </c>
      <c r="C318" s="31">
        <v>1</v>
      </c>
      <c r="D318" s="33">
        <f t="shared" si="40"/>
        <v>5</v>
      </c>
      <c r="E318" s="31">
        <v>1</v>
      </c>
      <c r="F318" s="31"/>
      <c r="G318" s="34" t="s">
        <v>146</v>
      </c>
      <c r="H318" s="32">
        <f t="shared" si="41"/>
        <v>5</v>
      </c>
    </row>
    <row r="319" spans="1:14" ht="12.75">
      <c r="A319" s="27" t="s">
        <v>147</v>
      </c>
      <c r="B319" s="32">
        <v>32</v>
      </c>
      <c r="C319" s="31">
        <v>1000</v>
      </c>
      <c r="D319" s="33">
        <f t="shared" si="40"/>
        <v>3.2000000000000001E-2</v>
      </c>
      <c r="E319" s="31">
        <v>11</v>
      </c>
      <c r="F319" s="46"/>
      <c r="G319" s="34" t="s">
        <v>132</v>
      </c>
      <c r="H319" s="32">
        <f t="shared" si="41"/>
        <v>0.35199999999999998</v>
      </c>
    </row>
    <row r="320" spans="1:14" ht="12.75">
      <c r="A320" s="31" t="s">
        <v>163</v>
      </c>
      <c r="B320" s="45">
        <v>1.5</v>
      </c>
      <c r="C320" s="31">
        <v>18</v>
      </c>
      <c r="D320" s="33">
        <f t="shared" si="40"/>
        <v>8.3333333333333329E-2</v>
      </c>
      <c r="E320" s="31">
        <v>54</v>
      </c>
      <c r="F320" s="31"/>
      <c r="G320" s="102" t="s">
        <v>132</v>
      </c>
      <c r="H320" s="32">
        <f t="shared" si="41"/>
        <v>4.5</v>
      </c>
    </row>
    <row r="321" spans="1:14" ht="12.75">
      <c r="B321" s="47"/>
      <c r="C321" s="47"/>
      <c r="E321" s="47" t="s">
        <v>150</v>
      </c>
      <c r="F321" s="47"/>
      <c r="G321" s="47"/>
      <c r="H321" s="48">
        <f>SUM(H310:H320)</f>
        <v>36.227000000000004</v>
      </c>
    </row>
    <row r="322" spans="1:14" ht="12.75">
      <c r="A322" s="101"/>
      <c r="B322" s="101"/>
      <c r="C322" s="101"/>
      <c r="D322" s="101"/>
      <c r="E322" s="101"/>
      <c r="F322" s="101"/>
      <c r="G322" s="101"/>
      <c r="H322" s="101"/>
      <c r="I322" s="17"/>
      <c r="J322" s="17"/>
      <c r="K322" s="17"/>
      <c r="L322" s="17"/>
      <c r="M322" s="17"/>
      <c r="N322" s="17"/>
    </row>
    <row r="323" spans="1:14" ht="12.75">
      <c r="A323" s="143" t="s">
        <v>123</v>
      </c>
      <c r="B323" s="137"/>
      <c r="C323" s="137"/>
      <c r="D323" s="137"/>
      <c r="E323" s="137"/>
      <c r="F323" s="137"/>
      <c r="G323" s="137"/>
      <c r="H323" s="138"/>
    </row>
    <row r="324" spans="1:14" ht="12.75">
      <c r="A324" s="139"/>
      <c r="B324" s="140"/>
      <c r="C324" s="140"/>
      <c r="D324" s="140"/>
      <c r="E324" s="140"/>
      <c r="F324" s="140"/>
      <c r="G324" s="140"/>
      <c r="H324" s="141"/>
    </row>
    <row r="325" spans="1:14" ht="12.75">
      <c r="A325" s="142" t="s">
        <v>187</v>
      </c>
      <c r="B325" s="132"/>
      <c r="C325" s="132"/>
      <c r="D325" s="132"/>
      <c r="E325" s="132"/>
      <c r="F325" s="132"/>
      <c r="G325" s="132"/>
      <c r="H325" s="133"/>
    </row>
    <row r="326" spans="1:14" ht="12.75">
      <c r="A326" s="29" t="s">
        <v>124</v>
      </c>
      <c r="B326" s="29" t="s">
        <v>125</v>
      </c>
      <c r="C326" s="29" t="s">
        <v>126</v>
      </c>
      <c r="D326" s="29" t="s">
        <v>127</v>
      </c>
      <c r="E326" s="30" t="s">
        <v>128</v>
      </c>
      <c r="F326" s="30"/>
      <c r="G326" s="30" t="s">
        <v>129</v>
      </c>
      <c r="H326" s="30" t="s">
        <v>130</v>
      </c>
    </row>
    <row r="327" spans="1:14" ht="12.75">
      <c r="A327" s="31" t="s">
        <v>131</v>
      </c>
      <c r="B327" s="32">
        <v>8</v>
      </c>
      <c r="C327" s="31">
        <v>2000</v>
      </c>
      <c r="D327" s="33">
        <f t="shared" ref="D327:D336" si="42">B327/C327</f>
        <v>4.0000000000000001E-3</v>
      </c>
      <c r="E327" s="31">
        <v>300</v>
      </c>
      <c r="F327" s="31"/>
      <c r="G327" s="34" t="s">
        <v>132</v>
      </c>
      <c r="H327" s="32">
        <f t="shared" ref="H327:H336" si="43">D327*E327</f>
        <v>1.2</v>
      </c>
    </row>
    <row r="328" spans="1:14" ht="12.75">
      <c r="A328" s="31" t="s">
        <v>133</v>
      </c>
      <c r="B328" s="32">
        <v>3.5</v>
      </c>
      <c r="C328" s="31">
        <v>1</v>
      </c>
      <c r="D328" s="33">
        <f t="shared" si="42"/>
        <v>3.5</v>
      </c>
      <c r="E328" s="31">
        <v>1</v>
      </c>
      <c r="F328" s="31"/>
      <c r="G328" s="34" t="s">
        <v>134</v>
      </c>
      <c r="H328" s="32">
        <f t="shared" si="43"/>
        <v>3.5</v>
      </c>
    </row>
    <row r="329" spans="1:14" ht="12.75">
      <c r="A329" s="35" t="s">
        <v>135</v>
      </c>
      <c r="B329" s="36">
        <v>35</v>
      </c>
      <c r="C329" s="35">
        <v>1000</v>
      </c>
      <c r="D329" s="33">
        <f t="shared" si="42"/>
        <v>3.5000000000000003E-2</v>
      </c>
      <c r="E329" s="35">
        <v>18</v>
      </c>
      <c r="F329" s="35"/>
      <c r="G329" s="37" t="s">
        <v>136</v>
      </c>
      <c r="H329" s="32">
        <f t="shared" si="43"/>
        <v>0.63000000000000012</v>
      </c>
      <c r="J329" s="38"/>
      <c r="K329" s="38"/>
      <c r="L329" s="38"/>
      <c r="M329" s="39"/>
      <c r="N329" s="39"/>
    </row>
    <row r="330" spans="1:14" ht="25.5">
      <c r="A330" s="35" t="s">
        <v>137</v>
      </c>
      <c r="B330" s="36">
        <v>125</v>
      </c>
      <c r="C330" s="35">
        <v>1000</v>
      </c>
      <c r="D330" s="40">
        <f t="shared" si="42"/>
        <v>0.125</v>
      </c>
      <c r="E330" s="35">
        <v>18</v>
      </c>
      <c r="F330" s="35"/>
      <c r="G330" s="37" t="s">
        <v>129</v>
      </c>
      <c r="H330" s="36">
        <f t="shared" si="43"/>
        <v>2.25</v>
      </c>
      <c r="J330" s="41" t="s">
        <v>138</v>
      </c>
      <c r="K330" s="41" t="s">
        <v>139</v>
      </c>
      <c r="L330" s="41" t="s">
        <v>140</v>
      </c>
      <c r="M330" s="42" t="s">
        <v>141</v>
      </c>
      <c r="N330" s="42" t="s">
        <v>142</v>
      </c>
    </row>
    <row r="331" spans="1:14" ht="12.75">
      <c r="A331" s="31" t="s">
        <v>183</v>
      </c>
      <c r="B331" s="32">
        <v>4.5</v>
      </c>
      <c r="C331" s="31">
        <v>1</v>
      </c>
      <c r="D331" s="33">
        <f t="shared" si="42"/>
        <v>4.5</v>
      </c>
      <c r="E331" s="31"/>
      <c r="F331" s="31"/>
      <c r="G331" s="34" t="s">
        <v>134</v>
      </c>
      <c r="H331" s="32">
        <f t="shared" si="43"/>
        <v>0</v>
      </c>
      <c r="J331" s="43">
        <f>H337</f>
        <v>28.007000000000001</v>
      </c>
      <c r="K331" s="44">
        <v>18</v>
      </c>
      <c r="L331" s="32">
        <v>6</v>
      </c>
      <c r="M331" s="32">
        <f>K331*L331</f>
        <v>108</v>
      </c>
      <c r="N331" s="45">
        <f>M331-J331</f>
        <v>79.992999999999995</v>
      </c>
    </row>
    <row r="332" spans="1:14" ht="12.75">
      <c r="A332" s="31" t="s">
        <v>188</v>
      </c>
      <c r="B332" s="32">
        <v>3.5</v>
      </c>
      <c r="C332" s="31">
        <v>1</v>
      </c>
      <c r="D332" s="33">
        <f t="shared" si="42"/>
        <v>3.5</v>
      </c>
      <c r="E332" s="31">
        <v>1</v>
      </c>
      <c r="F332" s="31"/>
      <c r="G332" s="34" t="s">
        <v>189</v>
      </c>
      <c r="H332" s="32">
        <f t="shared" si="43"/>
        <v>3.5</v>
      </c>
    </row>
    <row r="333" spans="1:14" ht="12.75">
      <c r="A333" s="31" t="s">
        <v>144</v>
      </c>
      <c r="B333" s="32">
        <v>35</v>
      </c>
      <c r="C333" s="31">
        <v>1000</v>
      </c>
      <c r="D333" s="33">
        <f t="shared" si="42"/>
        <v>3.5000000000000003E-2</v>
      </c>
      <c r="E333" s="46">
        <v>45</v>
      </c>
      <c r="F333" s="46"/>
      <c r="G333" s="34" t="s">
        <v>132</v>
      </c>
      <c r="H333" s="32">
        <f t="shared" si="43"/>
        <v>1.5750000000000002</v>
      </c>
    </row>
    <row r="334" spans="1:14" ht="12.75">
      <c r="A334" s="31" t="s">
        <v>145</v>
      </c>
      <c r="B334" s="32">
        <v>5</v>
      </c>
      <c r="C334" s="31">
        <v>1</v>
      </c>
      <c r="D334" s="33">
        <f t="shared" si="42"/>
        <v>5</v>
      </c>
      <c r="E334" s="31">
        <v>1</v>
      </c>
      <c r="F334" s="31"/>
      <c r="G334" s="34" t="s">
        <v>146</v>
      </c>
      <c r="H334" s="32">
        <f t="shared" si="43"/>
        <v>5</v>
      </c>
    </row>
    <row r="335" spans="1:14" ht="12.75">
      <c r="A335" s="27" t="s">
        <v>147</v>
      </c>
      <c r="B335" s="32">
        <v>32</v>
      </c>
      <c r="C335" s="31">
        <v>1000</v>
      </c>
      <c r="D335" s="33">
        <f t="shared" si="42"/>
        <v>3.2000000000000001E-2</v>
      </c>
      <c r="E335" s="46">
        <v>11</v>
      </c>
      <c r="F335" s="46"/>
      <c r="G335" s="34" t="s">
        <v>132</v>
      </c>
      <c r="H335" s="32">
        <f t="shared" si="43"/>
        <v>0.35199999999999998</v>
      </c>
    </row>
    <row r="336" spans="1:14" ht="12.75">
      <c r="A336" s="31" t="s">
        <v>187</v>
      </c>
      <c r="B336" s="32">
        <v>5</v>
      </c>
      <c r="C336" s="31">
        <v>1</v>
      </c>
      <c r="D336" s="33">
        <f t="shared" si="42"/>
        <v>5</v>
      </c>
      <c r="E336" s="31">
        <v>2</v>
      </c>
      <c r="F336" s="31"/>
      <c r="G336" s="34" t="s">
        <v>136</v>
      </c>
      <c r="H336" s="32">
        <f t="shared" si="43"/>
        <v>10</v>
      </c>
    </row>
    <row r="337" spans="1:14" ht="12.75">
      <c r="B337" s="47"/>
      <c r="C337" s="47"/>
      <c r="E337" s="47" t="s">
        <v>150</v>
      </c>
      <c r="F337" s="47"/>
      <c r="G337" s="47"/>
      <c r="H337" s="48">
        <f>SUM(H327:H336)</f>
        <v>28.007000000000001</v>
      </c>
    </row>
    <row r="338" spans="1:14" ht="12.75">
      <c r="A338" s="82"/>
      <c r="B338" s="82"/>
      <c r="C338" s="82"/>
      <c r="D338" s="82"/>
      <c r="E338" s="82"/>
      <c r="F338" s="82"/>
      <c r="G338" s="82"/>
      <c r="H338" s="82"/>
    </row>
    <row r="340" spans="1:14" ht="12.75">
      <c r="A340" s="143" t="s">
        <v>123</v>
      </c>
      <c r="B340" s="137"/>
      <c r="C340" s="137"/>
      <c r="D340" s="137"/>
      <c r="E340" s="137"/>
      <c r="F340" s="137"/>
      <c r="G340" s="137"/>
      <c r="H340" s="138"/>
    </row>
    <row r="341" spans="1:14" ht="12.75">
      <c r="A341" s="139"/>
      <c r="B341" s="140"/>
      <c r="C341" s="140"/>
      <c r="D341" s="140"/>
      <c r="E341" s="140"/>
      <c r="F341" s="140"/>
      <c r="G341" s="140"/>
      <c r="H341" s="141"/>
    </row>
    <row r="342" spans="1:14" ht="12.75">
      <c r="A342" s="142" t="s">
        <v>29</v>
      </c>
      <c r="B342" s="132"/>
      <c r="C342" s="132"/>
      <c r="D342" s="132"/>
      <c r="E342" s="132"/>
      <c r="F342" s="132"/>
      <c r="G342" s="132"/>
      <c r="H342" s="133"/>
    </row>
    <row r="343" spans="1:14" ht="12.75">
      <c r="A343" s="29" t="s">
        <v>124</v>
      </c>
      <c r="B343" s="29" t="s">
        <v>125</v>
      </c>
      <c r="C343" s="29" t="s">
        <v>126</v>
      </c>
      <c r="D343" s="29" t="s">
        <v>127</v>
      </c>
      <c r="E343" s="30" t="s">
        <v>128</v>
      </c>
      <c r="F343" s="30"/>
      <c r="G343" s="30" t="s">
        <v>129</v>
      </c>
      <c r="H343" s="30" t="s">
        <v>130</v>
      </c>
    </row>
    <row r="344" spans="1:14" ht="12.75">
      <c r="A344" s="86" t="s">
        <v>131</v>
      </c>
      <c r="B344" s="87">
        <v>8</v>
      </c>
      <c r="C344" s="86">
        <v>2000</v>
      </c>
      <c r="D344" s="88">
        <f t="shared" ref="D344:D355" si="44">B344/C344</f>
        <v>4.0000000000000001E-3</v>
      </c>
      <c r="E344" s="86">
        <v>300</v>
      </c>
      <c r="F344" s="86"/>
      <c r="G344" s="89" t="s">
        <v>132</v>
      </c>
      <c r="H344" s="87">
        <f t="shared" ref="H344:H355" si="45">D344*E344</f>
        <v>1.2</v>
      </c>
    </row>
    <row r="345" spans="1:14" ht="12.75">
      <c r="A345" s="86" t="s">
        <v>190</v>
      </c>
      <c r="B345" s="87">
        <v>8</v>
      </c>
      <c r="C345" s="86">
        <v>2000</v>
      </c>
      <c r="D345" s="88">
        <f t="shared" si="44"/>
        <v>4.0000000000000001E-3</v>
      </c>
      <c r="E345" s="86">
        <v>250</v>
      </c>
      <c r="F345" s="86"/>
      <c r="G345" s="89" t="s">
        <v>132</v>
      </c>
      <c r="H345" s="87">
        <f t="shared" si="45"/>
        <v>1</v>
      </c>
      <c r="I345" s="103"/>
      <c r="J345" s="103"/>
      <c r="K345" s="103"/>
      <c r="L345" s="103"/>
      <c r="M345" s="103"/>
      <c r="N345" s="103"/>
    </row>
    <row r="346" spans="1:14" ht="12.75">
      <c r="A346" s="86" t="s">
        <v>133</v>
      </c>
      <c r="B346" s="87">
        <v>3.5</v>
      </c>
      <c r="C346" s="86">
        <v>1</v>
      </c>
      <c r="D346" s="88">
        <f t="shared" si="44"/>
        <v>3.5</v>
      </c>
      <c r="E346" s="86">
        <v>3</v>
      </c>
      <c r="F346" s="86"/>
      <c r="G346" s="89" t="s">
        <v>134</v>
      </c>
      <c r="H346" s="87">
        <f t="shared" si="45"/>
        <v>10.5</v>
      </c>
      <c r="I346" s="103"/>
      <c r="J346" s="103"/>
      <c r="K346" s="103"/>
      <c r="L346" s="103"/>
      <c r="M346" s="103"/>
      <c r="N346" s="103"/>
    </row>
    <row r="347" spans="1:14" ht="12.75">
      <c r="A347" s="90" t="s">
        <v>135</v>
      </c>
      <c r="B347" s="91">
        <v>35</v>
      </c>
      <c r="C347" s="90">
        <v>1000</v>
      </c>
      <c r="D347" s="88">
        <f t="shared" si="44"/>
        <v>3.5000000000000003E-2</v>
      </c>
      <c r="E347" s="90">
        <v>20</v>
      </c>
      <c r="F347" s="90"/>
      <c r="G347" s="92" t="s">
        <v>136</v>
      </c>
      <c r="H347" s="87">
        <f t="shared" si="45"/>
        <v>0.70000000000000007</v>
      </c>
      <c r="I347" s="103"/>
      <c r="J347" s="104"/>
      <c r="K347" s="104"/>
      <c r="L347" s="104"/>
      <c r="M347" s="105"/>
      <c r="N347" s="105"/>
    </row>
    <row r="348" spans="1:14" ht="12.75">
      <c r="A348" s="90" t="s">
        <v>191</v>
      </c>
      <c r="B348" s="91">
        <v>12</v>
      </c>
      <c r="C348" s="90">
        <v>30</v>
      </c>
      <c r="D348" s="88">
        <f t="shared" si="44"/>
        <v>0.4</v>
      </c>
      <c r="E348" s="90">
        <v>1</v>
      </c>
      <c r="F348" s="90"/>
      <c r="G348" s="92" t="s">
        <v>192</v>
      </c>
      <c r="H348" s="87">
        <f t="shared" si="45"/>
        <v>0.4</v>
      </c>
      <c r="I348" s="103"/>
      <c r="J348" s="104"/>
      <c r="K348" s="104"/>
      <c r="L348" s="104"/>
      <c r="M348" s="105"/>
      <c r="N348" s="105"/>
    </row>
    <row r="349" spans="1:14" ht="25.5">
      <c r="A349" s="90" t="s">
        <v>137</v>
      </c>
      <c r="B349" s="91">
        <v>125</v>
      </c>
      <c r="C349" s="90">
        <v>1000</v>
      </c>
      <c r="D349" s="93">
        <f t="shared" si="44"/>
        <v>0.125</v>
      </c>
      <c r="E349" s="90">
        <v>20</v>
      </c>
      <c r="F349" s="90"/>
      <c r="G349" s="92" t="s">
        <v>129</v>
      </c>
      <c r="H349" s="91">
        <f t="shared" si="45"/>
        <v>2.5</v>
      </c>
      <c r="J349" s="41" t="s">
        <v>138</v>
      </c>
      <c r="K349" s="41" t="s">
        <v>139</v>
      </c>
      <c r="L349" s="41" t="s">
        <v>140</v>
      </c>
      <c r="M349" s="42" t="s">
        <v>141</v>
      </c>
      <c r="N349" s="42" t="s">
        <v>142</v>
      </c>
    </row>
    <row r="350" spans="1:14" ht="12.75">
      <c r="A350" s="86" t="s">
        <v>183</v>
      </c>
      <c r="B350" s="87">
        <v>4.5</v>
      </c>
      <c r="C350" s="86">
        <v>1</v>
      </c>
      <c r="D350" s="88">
        <f t="shared" si="44"/>
        <v>4.5</v>
      </c>
      <c r="E350" s="86">
        <v>2</v>
      </c>
      <c r="F350" s="86"/>
      <c r="G350" s="89" t="s">
        <v>134</v>
      </c>
      <c r="H350" s="87">
        <f t="shared" si="45"/>
        <v>9</v>
      </c>
      <c r="I350" s="103"/>
      <c r="J350" s="106">
        <f>H356</f>
        <v>44.19</v>
      </c>
      <c r="K350" s="107">
        <v>20</v>
      </c>
      <c r="L350" s="45">
        <v>6</v>
      </c>
      <c r="M350" s="45">
        <f>K350*L350</f>
        <v>120</v>
      </c>
      <c r="N350" s="45">
        <f>M350-J350</f>
        <v>75.81</v>
      </c>
    </row>
    <row r="351" spans="1:14" ht="12.75">
      <c r="A351" s="86" t="s">
        <v>144</v>
      </c>
      <c r="B351" s="87">
        <v>35</v>
      </c>
      <c r="C351" s="86">
        <v>1000</v>
      </c>
      <c r="D351" s="88">
        <f t="shared" si="44"/>
        <v>3.5000000000000003E-2</v>
      </c>
      <c r="E351" s="86">
        <v>150</v>
      </c>
      <c r="F351" s="86"/>
      <c r="G351" s="89" t="s">
        <v>132</v>
      </c>
      <c r="H351" s="87">
        <f t="shared" si="45"/>
        <v>5.2500000000000009</v>
      </c>
      <c r="I351" s="103"/>
      <c r="J351" s="103"/>
      <c r="K351" s="103"/>
      <c r="L351" s="103"/>
      <c r="M351" s="103"/>
      <c r="N351" s="103"/>
    </row>
    <row r="352" spans="1:14" ht="12.75">
      <c r="A352" s="86" t="s">
        <v>145</v>
      </c>
      <c r="B352" s="87">
        <v>5</v>
      </c>
      <c r="C352" s="86">
        <v>1</v>
      </c>
      <c r="D352" s="88">
        <f t="shared" si="44"/>
        <v>5</v>
      </c>
      <c r="E352" s="86">
        <v>2</v>
      </c>
      <c r="F352" s="86"/>
      <c r="G352" s="89" t="s">
        <v>146</v>
      </c>
      <c r="H352" s="87">
        <f t="shared" si="45"/>
        <v>10</v>
      </c>
      <c r="I352" s="103"/>
    </row>
    <row r="353" spans="1:31" ht="12.75">
      <c r="A353" s="94" t="s">
        <v>147</v>
      </c>
      <c r="B353" s="87">
        <v>32</v>
      </c>
      <c r="C353" s="86">
        <v>1000</v>
      </c>
      <c r="D353" s="88">
        <f t="shared" si="44"/>
        <v>3.2000000000000001E-2</v>
      </c>
      <c r="E353" s="86">
        <v>20</v>
      </c>
      <c r="F353" s="86"/>
      <c r="G353" s="89" t="s">
        <v>132</v>
      </c>
      <c r="H353" s="87">
        <f t="shared" si="45"/>
        <v>0.64</v>
      </c>
    </row>
    <row r="354" spans="1:31" ht="12.75">
      <c r="A354" s="86" t="s">
        <v>193</v>
      </c>
      <c r="B354" s="87">
        <v>18</v>
      </c>
      <c r="C354" s="86">
        <v>36</v>
      </c>
      <c r="D354" s="88">
        <f t="shared" si="44"/>
        <v>0.5</v>
      </c>
      <c r="E354" s="86">
        <v>6</v>
      </c>
      <c r="F354" s="86"/>
      <c r="G354" s="89" t="s">
        <v>136</v>
      </c>
      <c r="H354" s="87">
        <f t="shared" si="45"/>
        <v>3</v>
      </c>
    </row>
    <row r="355" spans="1:31" ht="12.75">
      <c r="A355" s="27" t="s">
        <v>194</v>
      </c>
      <c r="B355" s="87">
        <v>4</v>
      </c>
      <c r="C355" s="31">
        <v>1000</v>
      </c>
      <c r="D355" s="33">
        <f t="shared" si="44"/>
        <v>4.0000000000000001E-3</v>
      </c>
      <c r="E355" s="31">
        <v>1</v>
      </c>
      <c r="F355" s="31"/>
      <c r="G355" s="34" t="s">
        <v>152</v>
      </c>
      <c r="H355" s="32">
        <f t="shared" si="45"/>
        <v>4.0000000000000001E-3</v>
      </c>
    </row>
    <row r="356" spans="1:31" ht="12.75">
      <c r="B356" s="47"/>
      <c r="C356" s="47"/>
      <c r="E356" s="47" t="s">
        <v>150</v>
      </c>
      <c r="F356" s="47"/>
      <c r="G356" s="47"/>
      <c r="H356" s="48">
        <f>SUM(H344:H354)</f>
        <v>44.19</v>
      </c>
    </row>
    <row r="357" spans="1:31" ht="12.75">
      <c r="A357" s="82"/>
      <c r="B357" s="82"/>
      <c r="C357" s="82"/>
      <c r="D357" s="82"/>
      <c r="E357" s="82"/>
      <c r="F357" s="82"/>
      <c r="G357" s="82"/>
      <c r="H357" s="82"/>
    </row>
    <row r="360" spans="1:31" ht="12.75">
      <c r="A360" s="143" t="s">
        <v>123</v>
      </c>
      <c r="B360" s="137"/>
      <c r="C360" s="137"/>
      <c r="D360" s="137"/>
      <c r="E360" s="137"/>
      <c r="F360" s="137"/>
      <c r="G360" s="137"/>
      <c r="H360" s="138"/>
    </row>
    <row r="361" spans="1:31" ht="12.75">
      <c r="A361" s="139"/>
      <c r="B361" s="140"/>
      <c r="C361" s="140"/>
      <c r="D361" s="140"/>
      <c r="E361" s="140"/>
      <c r="F361" s="140"/>
      <c r="G361" s="140"/>
      <c r="H361" s="141"/>
    </row>
    <row r="362" spans="1:31" ht="12.75">
      <c r="A362" s="142" t="s">
        <v>195</v>
      </c>
      <c r="B362" s="132"/>
      <c r="C362" s="132"/>
      <c r="D362" s="132"/>
      <c r="E362" s="132"/>
      <c r="F362" s="132"/>
      <c r="G362" s="132"/>
      <c r="H362" s="133"/>
    </row>
    <row r="363" spans="1:31" ht="12.75">
      <c r="A363" s="29" t="s">
        <v>124</v>
      </c>
      <c r="B363" s="29" t="s">
        <v>125</v>
      </c>
      <c r="C363" s="29" t="s">
        <v>126</v>
      </c>
      <c r="D363" s="29" t="s">
        <v>127</v>
      </c>
      <c r="E363" s="30" t="s">
        <v>128</v>
      </c>
      <c r="F363" s="30"/>
      <c r="G363" s="30" t="s">
        <v>129</v>
      </c>
      <c r="H363" s="30" t="s">
        <v>130</v>
      </c>
    </row>
    <row r="364" spans="1:31" ht="12.75">
      <c r="A364" s="103" t="s">
        <v>13</v>
      </c>
      <c r="B364" s="45">
        <v>13.99</v>
      </c>
      <c r="C364" s="81">
        <v>500</v>
      </c>
      <c r="D364" s="108">
        <f t="shared" ref="D364:D369" si="46">B364/C364</f>
        <v>2.7980000000000001E-2</v>
      </c>
      <c r="E364" s="81">
        <v>100</v>
      </c>
      <c r="F364" s="81"/>
      <c r="G364" s="109" t="s">
        <v>132</v>
      </c>
      <c r="H364" s="45">
        <f t="shared" ref="H364:H369" si="47">D364*E364</f>
        <v>2.798</v>
      </c>
    </row>
    <row r="365" spans="1:31" ht="12.75">
      <c r="A365" s="103" t="s">
        <v>196</v>
      </c>
      <c r="B365" s="45">
        <v>13.99</v>
      </c>
      <c r="C365" s="81">
        <v>500</v>
      </c>
      <c r="D365" s="108">
        <f t="shared" si="46"/>
        <v>2.7980000000000001E-2</v>
      </c>
      <c r="E365" s="81">
        <v>100</v>
      </c>
      <c r="F365" s="81"/>
      <c r="G365" s="109" t="s">
        <v>132</v>
      </c>
      <c r="H365" s="45">
        <f t="shared" si="47"/>
        <v>2.798</v>
      </c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  <c r="AE365" s="103"/>
    </row>
    <row r="366" spans="1:31" ht="12.75">
      <c r="A366" s="110" t="s">
        <v>169</v>
      </c>
      <c r="B366" s="111">
        <v>35</v>
      </c>
      <c r="C366" s="110">
        <v>1000</v>
      </c>
      <c r="D366" s="112">
        <f t="shared" si="46"/>
        <v>3.5000000000000003E-2</v>
      </c>
      <c r="E366" s="110">
        <v>80</v>
      </c>
      <c r="F366" s="110"/>
      <c r="G366" s="113" t="s">
        <v>132</v>
      </c>
      <c r="H366" s="111">
        <f t="shared" si="47"/>
        <v>2.8000000000000003</v>
      </c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  <c r="AE366" s="103"/>
    </row>
    <row r="367" spans="1:31" ht="25.5">
      <c r="A367" s="114" t="s">
        <v>197</v>
      </c>
      <c r="B367" s="45">
        <v>48</v>
      </c>
      <c r="C367" s="110">
        <v>1000</v>
      </c>
      <c r="D367" s="112">
        <f t="shared" si="46"/>
        <v>4.8000000000000001E-2</v>
      </c>
      <c r="E367" s="110">
        <v>300</v>
      </c>
      <c r="F367" s="110"/>
      <c r="G367" s="113" t="s">
        <v>132</v>
      </c>
      <c r="H367" s="111">
        <f t="shared" si="47"/>
        <v>14.4</v>
      </c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  <c r="AE367" s="103"/>
    </row>
    <row r="368" spans="1:31" ht="12.75">
      <c r="A368" s="81" t="s">
        <v>133</v>
      </c>
      <c r="B368" s="45">
        <v>3.5</v>
      </c>
      <c r="C368" s="81">
        <v>1</v>
      </c>
      <c r="D368" s="108">
        <f t="shared" si="46"/>
        <v>3.5</v>
      </c>
      <c r="E368" s="81">
        <v>1</v>
      </c>
      <c r="F368" s="81"/>
      <c r="G368" s="109" t="s">
        <v>134</v>
      </c>
      <c r="H368" s="45">
        <f t="shared" si="47"/>
        <v>3.5</v>
      </c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  <c r="AE368" s="103"/>
    </row>
    <row r="369" spans="1:31" ht="12.75">
      <c r="A369" s="110" t="s">
        <v>135</v>
      </c>
      <c r="B369" s="111">
        <v>35</v>
      </c>
      <c r="C369" s="110">
        <v>1000</v>
      </c>
      <c r="D369" s="108">
        <f t="shared" si="46"/>
        <v>3.5000000000000003E-2</v>
      </c>
      <c r="E369" s="110">
        <v>20</v>
      </c>
      <c r="F369" s="110"/>
      <c r="G369" s="113" t="s">
        <v>136</v>
      </c>
      <c r="H369" s="45">
        <f t="shared" si="47"/>
        <v>0.70000000000000007</v>
      </c>
      <c r="I369" s="103"/>
      <c r="J369" s="104"/>
      <c r="K369" s="104"/>
      <c r="L369" s="104"/>
      <c r="M369" s="105"/>
      <c r="N369" s="105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</row>
    <row r="370" spans="1:31" ht="12.75">
      <c r="A370" s="90"/>
      <c r="B370" s="91"/>
      <c r="C370" s="90"/>
      <c r="D370" s="88"/>
      <c r="E370" s="90"/>
      <c r="F370" s="90"/>
      <c r="G370" s="92"/>
      <c r="H370" s="87"/>
      <c r="I370" s="103"/>
      <c r="J370" s="104"/>
      <c r="K370" s="104"/>
      <c r="L370" s="104"/>
      <c r="M370" s="105"/>
      <c r="N370" s="105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  <c r="AE370" s="103"/>
    </row>
    <row r="371" spans="1:31" ht="25.5">
      <c r="A371" s="110" t="s">
        <v>137</v>
      </c>
      <c r="B371" s="111">
        <v>125</v>
      </c>
      <c r="C371" s="110">
        <v>1000</v>
      </c>
      <c r="D371" s="112">
        <f t="shared" ref="D371:D376" si="48">B371/C371</f>
        <v>0.125</v>
      </c>
      <c r="E371" s="110">
        <v>20</v>
      </c>
      <c r="F371" s="110"/>
      <c r="G371" s="113" t="s">
        <v>129</v>
      </c>
      <c r="H371" s="111">
        <f t="shared" ref="H371:H376" si="49">D371*E371</f>
        <v>2.5</v>
      </c>
      <c r="J371" s="41" t="s">
        <v>138</v>
      </c>
      <c r="K371" s="41" t="s">
        <v>139</v>
      </c>
      <c r="L371" s="41" t="s">
        <v>140</v>
      </c>
      <c r="M371" s="42" t="s">
        <v>141</v>
      </c>
      <c r="N371" s="42" t="s">
        <v>142</v>
      </c>
    </row>
    <row r="372" spans="1:31" ht="12.75">
      <c r="A372" s="81" t="s">
        <v>183</v>
      </c>
      <c r="B372" s="45">
        <v>4.5</v>
      </c>
      <c r="C372" s="81">
        <v>1</v>
      </c>
      <c r="D372" s="108">
        <f t="shared" si="48"/>
        <v>4.5</v>
      </c>
      <c r="E372" s="81">
        <v>1</v>
      </c>
      <c r="F372" s="81"/>
      <c r="G372" s="109" t="s">
        <v>134</v>
      </c>
      <c r="H372" s="45">
        <f t="shared" si="49"/>
        <v>4.5</v>
      </c>
      <c r="I372" s="103"/>
      <c r="J372" s="115">
        <f>H378</f>
        <v>56.825999999999993</v>
      </c>
      <c r="K372" s="116">
        <v>20</v>
      </c>
      <c r="L372" s="87">
        <v>7</v>
      </c>
      <c r="M372" s="87">
        <f>K372*L372</f>
        <v>140</v>
      </c>
      <c r="N372" s="87">
        <f>M372-J372</f>
        <v>83.174000000000007</v>
      </c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  <c r="AE372" s="103"/>
    </row>
    <row r="373" spans="1:31" ht="12.75">
      <c r="A373" s="117" t="s">
        <v>144</v>
      </c>
      <c r="B373" s="118">
        <v>35</v>
      </c>
      <c r="C373" s="117">
        <v>1000</v>
      </c>
      <c r="D373" s="119">
        <f t="shared" si="48"/>
        <v>3.5000000000000003E-2</v>
      </c>
      <c r="E373" s="117">
        <v>150</v>
      </c>
      <c r="F373" s="117"/>
      <c r="G373" s="120" t="s">
        <v>132</v>
      </c>
      <c r="H373" s="118">
        <f t="shared" si="49"/>
        <v>5.2500000000000009</v>
      </c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</row>
    <row r="374" spans="1:31" ht="12.75">
      <c r="A374" s="81" t="s">
        <v>145</v>
      </c>
      <c r="B374" s="45">
        <v>5</v>
      </c>
      <c r="C374" s="81">
        <v>1</v>
      </c>
      <c r="D374" s="108">
        <f t="shared" si="48"/>
        <v>5</v>
      </c>
      <c r="E374" s="81">
        <v>1.5</v>
      </c>
      <c r="F374" s="81"/>
      <c r="G374" s="109" t="s">
        <v>146</v>
      </c>
      <c r="H374" s="45">
        <f t="shared" si="49"/>
        <v>7.5</v>
      </c>
      <c r="I374" s="103"/>
    </row>
    <row r="375" spans="1:31" ht="12.75">
      <c r="A375" s="103" t="s">
        <v>147</v>
      </c>
      <c r="B375" s="45">
        <v>32</v>
      </c>
      <c r="C375" s="81">
        <v>1000</v>
      </c>
      <c r="D375" s="108">
        <f t="shared" si="48"/>
        <v>3.2000000000000001E-2</v>
      </c>
      <c r="E375" s="81">
        <v>15</v>
      </c>
      <c r="F375" s="81"/>
      <c r="G375" s="109" t="s">
        <v>132</v>
      </c>
      <c r="H375" s="45">
        <f t="shared" si="49"/>
        <v>0.48</v>
      </c>
    </row>
    <row r="376" spans="1:31" ht="12.75">
      <c r="A376" s="81" t="s">
        <v>198</v>
      </c>
      <c r="B376" s="45">
        <v>60</v>
      </c>
      <c r="C376" s="81">
        <v>1000</v>
      </c>
      <c r="D376" s="108">
        <f t="shared" si="48"/>
        <v>0.06</v>
      </c>
      <c r="E376" s="81">
        <v>160</v>
      </c>
      <c r="F376" s="81"/>
      <c r="G376" s="109" t="s">
        <v>152</v>
      </c>
      <c r="H376" s="45">
        <f t="shared" si="49"/>
        <v>9.6</v>
      </c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  <c r="AE376" s="103"/>
    </row>
    <row r="377" spans="1:31" ht="12.75">
      <c r="A377" s="94"/>
      <c r="B377" s="87"/>
      <c r="C377" s="86"/>
      <c r="D377" s="88"/>
      <c r="E377" s="86"/>
      <c r="F377" s="86"/>
      <c r="G377" s="89"/>
      <c r="H377" s="87"/>
    </row>
    <row r="378" spans="1:31" ht="12.75">
      <c r="B378" s="47"/>
      <c r="C378" s="47"/>
      <c r="E378" s="47" t="s">
        <v>150</v>
      </c>
      <c r="F378" s="47"/>
      <c r="G378" s="47"/>
      <c r="H378" s="48">
        <f>SUM(H364:H377)</f>
        <v>56.825999999999993</v>
      </c>
    </row>
    <row r="379" spans="1:31" ht="12.75">
      <c r="A379" s="82"/>
      <c r="B379" s="82"/>
      <c r="C379" s="82"/>
      <c r="D379" s="82"/>
      <c r="E379" s="82"/>
      <c r="F379" s="82"/>
      <c r="G379" s="82"/>
      <c r="H379" s="82"/>
    </row>
    <row r="380" spans="1:31" ht="12.75">
      <c r="K380" s="22"/>
    </row>
    <row r="381" spans="1:31" ht="12.75">
      <c r="A381" s="149" t="s">
        <v>199</v>
      </c>
      <c r="B381" s="132"/>
      <c r="C381" s="132"/>
      <c r="D381" s="132"/>
      <c r="E381" s="132"/>
      <c r="F381" s="132"/>
      <c r="G381" s="132"/>
      <c r="H381" s="133"/>
      <c r="I381" s="17"/>
    </row>
    <row r="382" spans="1:31" ht="12.75">
      <c r="A382" s="8" t="s">
        <v>131</v>
      </c>
      <c r="B382" s="10">
        <v>8</v>
      </c>
      <c r="C382" s="11">
        <v>2000</v>
      </c>
      <c r="D382" s="121">
        <f t="shared" ref="D382:D389" si="50">B382/C382</f>
        <v>4.0000000000000001E-3</v>
      </c>
      <c r="E382" s="11">
        <v>500</v>
      </c>
      <c r="F382" s="11"/>
      <c r="G382" s="122" t="s">
        <v>132</v>
      </c>
      <c r="H382" s="10">
        <f t="shared" ref="H382:H389" si="51">D382*E382</f>
        <v>2</v>
      </c>
      <c r="I382" s="17"/>
    </row>
    <row r="383" spans="1:31" ht="12.75">
      <c r="A383" s="123" t="s">
        <v>200</v>
      </c>
      <c r="B383" s="124">
        <v>5</v>
      </c>
      <c r="C383" s="125">
        <v>1000</v>
      </c>
      <c r="D383" s="126">
        <f t="shared" si="50"/>
        <v>5.0000000000000001E-3</v>
      </c>
      <c r="E383" s="125">
        <v>1500</v>
      </c>
      <c r="F383" s="125"/>
      <c r="G383" s="127" t="s">
        <v>132</v>
      </c>
      <c r="H383" s="124">
        <f t="shared" si="51"/>
        <v>7.5</v>
      </c>
      <c r="I383" s="17"/>
      <c r="J383" s="17"/>
      <c r="K383" s="17"/>
      <c r="L383" s="17"/>
      <c r="M383" s="17"/>
      <c r="N383" s="17"/>
    </row>
    <row r="384" spans="1:31" ht="25.5">
      <c r="A384" s="123" t="s">
        <v>201</v>
      </c>
      <c r="B384" s="124">
        <v>10</v>
      </c>
      <c r="C384" s="125">
        <v>250</v>
      </c>
      <c r="D384" s="126">
        <f t="shared" si="50"/>
        <v>0.04</v>
      </c>
      <c r="E384" s="125">
        <v>40</v>
      </c>
      <c r="F384" s="125"/>
      <c r="G384" s="127" t="s">
        <v>202</v>
      </c>
      <c r="H384" s="124">
        <f t="shared" si="51"/>
        <v>1.6</v>
      </c>
      <c r="I384" s="17"/>
      <c r="J384" s="17"/>
      <c r="K384" s="17"/>
      <c r="L384" s="17"/>
      <c r="M384" s="17"/>
      <c r="N384" s="17"/>
    </row>
    <row r="385" spans="1:14" ht="12.75">
      <c r="A385" s="8" t="s">
        <v>203</v>
      </c>
      <c r="B385" s="10">
        <v>5</v>
      </c>
      <c r="C385" s="11">
        <v>1000</v>
      </c>
      <c r="D385" s="121">
        <f t="shared" si="50"/>
        <v>5.0000000000000001E-3</v>
      </c>
      <c r="E385" s="11">
        <v>300</v>
      </c>
      <c r="F385" s="11"/>
      <c r="G385" s="122" t="s">
        <v>204</v>
      </c>
      <c r="H385" s="10">
        <f t="shared" si="51"/>
        <v>1.5</v>
      </c>
      <c r="I385" s="17"/>
      <c r="J385" s="128"/>
      <c r="K385" s="17"/>
      <c r="L385" s="17"/>
      <c r="M385" s="17"/>
      <c r="N385" s="17"/>
    </row>
    <row r="386" spans="1:14" ht="38.25">
      <c r="A386" s="8" t="s">
        <v>205</v>
      </c>
      <c r="B386" s="10">
        <v>12</v>
      </c>
      <c r="C386" s="11">
        <v>1000</v>
      </c>
      <c r="D386" s="121">
        <f t="shared" si="50"/>
        <v>1.2E-2</v>
      </c>
      <c r="E386" s="11">
        <v>250</v>
      </c>
      <c r="F386" s="11"/>
      <c r="G386" s="122" t="s">
        <v>132</v>
      </c>
      <c r="H386" s="10">
        <f t="shared" si="51"/>
        <v>3</v>
      </c>
      <c r="I386" s="17"/>
      <c r="J386" s="41" t="s">
        <v>138</v>
      </c>
      <c r="K386" s="41" t="s">
        <v>206</v>
      </c>
      <c r="L386" s="41" t="s">
        <v>140</v>
      </c>
      <c r="M386" s="42" t="s">
        <v>141</v>
      </c>
      <c r="N386" s="42" t="s">
        <v>142</v>
      </c>
    </row>
    <row r="387" spans="1:14" ht="12.75">
      <c r="A387" s="8" t="s">
        <v>207</v>
      </c>
      <c r="B387" s="10">
        <v>20</v>
      </c>
      <c r="C387" s="11">
        <v>300</v>
      </c>
      <c r="D387" s="121">
        <f t="shared" si="50"/>
        <v>6.6666666666666666E-2</v>
      </c>
      <c r="E387" s="11">
        <v>150</v>
      </c>
      <c r="F387" s="11"/>
      <c r="G387" s="122" t="s">
        <v>132</v>
      </c>
      <c r="H387" s="10">
        <f t="shared" si="51"/>
        <v>10</v>
      </c>
      <c r="I387" s="17"/>
      <c r="J387" s="10">
        <f>H390</f>
        <v>29.226666666666667</v>
      </c>
      <c r="K387" s="11">
        <v>10</v>
      </c>
      <c r="L387" s="10">
        <v>8</v>
      </c>
      <c r="M387" s="10">
        <f>K387*L387</f>
        <v>80</v>
      </c>
      <c r="N387" s="129">
        <f>M387-J387</f>
        <v>50.773333333333333</v>
      </c>
    </row>
    <row r="388" spans="1:14" ht="12.75">
      <c r="A388" s="8" t="s">
        <v>208</v>
      </c>
      <c r="B388" s="10">
        <v>10</v>
      </c>
      <c r="C388" s="11">
        <v>7.5</v>
      </c>
      <c r="D388" s="121">
        <f t="shared" si="50"/>
        <v>1.3333333333333333</v>
      </c>
      <c r="E388" s="11">
        <v>0.92</v>
      </c>
      <c r="F388" s="11"/>
      <c r="G388" s="122" t="s">
        <v>209</v>
      </c>
      <c r="H388" s="10">
        <f t="shared" si="51"/>
        <v>1.2266666666666666</v>
      </c>
      <c r="I388" s="17"/>
      <c r="J388" s="17"/>
      <c r="K388" s="17"/>
      <c r="L388" s="17"/>
      <c r="M388" s="17"/>
      <c r="N388" s="17"/>
    </row>
    <row r="389" spans="1:14" ht="12.75">
      <c r="A389" s="8" t="s">
        <v>193</v>
      </c>
      <c r="B389" s="10">
        <v>18</v>
      </c>
      <c r="C389" s="11">
        <v>30</v>
      </c>
      <c r="D389" s="130">
        <f t="shared" si="50"/>
        <v>0.6</v>
      </c>
      <c r="E389" s="11">
        <v>4</v>
      </c>
      <c r="F389" s="11"/>
      <c r="G389" s="122" t="s">
        <v>129</v>
      </c>
      <c r="H389" s="10">
        <f t="shared" si="51"/>
        <v>2.4</v>
      </c>
      <c r="I389" s="17"/>
      <c r="J389" s="17"/>
      <c r="K389" s="17"/>
      <c r="L389" s="17"/>
      <c r="M389" s="17"/>
      <c r="N389" s="17"/>
    </row>
    <row r="390" spans="1:14" ht="12.75">
      <c r="A390" s="17"/>
      <c r="B390" s="74"/>
      <c r="C390" s="74"/>
      <c r="D390" s="74"/>
      <c r="E390" s="75" t="s">
        <v>150</v>
      </c>
      <c r="F390" s="75"/>
      <c r="G390" s="74"/>
      <c r="H390" s="76">
        <f>SUM(H382:H389)</f>
        <v>29.226666666666667</v>
      </c>
      <c r="I390" s="17"/>
      <c r="J390" s="17"/>
      <c r="K390" s="17"/>
      <c r="L390" s="17"/>
      <c r="M390" s="17"/>
      <c r="N390" s="17"/>
    </row>
  </sheetData>
  <mergeCells count="46">
    <mergeCell ref="A342:H342"/>
    <mergeCell ref="A360:H361"/>
    <mergeCell ref="A362:H362"/>
    <mergeCell ref="A381:H381"/>
    <mergeCell ref="A290:H291"/>
    <mergeCell ref="A292:H292"/>
    <mergeCell ref="A306:H307"/>
    <mergeCell ref="A308:H308"/>
    <mergeCell ref="A323:H324"/>
    <mergeCell ref="A325:H325"/>
    <mergeCell ref="A340:H341"/>
    <mergeCell ref="A242:H242"/>
    <mergeCell ref="A257:H258"/>
    <mergeCell ref="A259:H259"/>
    <mergeCell ref="A273:H274"/>
    <mergeCell ref="A275:H275"/>
    <mergeCell ref="A198:H198"/>
    <mergeCell ref="A211:H212"/>
    <mergeCell ref="A213:H213"/>
    <mergeCell ref="A227:H227"/>
    <mergeCell ref="A240:H241"/>
    <mergeCell ref="A166:H167"/>
    <mergeCell ref="A168:H168"/>
    <mergeCell ref="A180:H181"/>
    <mergeCell ref="A182:H182"/>
    <mergeCell ref="A196:H197"/>
    <mergeCell ref="A117:H117"/>
    <mergeCell ref="A132:H133"/>
    <mergeCell ref="A134:H134"/>
    <mergeCell ref="A148:H149"/>
    <mergeCell ref="A150:H150"/>
    <mergeCell ref="A79:H80"/>
    <mergeCell ref="A81:H81"/>
    <mergeCell ref="A97:H98"/>
    <mergeCell ref="A99:H99"/>
    <mergeCell ref="A115:H116"/>
    <mergeCell ref="A33:H33"/>
    <mergeCell ref="A48:H49"/>
    <mergeCell ref="A50:H50"/>
    <mergeCell ref="A65:H66"/>
    <mergeCell ref="A67:H67"/>
    <mergeCell ref="A1:H2"/>
    <mergeCell ref="A3:H3"/>
    <mergeCell ref="A15:H16"/>
    <mergeCell ref="A17:H17"/>
    <mergeCell ref="A31:H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MAIO26</vt:lpstr>
      <vt:lpstr>ABRIL26</vt:lpstr>
      <vt:lpstr>MARÇO26</vt:lpstr>
      <vt:lpstr>FEVEREIRO26</vt:lpstr>
      <vt:lpstr>JANEIRO26</vt:lpstr>
      <vt:lpstr>CONTROLE DE 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Jailson Borges Soares</cp:lastModifiedBy>
  <dcterms:modified xsi:type="dcterms:W3CDTF">2026-05-06T11:59:03Z</dcterms:modified>
</cp:coreProperties>
</file>