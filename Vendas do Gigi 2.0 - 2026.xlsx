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documenttasks+xml" PartName="/xl/documenttasks/documenttask1.xml"/>
  <Override ContentType="application/vnd.ms-excel.person+xml" PartName="/xl/persons/person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AIO26" sheetId="1" r:id="rId5"/>
    <sheet state="visible" name="ABRIL26" sheetId="2" r:id="rId6"/>
    <sheet state="visible" name="MARÇO26" sheetId="3" r:id="rId7"/>
    <sheet state="visible" name="FEVEREIRO26" sheetId="4" r:id="rId8"/>
    <sheet state="visible" name="JANEIRO26" sheetId="5" r:id="rId9"/>
    <sheet state="visible" name="CONTROLE DE GASTOS" sheetId="6" r:id="rId10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tc={e75f5ad5-fe95-4c88-85fa-e49b37d9d2c0}</author>
  </authors>
  <commentList>
    <comment authorId="0" xr:uid="{e75f5ad5-fe95-4c88-85fa-e49b37d9d2c0}" ref="A47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pode apagar essa?
Ja copiei la pra aba de março
</t>
      </text>
    </comment>
  </commentList>
</comments>
</file>

<file path=xl/sharedStrings.xml><?xml version="1.0" encoding="utf-8"?>
<sst xmlns="http://schemas.openxmlformats.org/spreadsheetml/2006/main" count="3814" uniqueCount="210">
  <si>
    <t>Data: 04/05/2026</t>
  </si>
  <si>
    <t>SABORES</t>
  </si>
  <si>
    <t>Estoque Inicial</t>
  </si>
  <si>
    <t>Furou</t>
  </si>
  <si>
    <t>Fez</t>
  </si>
  <si>
    <t>Quantidade de Geladinhos</t>
  </si>
  <si>
    <t>Voltaram</t>
  </si>
  <si>
    <t>Vendidos</t>
  </si>
  <si>
    <t>Estoque Final</t>
  </si>
  <si>
    <t>R$</t>
  </si>
  <si>
    <t>Abacate</t>
  </si>
  <si>
    <t>Abacaxi</t>
  </si>
  <si>
    <t>Açaí</t>
  </si>
  <si>
    <t>Amendoim</t>
  </si>
  <si>
    <t>Brigadeiro</t>
  </si>
  <si>
    <t>Buriti</t>
  </si>
  <si>
    <t>Coco</t>
  </si>
  <si>
    <t>Coco Queimado</t>
  </si>
  <si>
    <t>Cupuaçu</t>
  </si>
  <si>
    <t>Maracujá</t>
  </si>
  <si>
    <t>Maracujá com nutella</t>
  </si>
  <si>
    <t>Milho verde</t>
  </si>
  <si>
    <t>Morango</t>
  </si>
  <si>
    <t>Morango com Nutella</t>
  </si>
  <si>
    <t xml:space="preserve">Mousse de limão </t>
  </si>
  <si>
    <t>Ninho com Nutella</t>
  </si>
  <si>
    <t>Ninho com Morango</t>
  </si>
  <si>
    <t>Oreo</t>
  </si>
  <si>
    <t>Prestígio</t>
  </si>
  <si>
    <t>Pudim</t>
  </si>
  <si>
    <t>Uva</t>
  </si>
  <si>
    <t>Zero lactose coco</t>
  </si>
  <si>
    <t>Zero lactose morango</t>
  </si>
  <si>
    <t>TOTAL</t>
  </si>
  <si>
    <t>Saldo</t>
  </si>
  <si>
    <t>Data: 05/05/2026</t>
  </si>
  <si>
    <t>Data: 06/05/2026</t>
  </si>
  <si>
    <t>Data: 07/05/2026</t>
  </si>
  <si>
    <t>Data: 08/05/2026</t>
  </si>
  <si>
    <t>Data: 11/05/2026</t>
  </si>
  <si>
    <t>Data: 12/05/2026</t>
  </si>
  <si>
    <t>Data: 13/05/2026</t>
  </si>
  <si>
    <t>Data: 14/05/2026</t>
  </si>
  <si>
    <t>Data: 15/05/2026</t>
  </si>
  <si>
    <t>Data: 01/04/2026</t>
  </si>
  <si>
    <t>Data: 06/04/2026</t>
  </si>
  <si>
    <t>Data: 07/04/2026</t>
  </si>
  <si>
    <t>Data: 08/04/2026</t>
  </si>
  <si>
    <t>Data: 09/04/2026</t>
  </si>
  <si>
    <t>Data: 10/04/2026</t>
  </si>
  <si>
    <t>Data: 13/04/2026</t>
  </si>
  <si>
    <t>Data: 14/04/2026</t>
  </si>
  <si>
    <t>Data: 15/04/2026</t>
  </si>
  <si>
    <t>Data: 16/04/2026</t>
  </si>
  <si>
    <t>Data: 17/04/2026</t>
  </si>
  <si>
    <t>Data: 22/04/2026</t>
  </si>
  <si>
    <t>Data: 23/04/2026</t>
  </si>
  <si>
    <t>Data: 24/04/2026</t>
  </si>
  <si>
    <t>Data: 27/04/2026</t>
  </si>
  <si>
    <t>Data: 28/04/2026</t>
  </si>
  <si>
    <t>Data: 29/04/2026</t>
  </si>
  <si>
    <t>Data: 30/04/2026</t>
  </si>
  <si>
    <t>Data: 02/03/2026</t>
  </si>
  <si>
    <t>Data: 03/03/2026</t>
  </si>
  <si>
    <t>Data: 04/03/2026</t>
  </si>
  <si>
    <t>Data: 05/03/2026</t>
  </si>
  <si>
    <t>Data: 06/03/2026</t>
  </si>
  <si>
    <t>Data: 09/03/2026</t>
  </si>
  <si>
    <t>Data: 10/03/2026</t>
  </si>
  <si>
    <t>Data: 11/03/2026</t>
  </si>
  <si>
    <t>Data: 12/03/2026</t>
  </si>
  <si>
    <t>Data: 13/03/2026</t>
  </si>
  <si>
    <t>Data: 16/03/2026</t>
  </si>
  <si>
    <t>Data: 17/03/2026</t>
  </si>
  <si>
    <t>Data: 18/03/2026</t>
  </si>
  <si>
    <t>Data: 20/03/2026</t>
  </si>
  <si>
    <t>Data: 21/03/2026</t>
  </si>
  <si>
    <t>Data: 23/03/2026</t>
  </si>
  <si>
    <t>Data: 24/03/2026</t>
  </si>
  <si>
    <t>Prestigio</t>
  </si>
  <si>
    <t>Data: 25/03/2026</t>
  </si>
  <si>
    <t>Data: 26/03/2026</t>
  </si>
  <si>
    <t>Data: 27/03/2026</t>
  </si>
  <si>
    <t>Data: 30/03/2026</t>
  </si>
  <si>
    <t>Data: 31/03/2026</t>
  </si>
  <si>
    <t>Data: 02/02/2026</t>
  </si>
  <si>
    <t>Zero lactose</t>
  </si>
  <si>
    <t>Valor Total de Venda do dia - GELADINHOS</t>
  </si>
  <si>
    <t>Data: 03/02/2026</t>
  </si>
  <si>
    <t>Data: 04/02/2026</t>
  </si>
  <si>
    <t>Data: 05/02/2026</t>
  </si>
  <si>
    <t>Data: 06/02/2026</t>
  </si>
  <si>
    <t>Data: 09/02/2026</t>
  </si>
  <si>
    <t>Data: 10/02/2026</t>
  </si>
  <si>
    <t>Data: 11/02/2026</t>
  </si>
  <si>
    <t>Data: 12/02/2026</t>
  </si>
  <si>
    <t>Data: 13/02/2026</t>
  </si>
  <si>
    <t>Data: 18/02/2026</t>
  </si>
  <si>
    <t>Data: 19/02/2026</t>
  </si>
  <si>
    <t>Data: 20/02/2026</t>
  </si>
  <si>
    <t>Data: 23/02/2026</t>
  </si>
  <si>
    <t>Data: 24/02/2026</t>
  </si>
  <si>
    <t>Data: 25/02/2026</t>
  </si>
  <si>
    <t>Data: 26/02/2026</t>
  </si>
  <si>
    <t>Data: 28/02/2026</t>
  </si>
  <si>
    <t>Data: 05/01/2026</t>
  </si>
  <si>
    <t>Data: 06/01/2026</t>
  </si>
  <si>
    <t>Data: 07/01/2026</t>
  </si>
  <si>
    <t>Data: 08/01/2026</t>
  </si>
  <si>
    <t>Data: 09/01/2026</t>
  </si>
  <si>
    <t>Data: 12/01/2026</t>
  </si>
  <si>
    <t>Data: 15/01/2026</t>
  </si>
  <si>
    <t>Data: 16/01/2026</t>
  </si>
  <si>
    <t>Data: 19/01/2026</t>
  </si>
  <si>
    <t>Data: 20/01/2026</t>
  </si>
  <si>
    <t>Data: 21/01/2026</t>
  </si>
  <si>
    <t>Data: 22/01/2026</t>
  </si>
  <si>
    <t>Data: 23/01/2026</t>
  </si>
  <si>
    <t>Data: 26/01/2026</t>
  </si>
  <si>
    <t>Data: 27/01/2026</t>
  </si>
  <si>
    <t>Data: 28/01/2026</t>
  </si>
  <si>
    <t>Data: 29/01/2026</t>
  </si>
  <si>
    <t>Data: 30/01/2026</t>
  </si>
  <si>
    <t>Controle de gastos</t>
  </si>
  <si>
    <t>Ingredientes</t>
  </si>
  <si>
    <t>Valor produto</t>
  </si>
  <si>
    <t>Volume</t>
  </si>
  <si>
    <t>Valor Unit.</t>
  </si>
  <si>
    <t>Quantidade</t>
  </si>
  <si>
    <t>UN</t>
  </si>
  <si>
    <t xml:space="preserve">Valor </t>
  </si>
  <si>
    <t>Açúcar</t>
  </si>
  <si>
    <t>G</t>
  </si>
  <si>
    <t>Creme de leite</t>
  </si>
  <si>
    <t>CX</t>
  </si>
  <si>
    <t>Embalagem</t>
  </si>
  <si>
    <t>un</t>
  </si>
  <si>
    <t>Etiqueta</t>
  </si>
  <si>
    <t>Gasto Produção</t>
  </si>
  <si>
    <t>Geladinho Produzido</t>
  </si>
  <si>
    <t>Valor Venda</t>
  </si>
  <si>
    <t>Valor Bruto</t>
  </si>
  <si>
    <t>Lucro</t>
  </si>
  <si>
    <t>Leite condensado</t>
  </si>
  <si>
    <t>Leite em pó</t>
  </si>
  <si>
    <t>Leite integral</t>
  </si>
  <si>
    <t>L</t>
  </si>
  <si>
    <t>Liga neutra</t>
  </si>
  <si>
    <t>Polpa</t>
  </si>
  <si>
    <t>pc</t>
  </si>
  <si>
    <t>Total</t>
  </si>
  <si>
    <t>Banana</t>
  </si>
  <si>
    <t>g</t>
  </si>
  <si>
    <t>Base - açaí</t>
  </si>
  <si>
    <t xml:space="preserve">Leite condensado triângulo </t>
  </si>
  <si>
    <t>Coco/Coco queimado</t>
  </si>
  <si>
    <t>Coco Ralado seco</t>
  </si>
  <si>
    <t>Coco Ralado fresco</t>
  </si>
  <si>
    <t>Leite de coco</t>
  </si>
  <si>
    <t>VD</t>
  </si>
  <si>
    <t>LT</t>
  </si>
  <si>
    <t xml:space="preserve">Morango </t>
  </si>
  <si>
    <t>Açúcar geleia</t>
  </si>
  <si>
    <t>Suco</t>
  </si>
  <si>
    <t>Un</t>
  </si>
  <si>
    <t>Chocolate/fracionado</t>
  </si>
  <si>
    <t>Coco ralado seco</t>
  </si>
  <si>
    <t>Coco ralado fresco</t>
  </si>
  <si>
    <t>Cobertura Chocolate</t>
  </si>
  <si>
    <t>Chocolate em pó</t>
  </si>
  <si>
    <t>Granulado</t>
  </si>
  <si>
    <t>Nescau</t>
  </si>
  <si>
    <t>Açúcar - geleia</t>
  </si>
  <si>
    <t>T</t>
  </si>
  <si>
    <t xml:space="preserve">Maracujá </t>
  </si>
  <si>
    <t>Nutella</t>
  </si>
  <si>
    <t>Calda</t>
  </si>
  <si>
    <t>Morango com nutella</t>
  </si>
  <si>
    <t>Ninho com nutella</t>
  </si>
  <si>
    <t>Ninho com morango</t>
  </si>
  <si>
    <t>Cajá</t>
  </si>
  <si>
    <t>zero lactose</t>
  </si>
  <si>
    <t>Coco ralado</t>
  </si>
  <si>
    <t xml:space="preserve">Leite condensado </t>
  </si>
  <si>
    <t>mousse de limão</t>
  </si>
  <si>
    <t>PC</t>
  </si>
  <si>
    <t>Acúcar para a geleia</t>
  </si>
  <si>
    <t>Milho Verde</t>
  </si>
  <si>
    <t>Leite de Coco</t>
  </si>
  <si>
    <t>Vd</t>
  </si>
  <si>
    <t>Acúcar do caramelo</t>
  </si>
  <si>
    <t>Baunilha</t>
  </si>
  <si>
    <t>ml</t>
  </si>
  <si>
    <t>Ovo</t>
  </si>
  <si>
    <t>Sal</t>
  </si>
  <si>
    <t>Trufado de ouro branco</t>
  </si>
  <si>
    <t>Amendoim (cobertura)</t>
  </si>
  <si>
    <t>Chocolate branco fracionado (cobetura)</t>
  </si>
  <si>
    <t>Ouro branco picado</t>
  </si>
  <si>
    <t>Rosquinha de nata</t>
  </si>
  <si>
    <t>Farinha de trigo</t>
  </si>
  <si>
    <t>Fermento</t>
  </si>
  <si>
    <t>COL</t>
  </si>
  <si>
    <t xml:space="preserve">Leite </t>
  </si>
  <si>
    <t>ML</t>
  </si>
  <si>
    <t>Margarina</t>
  </si>
  <si>
    <t>Rosquinhas     Produzidas pacotes</t>
  </si>
  <si>
    <t>Nata de leite</t>
  </si>
  <si>
    <t>Papel manteiga</t>
  </si>
  <si>
    <t>CM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</si>
</sst>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[$R$ -416]#,##0.00"/>
  </numFmts>
  <fonts count="20">
    <font>
      <sz val="10.0"/>
      <color rgb="FF000000"/>
      <name val="Arial"/>
      <scheme val="minor"/>
    </font>
    <font>
      <color theme="1"/>
      <name val="Arial"/>
    </font>
    <font>
      <b/>
      <sz val="12.0"/>
      <color theme="1"/>
      <name val="Arial"/>
    </font>
    <font/>
    <font>
      <b/>
      <sz val="11.0"/>
      <color theme="1"/>
      <name val="Arial"/>
    </font>
    <font>
      <sz val="11.0"/>
      <color theme="1"/>
      <name val="Arial"/>
    </font>
    <font>
      <sz val="9.0"/>
      <color rgb="FF7E3794"/>
      <name val="Google Sans Mono"/>
    </font>
    <font>
      <color rgb="FFFF0000"/>
      <name val="Arial"/>
    </font>
    <font>
      <b/>
      <color theme="1"/>
      <name val="Arial"/>
    </font>
    <font>
      <b/>
      <sz val="9.0"/>
      <color rgb="FF7E3794"/>
      <name val="Google Sans Mono"/>
    </font>
    <font>
      <b/>
      <color theme="1"/>
      <name val="Arial"/>
      <scheme val="minor"/>
    </font>
    <font>
      <color theme="1"/>
      <name val="Arial"/>
      <scheme val="minor"/>
    </font>
    <font>
      <color rgb="FFFF0000"/>
      <name val="Arial"/>
      <scheme val="minor"/>
    </font>
    <font>
      <color rgb="FF980000"/>
      <name val="Arial"/>
      <scheme val="minor"/>
    </font>
    <font>
      <color rgb="FF980000"/>
      <name val="Arial"/>
    </font>
    <font>
      <color rgb="FFCC0000"/>
      <name val="Arial"/>
    </font>
    <font>
      <color rgb="FFCC0000"/>
      <name val="Arial"/>
      <scheme val="minor"/>
    </font>
    <font>
      <b/>
      <color rgb="FF000000"/>
      <name val="Arial"/>
      <scheme val="minor"/>
    </font>
    <font>
      <color rgb="FF000000"/>
      <name val="Arial"/>
      <scheme val="minor"/>
    </font>
    <font>
      <b/>
      <color rgb="FFFF0000"/>
      <name val="Arial"/>
    </font>
  </fonts>
  <fills count="11">
    <fill>
      <patternFill patternType="none"/>
    </fill>
    <fill>
      <patternFill patternType="lightGray"/>
    </fill>
    <fill>
      <patternFill patternType="solid">
        <fgColor rgb="FFB7B7B7"/>
        <bgColor rgb="FFB7B7B7"/>
      </patternFill>
    </fill>
    <fill>
      <patternFill patternType="solid">
        <fgColor rgb="FFFFF2CC"/>
        <bgColor rgb="FFFFF2CC"/>
      </patternFill>
    </fill>
    <fill>
      <patternFill patternType="solid">
        <fgColor rgb="FFCFE2F3"/>
        <bgColor rgb="FFCFE2F3"/>
      </patternFill>
    </fill>
    <fill>
      <patternFill patternType="solid">
        <fgColor rgb="FFF4CCCC"/>
        <bgColor rgb="FFF4CCCC"/>
      </patternFill>
    </fill>
    <fill>
      <patternFill patternType="solid">
        <fgColor rgb="FFD9EAD3"/>
        <bgColor rgb="FFD9EAD3"/>
      </patternFill>
    </fill>
    <fill>
      <patternFill patternType="solid">
        <fgColor rgb="FFFFFFFF"/>
        <bgColor rgb="FFFFFFFF"/>
      </patternFill>
    </fill>
    <fill>
      <patternFill patternType="solid">
        <fgColor rgb="FFEAD1DC"/>
        <bgColor rgb="FFEAD1DC"/>
      </patternFill>
    </fill>
    <fill>
      <patternFill patternType="solid">
        <fgColor rgb="FF9FC5E8"/>
        <bgColor rgb="FF9FC5E8"/>
      </patternFill>
    </fill>
    <fill>
      <patternFill patternType="solid">
        <fgColor rgb="FFB6D7A8"/>
        <bgColor rgb="FFB6D7A8"/>
      </patternFill>
    </fill>
  </fills>
  <borders count="13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</border>
  </borders>
  <cellStyleXfs count="1">
    <xf borderId="0" fillId="0" fontId="0" numFmtId="0" applyAlignment="1" applyFont="1"/>
  </cellStyleXfs>
  <cellXfs count="172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vertical="bottom"/>
    </xf>
    <xf borderId="1" fillId="2" fontId="2" numFmtId="0" xfId="0" applyAlignment="1" applyBorder="1" applyFill="1" applyFont="1">
      <alignment horizontal="center" readingOrder="0" vertical="bottom"/>
    </xf>
    <xf borderId="2" fillId="0" fontId="3" numFmtId="0" xfId="0" applyBorder="1" applyFont="1"/>
    <xf borderId="3" fillId="0" fontId="3" numFmtId="0" xfId="0" applyBorder="1" applyFont="1"/>
    <xf borderId="4" fillId="3" fontId="4" numFmtId="0" xfId="0" applyAlignment="1" applyBorder="1" applyFill="1" applyFont="1">
      <alignment horizontal="center" shrinkToFit="0" vertical="bottom" wrapText="1"/>
    </xf>
    <xf borderId="4" fillId="4" fontId="5" numFmtId="0" xfId="0" applyAlignment="1" applyBorder="1" applyFill="1" applyFont="1">
      <alignment horizontal="center" shrinkToFit="0" vertical="bottom" wrapText="1"/>
    </xf>
    <xf borderId="4" fillId="5" fontId="4" numFmtId="0" xfId="0" applyAlignment="1" applyBorder="1" applyFill="1" applyFont="1">
      <alignment horizontal="center" shrinkToFit="0" vertical="bottom" wrapText="1"/>
    </xf>
    <xf borderId="4" fillId="6" fontId="4" numFmtId="0" xfId="0" applyAlignment="1" applyBorder="1" applyFill="1" applyFont="1">
      <alignment horizontal="center" shrinkToFit="0" vertical="bottom" wrapText="1"/>
    </xf>
    <xf borderId="4" fillId="4" fontId="4" numFmtId="0" xfId="0" applyAlignment="1" applyBorder="1" applyFont="1">
      <alignment horizontal="center" shrinkToFit="0" vertical="bottom" wrapText="1"/>
    </xf>
    <xf borderId="4" fillId="3" fontId="4" numFmtId="164" xfId="0" applyAlignment="1" applyBorder="1" applyFont="1" applyNumberFormat="1">
      <alignment horizontal="center" shrinkToFit="0" vertical="bottom" wrapText="1"/>
    </xf>
    <xf borderId="4" fillId="0" fontId="1" numFmtId="0" xfId="0" applyAlignment="1" applyBorder="1" applyFont="1">
      <alignment vertical="bottom"/>
    </xf>
    <xf borderId="4" fillId="7" fontId="6" numFmtId="0" xfId="0" applyAlignment="1" applyBorder="1" applyFill="1" applyFont="1">
      <alignment horizontal="right" vertical="bottom"/>
    </xf>
    <xf borderId="4" fillId="0" fontId="1" numFmtId="0" xfId="0" applyAlignment="1" applyBorder="1" applyFont="1">
      <alignment readingOrder="0" vertical="bottom"/>
    </xf>
    <xf borderId="4" fillId="0" fontId="1" numFmtId="164" xfId="0" applyAlignment="1" applyBorder="1" applyFont="1" applyNumberFormat="1">
      <alignment horizontal="right" vertical="bottom"/>
    </xf>
    <xf borderId="4" fillId="0" fontId="1" numFmtId="0" xfId="0" applyAlignment="1" applyBorder="1" applyFont="1">
      <alignment horizontal="right" readingOrder="0" vertical="bottom"/>
    </xf>
    <xf borderId="4" fillId="0" fontId="7" numFmtId="0" xfId="0" applyAlignment="1" applyBorder="1" applyFont="1">
      <alignment readingOrder="0" vertical="bottom"/>
    </xf>
    <xf borderId="4" fillId="0" fontId="1" numFmtId="0" xfId="0" applyAlignment="1" applyBorder="1" applyFont="1">
      <alignment horizontal="right" vertical="bottom"/>
    </xf>
    <xf borderId="4" fillId="7" fontId="1" numFmtId="0" xfId="0" applyAlignment="1" applyBorder="1" applyFont="1">
      <alignment vertical="bottom"/>
    </xf>
    <xf borderId="4" fillId="8" fontId="1" numFmtId="0" xfId="0" applyAlignment="1" applyBorder="1" applyFill="1" applyFont="1">
      <alignment vertical="bottom"/>
    </xf>
    <xf borderId="4" fillId="8" fontId="1" numFmtId="0" xfId="0" applyAlignment="1" applyBorder="1" applyFont="1">
      <alignment horizontal="right" vertical="bottom"/>
    </xf>
    <xf borderId="4" fillId="8" fontId="1" numFmtId="164" xfId="0" applyAlignment="1" applyBorder="1" applyFont="1" applyNumberFormat="1">
      <alignment horizontal="right" vertical="bottom"/>
    </xf>
    <xf borderId="0" fillId="0" fontId="1" numFmtId="0" xfId="0" applyAlignment="1" applyFont="1">
      <alignment vertical="bottom"/>
    </xf>
    <xf borderId="1" fillId="6" fontId="8" numFmtId="0" xfId="0" applyAlignment="1" applyBorder="1" applyFont="1">
      <alignment horizontal="center" vertical="bottom"/>
    </xf>
    <xf borderId="4" fillId="6" fontId="1" numFmtId="0" xfId="0" applyAlignment="1" applyBorder="1" applyFont="1">
      <alignment vertical="bottom"/>
    </xf>
    <xf borderId="4" fillId="0" fontId="1" numFmtId="164" xfId="0" applyAlignment="1" applyBorder="1" applyFont="1" applyNumberFormat="1">
      <alignment vertical="bottom"/>
    </xf>
    <xf borderId="4" fillId="0" fontId="8" numFmtId="0" xfId="0" applyAlignment="1" applyBorder="1" applyFont="1">
      <alignment readingOrder="0" vertical="bottom"/>
    </xf>
    <xf borderId="4" fillId="0" fontId="8" numFmtId="0" xfId="0" applyAlignment="1" applyBorder="1" applyFont="1">
      <alignment vertical="bottom"/>
    </xf>
    <xf borderId="4" fillId="7" fontId="9" numFmtId="0" xfId="0" applyAlignment="1" applyBorder="1" applyFont="1">
      <alignment horizontal="right" vertical="bottom"/>
    </xf>
    <xf borderId="4" fillId="7" fontId="6" numFmtId="0" xfId="0" applyAlignment="1" applyBorder="1" applyFont="1">
      <alignment horizontal="right" readingOrder="0" vertical="bottom"/>
    </xf>
    <xf borderId="0" fillId="0" fontId="10" numFmtId="0" xfId="0" applyFont="1"/>
    <xf borderId="0" fillId="0" fontId="11" numFmtId="164" xfId="0" applyFont="1" applyNumberFormat="1"/>
    <xf borderId="0" fillId="5" fontId="1" numFmtId="0" xfId="0" applyAlignment="1" applyFont="1">
      <alignment vertical="bottom"/>
    </xf>
    <xf borderId="1" fillId="5" fontId="8" numFmtId="0" xfId="0" applyAlignment="1" applyBorder="1" applyFont="1">
      <alignment horizontal="center" vertical="bottom"/>
    </xf>
    <xf borderId="4" fillId="5" fontId="1" numFmtId="0" xfId="0" applyAlignment="1" applyBorder="1" applyFont="1">
      <alignment vertical="bottom"/>
    </xf>
    <xf borderId="4" fillId="5" fontId="8" numFmtId="164" xfId="0" applyAlignment="1" applyBorder="1" applyFont="1" applyNumberFormat="1">
      <alignment horizontal="right" vertical="bottom"/>
    </xf>
    <xf borderId="0" fillId="0" fontId="11" numFmtId="0" xfId="0" applyAlignment="1" applyFont="1">
      <alignment readingOrder="0"/>
    </xf>
    <xf borderId="4" fillId="7" fontId="1" numFmtId="0" xfId="0" applyAlignment="1" applyBorder="1" applyFont="1">
      <alignment readingOrder="0" vertical="bottom"/>
    </xf>
    <xf borderId="1" fillId="0" fontId="8" numFmtId="0" xfId="0" applyAlignment="1" applyBorder="1" applyFont="1">
      <alignment vertical="bottom"/>
    </xf>
    <xf borderId="5" fillId="2" fontId="11" numFmtId="0" xfId="0" applyAlignment="1" applyBorder="1" applyFont="1">
      <alignment horizontal="center" readingOrder="0" vertical="center"/>
    </xf>
    <xf borderId="6" fillId="0" fontId="3" numFmtId="0" xfId="0" applyBorder="1" applyFont="1"/>
    <xf borderId="7" fillId="0" fontId="3" numFmtId="0" xfId="0" applyBorder="1" applyFont="1"/>
    <xf borderId="8" fillId="0" fontId="3" numFmtId="0" xfId="0" applyBorder="1" applyFont="1"/>
    <xf borderId="9" fillId="0" fontId="3" numFmtId="0" xfId="0" applyBorder="1" applyFont="1"/>
    <xf borderId="10" fillId="0" fontId="3" numFmtId="0" xfId="0" applyBorder="1" applyFont="1"/>
    <xf borderId="1" fillId="0" fontId="1" numFmtId="164" xfId="0" applyAlignment="1" applyBorder="1" applyFont="1" applyNumberFormat="1">
      <alignment horizontal="center" readingOrder="0" shrinkToFit="0" vertical="bottom" wrapText="1"/>
    </xf>
    <xf borderId="0" fillId="8" fontId="10" numFmtId="0" xfId="0" applyAlignment="1" applyFont="1">
      <alignment horizontal="center" readingOrder="0"/>
    </xf>
    <xf borderId="4" fillId="8" fontId="10" numFmtId="0" xfId="0" applyAlignment="1" applyBorder="1" applyFont="1">
      <alignment horizontal="center" readingOrder="0"/>
    </xf>
    <xf borderId="4" fillId="0" fontId="11" numFmtId="0" xfId="0" applyAlignment="1" applyBorder="1" applyFont="1">
      <alignment readingOrder="0"/>
    </xf>
    <xf borderId="4" fillId="0" fontId="11" numFmtId="164" xfId="0" applyAlignment="1" applyBorder="1" applyFont="1" applyNumberFormat="1">
      <alignment readingOrder="0"/>
    </xf>
    <xf borderId="4" fillId="0" fontId="11" numFmtId="49" xfId="0" applyAlignment="1" applyBorder="1" applyFont="1" applyNumberFormat="1">
      <alignment readingOrder="0"/>
    </xf>
    <xf borderId="4" fillId="0" fontId="11" numFmtId="164" xfId="0" applyAlignment="1" applyBorder="1" applyFont="1" applyNumberFormat="1">
      <alignment horizontal="center" readingOrder="0"/>
    </xf>
    <xf borderId="4" fillId="0" fontId="11" numFmtId="0" xfId="0" applyAlignment="1" applyBorder="1" applyFont="1">
      <alignment readingOrder="0" shrinkToFit="0" vertical="center" wrapText="1"/>
    </xf>
    <xf borderId="4" fillId="0" fontId="11" numFmtId="164" xfId="0" applyAlignment="1" applyBorder="1" applyFont="1" applyNumberFormat="1">
      <alignment readingOrder="0" shrinkToFit="0" vertical="center" wrapText="1"/>
    </xf>
    <xf borderId="4" fillId="0" fontId="11" numFmtId="164" xfId="0" applyAlignment="1" applyBorder="1" applyFont="1" applyNumberFormat="1">
      <alignment horizontal="center" readingOrder="0" shrinkToFit="0" vertical="center" wrapText="1"/>
    </xf>
    <xf borderId="0" fillId="0" fontId="8" numFmtId="0" xfId="0" applyAlignment="1" applyFont="1">
      <alignment horizontal="center" readingOrder="0" shrinkToFit="0" wrapText="1"/>
    </xf>
    <xf borderId="0" fillId="0" fontId="8" numFmtId="0" xfId="0" applyAlignment="1" applyFont="1">
      <alignment horizontal="center" readingOrder="0"/>
    </xf>
    <xf borderId="4" fillId="0" fontId="11" numFmtId="49" xfId="0" applyAlignment="1" applyBorder="1" applyFont="1" applyNumberFormat="1">
      <alignment readingOrder="0" shrinkToFit="0" vertical="center" wrapText="1"/>
    </xf>
    <xf borderId="4" fillId="0" fontId="8" numFmtId="0" xfId="0" applyAlignment="1" applyBorder="1" applyFont="1">
      <alignment horizontal="center" readingOrder="0" shrinkToFit="0" wrapText="1"/>
    </xf>
    <xf borderId="4" fillId="0" fontId="8" numFmtId="0" xfId="0" applyAlignment="1" applyBorder="1" applyFont="1">
      <alignment horizontal="center" readingOrder="0"/>
    </xf>
    <xf borderId="4" fillId="0" fontId="11" numFmtId="164" xfId="0" applyAlignment="1" applyBorder="1" applyFont="1" applyNumberFormat="1">
      <alignment horizontal="right" readingOrder="0"/>
    </xf>
    <xf borderId="4" fillId="0" fontId="11" numFmtId="0" xfId="0" applyAlignment="1" applyBorder="1" applyFont="1">
      <alignment horizontal="right" readingOrder="0"/>
    </xf>
    <xf borderId="4" fillId="0" fontId="11" numFmtId="164" xfId="0" applyBorder="1" applyFont="1" applyNumberFormat="1"/>
    <xf borderId="4" fillId="0" fontId="12" numFmtId="164" xfId="0" applyBorder="1" applyFont="1" applyNumberFormat="1"/>
    <xf borderId="4" fillId="0" fontId="13" numFmtId="0" xfId="0" applyAlignment="1" applyBorder="1" applyFont="1">
      <alignment readingOrder="0"/>
    </xf>
    <xf borderId="0" fillId="9" fontId="11" numFmtId="0" xfId="0" applyAlignment="1" applyFill="1" applyFont="1">
      <alignment horizontal="right" readingOrder="0"/>
    </xf>
    <xf borderId="0" fillId="9" fontId="11" numFmtId="164" xfId="0" applyAlignment="1" applyFont="1" applyNumberFormat="1">
      <alignment horizontal="right" readingOrder="0"/>
    </xf>
    <xf borderId="5" fillId="2" fontId="10" numFmtId="0" xfId="0" applyAlignment="1" applyBorder="1" applyFont="1">
      <alignment horizontal="center" readingOrder="0" vertical="center"/>
    </xf>
    <xf borderId="5" fillId="2" fontId="8" numFmtId="0" xfId="0" applyAlignment="1" applyBorder="1" applyFont="1">
      <alignment horizontal="center"/>
    </xf>
    <xf borderId="8" fillId="10" fontId="8" numFmtId="0" xfId="0" applyAlignment="1" applyBorder="1" applyFill="1" applyFont="1">
      <alignment horizontal="center" vertical="bottom"/>
    </xf>
    <xf borderId="11" fillId="8" fontId="8" numFmtId="0" xfId="0" applyAlignment="1" applyBorder="1" applyFont="1">
      <alignment horizontal="center" vertical="bottom"/>
    </xf>
    <xf borderId="9" fillId="8" fontId="8" numFmtId="0" xfId="0" applyAlignment="1" applyBorder="1" applyFont="1">
      <alignment horizontal="center" vertical="bottom"/>
    </xf>
    <xf borderId="10" fillId="8" fontId="8" numFmtId="0" xfId="0" applyAlignment="1" applyBorder="1" applyFont="1">
      <alignment horizontal="center" vertical="bottom"/>
    </xf>
    <xf borderId="10" fillId="8" fontId="1" numFmtId="0" xfId="0" applyAlignment="1" applyBorder="1" applyFont="1">
      <alignment vertical="bottom"/>
    </xf>
    <xf borderId="11" fillId="0" fontId="1" numFmtId="0" xfId="0" applyAlignment="1" applyBorder="1" applyFont="1">
      <alignment vertical="bottom"/>
    </xf>
    <xf borderId="10" fillId="0" fontId="1" numFmtId="164" xfId="0" applyAlignment="1" applyBorder="1" applyFont="1" applyNumberFormat="1">
      <alignment horizontal="right" vertical="bottom"/>
    </xf>
    <xf borderId="10" fillId="0" fontId="1" numFmtId="0" xfId="0" applyAlignment="1" applyBorder="1" applyFont="1">
      <alignment horizontal="right" vertical="bottom"/>
    </xf>
    <xf borderId="10" fillId="0" fontId="1" numFmtId="49" xfId="0" applyAlignment="1" applyBorder="1" applyFont="1" applyNumberFormat="1">
      <alignment vertical="bottom"/>
    </xf>
    <xf borderId="10" fillId="0" fontId="14" numFmtId="0" xfId="0" applyAlignment="1" applyBorder="1" applyFont="1">
      <alignment horizontal="right" vertical="bottom"/>
    </xf>
    <xf borderId="10" fillId="0" fontId="1" numFmtId="164" xfId="0" applyAlignment="1" applyBorder="1" applyFont="1" applyNumberFormat="1">
      <alignment horizontal="center" vertical="bottom"/>
    </xf>
    <xf borderId="11" fillId="0" fontId="1" numFmtId="0" xfId="0" applyAlignment="1" applyBorder="1" applyFont="1">
      <alignment readingOrder="0" vertical="bottom"/>
    </xf>
    <xf borderId="10" fillId="0" fontId="14" numFmtId="0" xfId="0" applyAlignment="1" applyBorder="1" applyFont="1">
      <alignment horizontal="right" readingOrder="0" vertical="bottom"/>
    </xf>
    <xf borderId="9" fillId="0" fontId="1" numFmtId="0" xfId="0" applyAlignment="1" applyBorder="1" applyFont="1">
      <alignment vertical="bottom"/>
    </xf>
    <xf borderId="10" fillId="0" fontId="1" numFmtId="164" xfId="0" applyAlignment="1" applyBorder="1" applyFont="1" applyNumberFormat="1">
      <alignment horizontal="right" readingOrder="0" vertical="bottom"/>
    </xf>
    <xf borderId="9" fillId="0" fontId="8" numFmtId="0" xfId="0" applyAlignment="1" applyBorder="1" applyFont="1">
      <alignment horizontal="center" shrinkToFit="0" vertical="bottom" wrapText="1"/>
    </xf>
    <xf borderId="9" fillId="0" fontId="8" numFmtId="0" xfId="0" applyAlignment="1" applyBorder="1" applyFont="1">
      <alignment horizontal="center" vertical="bottom"/>
    </xf>
    <xf borderId="11" fillId="0" fontId="1" numFmtId="0" xfId="0" applyAlignment="1" applyBorder="1" applyFont="1">
      <alignment shrinkToFit="0" wrapText="1"/>
    </xf>
    <xf borderId="10" fillId="0" fontId="1" numFmtId="164" xfId="0" applyAlignment="1" applyBorder="1" applyFont="1" applyNumberFormat="1">
      <alignment horizontal="right" readingOrder="0" shrinkToFit="0" wrapText="1"/>
    </xf>
    <xf borderId="10" fillId="0" fontId="1" numFmtId="0" xfId="0" applyAlignment="1" applyBorder="1" applyFont="1">
      <alignment horizontal="right" shrinkToFit="0" wrapText="1"/>
    </xf>
    <xf borderId="10" fillId="0" fontId="1" numFmtId="164" xfId="0" applyAlignment="1" applyBorder="1" applyFont="1" applyNumberFormat="1">
      <alignment horizontal="center" shrinkToFit="0" wrapText="1"/>
    </xf>
    <xf borderId="12" fillId="0" fontId="1" numFmtId="0" xfId="0" applyAlignment="1" applyBorder="1" applyFont="1">
      <alignment vertical="bottom"/>
    </xf>
    <xf borderId="10" fillId="0" fontId="8" numFmtId="0" xfId="0" applyAlignment="1" applyBorder="1" applyFont="1">
      <alignment horizontal="center" shrinkToFit="0" vertical="bottom" wrapText="1"/>
    </xf>
    <xf borderId="10" fillId="0" fontId="8" numFmtId="0" xfId="0" applyAlignment="1" applyBorder="1" applyFont="1">
      <alignment horizontal="center" vertical="bottom"/>
    </xf>
    <xf borderId="10" fillId="0" fontId="1" numFmtId="164" xfId="0" applyAlignment="1" applyBorder="1" applyFont="1" applyNumberFormat="1">
      <alignment vertical="bottom"/>
    </xf>
    <xf borderId="10" fillId="0" fontId="1" numFmtId="0" xfId="0" applyAlignment="1" applyBorder="1" applyFont="1">
      <alignment vertical="bottom"/>
    </xf>
    <xf borderId="10" fillId="0" fontId="1" numFmtId="0" xfId="0" applyAlignment="1" applyBorder="1" applyFont="1">
      <alignment vertical="bottom"/>
    </xf>
    <xf borderId="10" fillId="0" fontId="15" numFmtId="0" xfId="0" applyAlignment="1" applyBorder="1" applyFont="1">
      <alignment horizontal="right" vertical="bottom"/>
    </xf>
    <xf borderId="10" fillId="0" fontId="7" numFmtId="164" xfId="0" applyAlignment="1" applyBorder="1" applyFont="1" applyNumberFormat="1">
      <alignment horizontal="right" vertical="bottom"/>
    </xf>
    <xf borderId="0" fillId="0" fontId="1" numFmtId="0" xfId="0" applyAlignment="1" applyFont="1">
      <alignment vertical="bottom"/>
    </xf>
    <xf borderId="0" fillId="0" fontId="1" numFmtId="164" xfId="0" applyAlignment="1" applyFont="1" applyNumberFormat="1">
      <alignment vertical="bottom"/>
    </xf>
    <xf borderId="0" fillId="9" fontId="1" numFmtId="0" xfId="0" applyAlignment="1" applyFont="1">
      <alignment vertical="bottom"/>
    </xf>
    <xf borderId="0" fillId="9" fontId="1" numFmtId="0" xfId="0" applyAlignment="1" applyFont="1">
      <alignment horizontal="right" vertical="bottom"/>
    </xf>
    <xf borderId="0" fillId="9" fontId="1" numFmtId="164" xfId="0" applyAlignment="1" applyFont="1" applyNumberFormat="1">
      <alignment horizontal="right" vertical="bottom"/>
    </xf>
    <xf borderId="1" fillId="10" fontId="10" numFmtId="0" xfId="0" applyAlignment="1" applyBorder="1" applyFont="1">
      <alignment horizontal="center" readingOrder="0"/>
    </xf>
    <xf borderId="4" fillId="0" fontId="16" numFmtId="0" xfId="0" applyAlignment="1" applyBorder="1" applyFont="1">
      <alignment readingOrder="0"/>
    </xf>
    <xf borderId="4" fillId="0" fontId="10" numFmtId="0" xfId="0" applyAlignment="1" applyBorder="1" applyFont="1">
      <alignment readingOrder="0"/>
    </xf>
    <xf borderId="0" fillId="9" fontId="10" numFmtId="0" xfId="0" applyAlignment="1" applyFont="1">
      <alignment horizontal="right" readingOrder="0"/>
    </xf>
    <xf borderId="4" fillId="0" fontId="11" numFmtId="164" xfId="0" applyAlignment="1" applyBorder="1" applyFont="1" applyNumberFormat="1">
      <alignment horizontal="center" readingOrder="0" shrinkToFit="0" wrapText="1"/>
    </xf>
    <xf borderId="4" fillId="0" fontId="11" numFmtId="0" xfId="0" applyBorder="1" applyFont="1"/>
    <xf borderId="4" fillId="0" fontId="12" numFmtId="0" xfId="0" applyBorder="1" applyFont="1"/>
    <xf borderId="0" fillId="0" fontId="11" numFmtId="164" xfId="0" applyAlignment="1" applyFont="1" applyNumberFormat="1">
      <alignment readingOrder="0"/>
    </xf>
    <xf borderId="4" fillId="0" fontId="12" numFmtId="0" xfId="0" applyAlignment="1" applyBorder="1" applyFont="1">
      <alignment readingOrder="0"/>
    </xf>
    <xf borderId="0" fillId="2" fontId="10" numFmtId="0" xfId="0" applyAlignment="1" applyFont="1">
      <alignment horizontal="center" readingOrder="0" vertical="center"/>
    </xf>
    <xf borderId="0" fillId="7" fontId="11" numFmtId="0" xfId="0" applyAlignment="1" applyFont="1">
      <alignment horizontal="right" readingOrder="0"/>
    </xf>
    <xf borderId="5" fillId="2" fontId="17" numFmtId="0" xfId="0" applyAlignment="1" applyBorder="1" applyFont="1">
      <alignment horizontal="center" readingOrder="0" vertical="center"/>
    </xf>
    <xf borderId="1" fillId="10" fontId="17" numFmtId="0" xfId="0" applyAlignment="1" applyBorder="1" applyFont="1">
      <alignment horizontal="center" readingOrder="0"/>
    </xf>
    <xf borderId="4" fillId="8" fontId="17" numFmtId="0" xfId="0" applyAlignment="1" applyBorder="1" applyFont="1">
      <alignment horizontal="center" readingOrder="0"/>
    </xf>
    <xf borderId="0" fillId="8" fontId="17" numFmtId="0" xfId="0" applyAlignment="1" applyFont="1">
      <alignment horizontal="center" readingOrder="0"/>
    </xf>
    <xf borderId="4" fillId="0" fontId="18" numFmtId="0" xfId="0" applyAlignment="1" applyBorder="1" applyFont="1">
      <alignment readingOrder="0"/>
    </xf>
    <xf borderId="4" fillId="0" fontId="18" numFmtId="164" xfId="0" applyAlignment="1" applyBorder="1" applyFont="1" applyNumberFormat="1">
      <alignment readingOrder="0"/>
    </xf>
    <xf borderId="4" fillId="0" fontId="18" numFmtId="49" xfId="0" applyAlignment="1" applyBorder="1" applyFont="1" applyNumberFormat="1">
      <alignment readingOrder="0"/>
    </xf>
    <xf borderId="4" fillId="0" fontId="18" numFmtId="164" xfId="0" applyAlignment="1" applyBorder="1" applyFont="1" applyNumberFormat="1">
      <alignment horizontal="center" readingOrder="0"/>
    </xf>
    <xf borderId="4" fillId="0" fontId="18" numFmtId="0" xfId="0" applyAlignment="1" applyBorder="1" applyFont="1">
      <alignment readingOrder="0" shrinkToFit="0" vertical="center" wrapText="1"/>
    </xf>
    <xf borderId="4" fillId="0" fontId="18" numFmtId="164" xfId="0" applyAlignment="1" applyBorder="1" applyFont="1" applyNumberFormat="1">
      <alignment readingOrder="0" shrinkToFit="0" vertical="center" wrapText="1"/>
    </xf>
    <xf borderId="4" fillId="0" fontId="18" numFmtId="164" xfId="0" applyAlignment="1" applyBorder="1" applyFont="1" applyNumberFormat="1">
      <alignment horizontal="center" readingOrder="0" shrinkToFit="0" vertical="center" wrapText="1"/>
    </xf>
    <xf borderId="4" fillId="0" fontId="18" numFmtId="49" xfId="0" applyAlignment="1" applyBorder="1" applyFont="1" applyNumberFormat="1">
      <alignment readingOrder="0" shrinkToFit="0" vertical="center" wrapText="1"/>
    </xf>
    <xf borderId="0" fillId="0" fontId="18" numFmtId="0" xfId="0" applyFont="1"/>
    <xf borderId="0" fillId="9" fontId="18" numFmtId="0" xfId="0" applyAlignment="1" applyFont="1">
      <alignment horizontal="right" readingOrder="0"/>
    </xf>
    <xf borderId="0" fillId="9" fontId="18" numFmtId="164" xfId="0" applyAlignment="1" applyFont="1" applyNumberFormat="1">
      <alignment horizontal="right" readingOrder="0"/>
    </xf>
    <xf borderId="8" fillId="2" fontId="10" numFmtId="0" xfId="0" applyAlignment="1" applyBorder="1" applyFont="1">
      <alignment horizontal="center" readingOrder="0" vertical="center"/>
    </xf>
    <xf borderId="9" fillId="2" fontId="10" numFmtId="0" xfId="0" applyAlignment="1" applyBorder="1" applyFont="1">
      <alignment horizontal="center" readingOrder="0" vertical="center"/>
    </xf>
    <xf borderId="10" fillId="2" fontId="10" numFmtId="0" xfId="0" applyAlignment="1" applyBorder="1" applyFont="1">
      <alignment horizontal="center" readingOrder="0" vertical="center"/>
    </xf>
    <xf borderId="0" fillId="2" fontId="8" numFmtId="0" xfId="0" applyAlignment="1" applyFont="1">
      <alignment horizontal="center" shrinkToFit="0" vertical="center" wrapText="1"/>
    </xf>
    <xf borderId="0" fillId="7" fontId="8" numFmtId="0" xfId="0" applyAlignment="1" applyFont="1">
      <alignment horizontal="center" vertical="bottom"/>
    </xf>
    <xf borderId="4" fillId="0" fontId="12" numFmtId="164" xfId="0" applyAlignment="1" applyBorder="1" applyFont="1" applyNumberFormat="1">
      <alignment readingOrder="0"/>
    </xf>
    <xf borderId="4" fillId="0" fontId="10" numFmtId="164" xfId="0" applyAlignment="1" applyBorder="1" applyFont="1" applyNumberFormat="1">
      <alignment horizontal="center" readingOrder="0"/>
    </xf>
    <xf borderId="0" fillId="0" fontId="12" numFmtId="0" xfId="0" applyFont="1"/>
    <xf borderId="0" fillId="0" fontId="19" numFmtId="0" xfId="0" applyAlignment="1" applyFont="1">
      <alignment horizontal="center" readingOrder="0" shrinkToFit="0" wrapText="1"/>
    </xf>
    <xf borderId="0" fillId="0" fontId="19" numFmtId="0" xfId="0" applyAlignment="1" applyFont="1">
      <alignment horizontal="center" readingOrder="0"/>
    </xf>
    <xf borderId="4" fillId="0" fontId="12" numFmtId="164" xfId="0" applyAlignment="1" applyBorder="1" applyFont="1" applyNumberFormat="1">
      <alignment horizontal="right" readingOrder="0"/>
    </xf>
    <xf borderId="4" fillId="0" fontId="12" numFmtId="0" xfId="0" applyAlignment="1" applyBorder="1" applyFont="1">
      <alignment horizontal="right" readingOrder="0"/>
    </xf>
    <xf borderId="0" fillId="0" fontId="18" numFmtId="0" xfId="0" applyAlignment="1" applyFont="1">
      <alignment readingOrder="0"/>
    </xf>
    <xf borderId="0" fillId="0" fontId="12" numFmtId="0" xfId="0" applyAlignment="1" applyFont="1">
      <alignment readingOrder="0"/>
    </xf>
    <xf borderId="4" fillId="0" fontId="12" numFmtId="49" xfId="0" applyAlignment="1" applyBorder="1" applyFont="1" applyNumberFormat="1">
      <alignment readingOrder="0"/>
    </xf>
    <xf borderId="4" fillId="0" fontId="12" numFmtId="164" xfId="0" applyAlignment="1" applyBorder="1" applyFont="1" applyNumberFormat="1">
      <alignment horizontal="center" readingOrder="0"/>
    </xf>
    <xf borderId="4" fillId="0" fontId="12" numFmtId="0" xfId="0" applyAlignment="1" applyBorder="1" applyFont="1">
      <alignment readingOrder="0" shrinkToFit="0" vertical="center" wrapText="1"/>
    </xf>
    <xf borderId="4" fillId="0" fontId="12" numFmtId="164" xfId="0" applyAlignment="1" applyBorder="1" applyFont="1" applyNumberFormat="1">
      <alignment readingOrder="0" shrinkToFit="0" vertical="center" wrapText="1"/>
    </xf>
    <xf borderId="4" fillId="0" fontId="12" numFmtId="49" xfId="0" applyAlignment="1" applyBorder="1" applyFont="1" applyNumberFormat="1">
      <alignment readingOrder="0" shrinkToFit="0" vertical="center" wrapText="1"/>
    </xf>
    <xf borderId="4" fillId="0" fontId="12" numFmtId="164" xfId="0" applyAlignment="1" applyBorder="1" applyFont="1" applyNumberFormat="1">
      <alignment horizontal="center" readingOrder="0" shrinkToFit="0" vertical="center" wrapText="1"/>
    </xf>
    <xf borderId="4" fillId="0" fontId="12" numFmtId="0" xfId="0" applyAlignment="1" applyBorder="1" applyFont="1">
      <alignment horizontal="left" readingOrder="0" shrinkToFit="0" wrapText="1"/>
    </xf>
    <xf borderId="4" fillId="0" fontId="18" numFmtId="164" xfId="0" applyAlignment="1" applyBorder="1" applyFont="1" applyNumberFormat="1">
      <alignment horizontal="right" readingOrder="0"/>
    </xf>
    <xf borderId="4" fillId="0" fontId="18" numFmtId="0" xfId="0" applyAlignment="1" applyBorder="1" applyFont="1">
      <alignment horizontal="right" readingOrder="0"/>
    </xf>
    <xf borderId="4" fillId="0" fontId="18" numFmtId="164" xfId="0" applyBorder="1" applyFont="1" applyNumberFormat="1"/>
    <xf borderId="4" fillId="0" fontId="17" numFmtId="0" xfId="0" applyAlignment="1" applyBorder="1" applyFont="1">
      <alignment readingOrder="0"/>
    </xf>
    <xf borderId="4" fillId="0" fontId="17" numFmtId="164" xfId="0" applyAlignment="1" applyBorder="1" applyFont="1" applyNumberFormat="1">
      <alignment readingOrder="0"/>
    </xf>
    <xf borderId="4" fillId="0" fontId="17" numFmtId="49" xfId="0" applyAlignment="1" applyBorder="1" applyFont="1" applyNumberFormat="1">
      <alignment readingOrder="0"/>
    </xf>
    <xf borderId="4" fillId="0" fontId="17" numFmtId="164" xfId="0" applyAlignment="1" applyBorder="1" applyFont="1" applyNumberFormat="1">
      <alignment horizontal="center" readingOrder="0"/>
    </xf>
    <xf borderId="1" fillId="0" fontId="1" numFmtId="0" xfId="0" applyAlignment="1" applyBorder="1" applyFont="1">
      <alignment horizontal="center" readingOrder="0" vertical="bottom"/>
    </xf>
    <xf borderId="4" fillId="0" fontId="1" numFmtId="49" xfId="0" applyAlignment="1" applyBorder="1" applyFont="1" applyNumberFormat="1">
      <alignment vertical="bottom"/>
    </xf>
    <xf borderId="4" fillId="0" fontId="1" numFmtId="164" xfId="0" applyAlignment="1" applyBorder="1" applyFont="1" applyNumberFormat="1">
      <alignment horizontal="center" vertical="bottom"/>
    </xf>
    <xf borderId="4" fillId="0" fontId="1" numFmtId="0" xfId="0" applyAlignment="1" applyBorder="1" applyFont="1">
      <alignment shrinkToFit="0" vertical="bottom" wrapText="1"/>
    </xf>
    <xf borderId="4" fillId="0" fontId="1" numFmtId="164" xfId="0" applyAlignment="1" applyBorder="1" applyFont="1" applyNumberFormat="1">
      <alignment horizontal="right" shrinkToFit="0" vertical="bottom" wrapText="1"/>
    </xf>
    <xf borderId="4" fillId="0" fontId="1" numFmtId="0" xfId="0" applyAlignment="1" applyBorder="1" applyFont="1">
      <alignment horizontal="right" shrinkToFit="0" vertical="bottom" wrapText="1"/>
    </xf>
    <xf borderId="4" fillId="0" fontId="1" numFmtId="49" xfId="0" applyAlignment="1" applyBorder="1" applyFont="1" applyNumberFormat="1">
      <alignment shrinkToFit="0" vertical="bottom" wrapText="1"/>
    </xf>
    <xf borderId="4" fillId="0" fontId="1" numFmtId="164" xfId="0" applyAlignment="1" applyBorder="1" applyFont="1" applyNumberFormat="1">
      <alignment horizontal="center" shrinkToFit="0" vertical="bottom" wrapText="1"/>
    </xf>
    <xf borderId="0" fillId="0" fontId="8" numFmtId="0" xfId="0" applyAlignment="1" applyFont="1">
      <alignment vertical="bottom"/>
    </xf>
    <xf borderId="4" fillId="0" fontId="8" numFmtId="0" xfId="0" applyAlignment="1" applyBorder="1" applyFont="1">
      <alignment horizontal="center" shrinkToFit="0" vertical="bottom" wrapText="1"/>
    </xf>
    <xf borderId="4" fillId="0" fontId="8" numFmtId="0" xfId="0" applyAlignment="1" applyBorder="1" applyFont="1">
      <alignment horizontal="center" vertical="bottom"/>
    </xf>
    <xf borderId="4" fillId="0" fontId="7" numFmtId="164" xfId="0" applyAlignment="1" applyBorder="1" applyFont="1" applyNumberFormat="1">
      <alignment horizontal="right" vertical="bottom"/>
    </xf>
    <xf borderId="4" fillId="0" fontId="1" numFmtId="2" xfId="0" applyAlignment="1" applyBorder="1" applyFont="1" applyNumberFormat="1">
      <alignment vertical="bottom"/>
    </xf>
    <xf borderId="0" fillId="9" fontId="1" numFmtId="0" xfId="0" applyAlignment="1" applyFont="1">
      <alignment vertical="bottom"/>
    </xf>
    <xf borderId="0" fillId="9" fontId="1" numFmtId="0" xfId="0" applyAlignment="1" applyFon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Jailson Borges Soares" id="{32c0f2e5-71fc-4b94-9ad0-5f38c4328049}" providerId="google-sheets"/>
</x18tc:personList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A474" dT="2026-03-02T21:56:41.00" personId="{32c0f2e5-71fc-4b94-9ad0-5f38c4328049}" id="{e75f5ad5-fe95-4c88-85fa-e49b37d9d2c0}" done="0">
    <x18tc:text xml:space="preserve">pode apagar essa?
Ja copiei la pra aba de março</x18tc:text>
  </x18tc:threadedComment>
</x18tc:ThreadedComments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drawing" Target="../drawings/drawing4.xml"/><Relationship Id="rId5" Type="http://schemas.openxmlformats.org/officeDocument/2006/relationships/vmlDrawing" Target="../drawings/vmlDrawing1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17.25"/>
  </cols>
  <sheetData>
    <row r="1">
      <c r="A1" s="1"/>
      <c r="B1" s="2" t="s">
        <v>0</v>
      </c>
      <c r="C1" s="3"/>
      <c r="D1" s="3"/>
      <c r="E1" s="3"/>
      <c r="F1" s="3"/>
      <c r="G1" s="3"/>
      <c r="H1" s="3"/>
      <c r="I1" s="4"/>
    </row>
    <row r="2">
      <c r="A2" s="5" t="s">
        <v>1</v>
      </c>
      <c r="B2" s="6" t="s">
        <v>2</v>
      </c>
      <c r="C2" s="7" t="s">
        <v>3</v>
      </c>
      <c r="D2" s="8" t="s">
        <v>4</v>
      </c>
      <c r="E2" s="5" t="s">
        <v>5</v>
      </c>
      <c r="F2" s="5" t="s">
        <v>6</v>
      </c>
      <c r="G2" s="5" t="s">
        <v>7</v>
      </c>
      <c r="H2" s="9" t="s">
        <v>8</v>
      </c>
      <c r="I2" s="10" t="s">
        <v>9</v>
      </c>
    </row>
    <row r="3">
      <c r="A3" s="11" t="s">
        <v>10</v>
      </c>
      <c r="B3" s="12">
        <f>ABRIL26!H490</f>
        <v>35</v>
      </c>
      <c r="C3" s="11"/>
      <c r="D3" s="11"/>
      <c r="E3" s="13">
        <v>6.0</v>
      </c>
      <c r="F3" s="13"/>
      <c r="G3" s="12">
        <f t="shared" ref="G3:G25" si="1">E3-F3</f>
        <v>6</v>
      </c>
      <c r="H3" s="12">
        <f t="shared" ref="H3:H25" si="2">B3-C3+D3-G3</f>
        <v>29</v>
      </c>
      <c r="I3" s="14">
        <f t="shared" ref="I3:I25" si="3">G3*6</f>
        <v>36</v>
      </c>
    </row>
    <row r="4">
      <c r="A4" s="11" t="s">
        <v>11</v>
      </c>
      <c r="B4" s="12">
        <f>ABRIL26!H491</f>
        <v>28</v>
      </c>
      <c r="C4" s="15"/>
      <c r="D4" s="13"/>
      <c r="E4" s="13">
        <v>3.0</v>
      </c>
      <c r="F4" s="13"/>
      <c r="G4" s="12">
        <f t="shared" si="1"/>
        <v>3</v>
      </c>
      <c r="H4" s="12">
        <f t="shared" si="2"/>
        <v>25</v>
      </c>
      <c r="I4" s="14">
        <f t="shared" si="3"/>
        <v>18</v>
      </c>
    </row>
    <row r="5">
      <c r="A5" s="11" t="s">
        <v>12</v>
      </c>
      <c r="B5" s="12">
        <f>ABRIL26!H492</f>
        <v>17</v>
      </c>
      <c r="C5" s="11"/>
      <c r="D5" s="11"/>
      <c r="E5" s="13">
        <v>5.0</v>
      </c>
      <c r="F5" s="13"/>
      <c r="G5" s="12">
        <f t="shared" si="1"/>
        <v>5</v>
      </c>
      <c r="H5" s="12">
        <f t="shared" si="2"/>
        <v>12</v>
      </c>
      <c r="I5" s="14">
        <f t="shared" si="3"/>
        <v>30</v>
      </c>
    </row>
    <row r="6">
      <c r="A6" s="11" t="s">
        <v>13</v>
      </c>
      <c r="B6" s="12">
        <f>ABRIL26!H493</f>
        <v>32</v>
      </c>
      <c r="C6" s="16"/>
      <c r="D6" s="13"/>
      <c r="E6" s="13">
        <v>6.0</v>
      </c>
      <c r="F6" s="13"/>
      <c r="G6" s="12">
        <f t="shared" si="1"/>
        <v>6</v>
      </c>
      <c r="H6" s="12">
        <f t="shared" si="2"/>
        <v>26</v>
      </c>
      <c r="I6" s="14">
        <f t="shared" si="3"/>
        <v>36</v>
      </c>
    </row>
    <row r="7">
      <c r="A7" s="11" t="s">
        <v>14</v>
      </c>
      <c r="B7" s="12">
        <f>ABRIL26!H494</f>
        <v>24</v>
      </c>
      <c r="C7" s="11"/>
      <c r="D7" s="11"/>
      <c r="E7" s="13">
        <v>4.0</v>
      </c>
      <c r="F7" s="13"/>
      <c r="G7" s="12">
        <f t="shared" si="1"/>
        <v>4</v>
      </c>
      <c r="H7" s="12">
        <f t="shared" si="2"/>
        <v>20</v>
      </c>
      <c r="I7" s="14">
        <f t="shared" si="3"/>
        <v>24</v>
      </c>
    </row>
    <row r="8">
      <c r="A8" s="11" t="s">
        <v>15</v>
      </c>
      <c r="B8" s="12">
        <f>ABRIL26!H495</f>
        <v>32</v>
      </c>
      <c r="C8" s="13"/>
      <c r="D8" s="11"/>
      <c r="E8" s="13">
        <v>6.0</v>
      </c>
      <c r="F8" s="13"/>
      <c r="G8" s="12">
        <f t="shared" si="1"/>
        <v>6</v>
      </c>
      <c r="H8" s="12">
        <f t="shared" si="2"/>
        <v>26</v>
      </c>
      <c r="I8" s="14">
        <f t="shared" si="3"/>
        <v>36</v>
      </c>
    </row>
    <row r="9">
      <c r="A9" s="11" t="s">
        <v>16</v>
      </c>
      <c r="B9" s="12">
        <f>ABRIL26!H496</f>
        <v>15</v>
      </c>
      <c r="C9" s="13"/>
      <c r="D9" s="11"/>
      <c r="E9" s="13">
        <v>5.0</v>
      </c>
      <c r="F9" s="13"/>
      <c r="G9" s="12">
        <f t="shared" si="1"/>
        <v>5</v>
      </c>
      <c r="H9" s="12">
        <f t="shared" si="2"/>
        <v>10</v>
      </c>
      <c r="I9" s="14">
        <f t="shared" si="3"/>
        <v>30</v>
      </c>
    </row>
    <row r="10">
      <c r="A10" s="11" t="s">
        <v>17</v>
      </c>
      <c r="B10" s="12">
        <f>ABRIL26!H497</f>
        <v>15</v>
      </c>
      <c r="C10" s="11"/>
      <c r="D10" s="13"/>
      <c r="E10" s="13">
        <v>4.0</v>
      </c>
      <c r="F10" s="13"/>
      <c r="G10" s="12">
        <f t="shared" si="1"/>
        <v>4</v>
      </c>
      <c r="H10" s="12">
        <f t="shared" si="2"/>
        <v>11</v>
      </c>
      <c r="I10" s="14">
        <f t="shared" si="3"/>
        <v>24</v>
      </c>
    </row>
    <row r="11">
      <c r="A11" s="11" t="s">
        <v>18</v>
      </c>
      <c r="B11" s="12">
        <f>ABRIL26!H498</f>
        <v>19</v>
      </c>
      <c r="C11" s="11"/>
      <c r="D11" s="11"/>
      <c r="E11" s="13">
        <v>5.0</v>
      </c>
      <c r="F11" s="13"/>
      <c r="G11" s="12">
        <f t="shared" si="1"/>
        <v>5</v>
      </c>
      <c r="H11" s="12">
        <f t="shared" si="2"/>
        <v>14</v>
      </c>
      <c r="I11" s="14">
        <f t="shared" si="3"/>
        <v>30</v>
      </c>
    </row>
    <row r="12">
      <c r="A12" s="11" t="s">
        <v>19</v>
      </c>
      <c r="B12" s="12">
        <f>ABRIL26!H499</f>
        <v>22</v>
      </c>
      <c r="C12" s="11"/>
      <c r="D12" s="11"/>
      <c r="E12" s="13">
        <v>5.0</v>
      </c>
      <c r="F12" s="13"/>
      <c r="G12" s="12">
        <f t="shared" si="1"/>
        <v>5</v>
      </c>
      <c r="H12" s="12">
        <f t="shared" si="2"/>
        <v>17</v>
      </c>
      <c r="I12" s="14">
        <f t="shared" si="3"/>
        <v>30</v>
      </c>
    </row>
    <row r="13">
      <c r="A13" s="11" t="s">
        <v>20</v>
      </c>
      <c r="B13" s="12">
        <f>ABRIL26!H500</f>
        <v>35</v>
      </c>
      <c r="C13" s="11"/>
      <c r="D13" s="11"/>
      <c r="E13" s="13">
        <v>5.0</v>
      </c>
      <c r="F13" s="13"/>
      <c r="G13" s="12">
        <f t="shared" si="1"/>
        <v>5</v>
      </c>
      <c r="H13" s="12">
        <f t="shared" si="2"/>
        <v>30</v>
      </c>
      <c r="I13" s="14">
        <f t="shared" si="3"/>
        <v>30</v>
      </c>
    </row>
    <row r="14">
      <c r="A14" s="11" t="s">
        <v>21</v>
      </c>
      <c r="B14" s="12">
        <f>ABRIL26!H501</f>
        <v>8</v>
      </c>
      <c r="C14" s="11"/>
      <c r="D14" s="11"/>
      <c r="E14" s="13">
        <v>2.0</v>
      </c>
      <c r="F14" s="13"/>
      <c r="G14" s="12">
        <f t="shared" si="1"/>
        <v>2</v>
      </c>
      <c r="H14" s="12">
        <f t="shared" si="2"/>
        <v>6</v>
      </c>
      <c r="I14" s="14">
        <f t="shared" si="3"/>
        <v>12</v>
      </c>
    </row>
    <row r="15">
      <c r="A15" s="11" t="s">
        <v>22</v>
      </c>
      <c r="B15" s="12">
        <f>ABRIL26!H502</f>
        <v>34</v>
      </c>
      <c r="C15" s="11"/>
      <c r="D15" s="11"/>
      <c r="E15" s="13">
        <v>5.0</v>
      </c>
      <c r="F15" s="13"/>
      <c r="G15" s="12">
        <f t="shared" si="1"/>
        <v>5</v>
      </c>
      <c r="H15" s="12">
        <f t="shared" si="2"/>
        <v>29</v>
      </c>
      <c r="I15" s="14">
        <f t="shared" si="3"/>
        <v>30</v>
      </c>
    </row>
    <row r="16">
      <c r="A16" s="11" t="s">
        <v>23</v>
      </c>
      <c r="B16" s="12">
        <f>ABRIL26!H503</f>
        <v>32</v>
      </c>
      <c r="C16" s="17"/>
      <c r="D16" s="11"/>
      <c r="E16" s="13">
        <v>6.0</v>
      </c>
      <c r="F16" s="13"/>
      <c r="G16" s="12">
        <f t="shared" si="1"/>
        <v>6</v>
      </c>
      <c r="H16" s="12">
        <f t="shared" si="2"/>
        <v>26</v>
      </c>
      <c r="I16" s="14">
        <f t="shared" si="3"/>
        <v>36</v>
      </c>
    </row>
    <row r="17">
      <c r="A17" s="11" t="s">
        <v>24</v>
      </c>
      <c r="B17" s="12">
        <f>ABRIL26!H504</f>
        <v>24</v>
      </c>
      <c r="C17" s="11"/>
      <c r="D17" s="13"/>
      <c r="E17" s="13">
        <v>3.0</v>
      </c>
      <c r="F17" s="13"/>
      <c r="G17" s="12">
        <f t="shared" si="1"/>
        <v>3</v>
      </c>
      <c r="H17" s="12">
        <f t="shared" si="2"/>
        <v>21</v>
      </c>
      <c r="I17" s="14">
        <f t="shared" si="3"/>
        <v>18</v>
      </c>
    </row>
    <row r="18">
      <c r="A18" s="11" t="s">
        <v>25</v>
      </c>
      <c r="B18" s="12">
        <f>ABRIL26!H505</f>
        <v>25</v>
      </c>
      <c r="C18" s="13"/>
      <c r="D18" s="13"/>
      <c r="E18" s="13">
        <v>8.0</v>
      </c>
      <c r="F18" s="13"/>
      <c r="G18" s="12">
        <f t="shared" si="1"/>
        <v>8</v>
      </c>
      <c r="H18" s="12">
        <f t="shared" si="2"/>
        <v>17</v>
      </c>
      <c r="I18" s="14">
        <f t="shared" si="3"/>
        <v>48</v>
      </c>
    </row>
    <row r="19">
      <c r="A19" s="11" t="s">
        <v>26</v>
      </c>
      <c r="B19" s="12">
        <f>ABRIL26!H506</f>
        <v>17</v>
      </c>
      <c r="C19" s="11"/>
      <c r="D19" s="11"/>
      <c r="E19" s="13">
        <v>4.0</v>
      </c>
      <c r="F19" s="13"/>
      <c r="G19" s="12">
        <f t="shared" si="1"/>
        <v>4</v>
      </c>
      <c r="H19" s="12">
        <f t="shared" si="2"/>
        <v>13</v>
      </c>
      <c r="I19" s="14">
        <f t="shared" si="3"/>
        <v>24</v>
      </c>
    </row>
    <row r="20">
      <c r="A20" s="11" t="s">
        <v>27</v>
      </c>
      <c r="B20" s="12">
        <f>ABRIL26!H507</f>
        <v>17</v>
      </c>
      <c r="C20" s="11"/>
      <c r="D20" s="11"/>
      <c r="E20" s="13">
        <v>3.0</v>
      </c>
      <c r="F20" s="13"/>
      <c r="G20" s="12">
        <f t="shared" si="1"/>
        <v>3</v>
      </c>
      <c r="H20" s="12">
        <f t="shared" si="2"/>
        <v>14</v>
      </c>
      <c r="I20" s="14">
        <f t="shared" si="3"/>
        <v>18</v>
      </c>
    </row>
    <row r="21">
      <c r="A21" s="11" t="s">
        <v>28</v>
      </c>
      <c r="B21" s="12">
        <f>ABRIL26!H508</f>
        <v>20</v>
      </c>
      <c r="C21" s="11"/>
      <c r="D21" s="11"/>
      <c r="E21" s="13">
        <v>8.0</v>
      </c>
      <c r="F21" s="13"/>
      <c r="G21" s="12">
        <f t="shared" si="1"/>
        <v>8</v>
      </c>
      <c r="H21" s="12">
        <f t="shared" si="2"/>
        <v>12</v>
      </c>
      <c r="I21" s="14">
        <f t="shared" si="3"/>
        <v>48</v>
      </c>
    </row>
    <row r="22">
      <c r="A22" s="13" t="s">
        <v>29</v>
      </c>
      <c r="B22" s="12">
        <f>ABRIL26!H509</f>
        <v>158</v>
      </c>
      <c r="C22" s="16"/>
      <c r="D22" s="13"/>
      <c r="E22" s="13">
        <v>25.0</v>
      </c>
      <c r="F22" s="13"/>
      <c r="G22" s="12">
        <f t="shared" si="1"/>
        <v>25</v>
      </c>
      <c r="H22" s="12">
        <f t="shared" si="2"/>
        <v>133</v>
      </c>
      <c r="I22" s="14">
        <f t="shared" si="3"/>
        <v>150</v>
      </c>
    </row>
    <row r="23">
      <c r="A23" s="11" t="s">
        <v>30</v>
      </c>
      <c r="B23" s="12">
        <f>ABRIL26!H510</f>
        <v>6</v>
      </c>
      <c r="C23" s="11"/>
      <c r="D23" s="11"/>
      <c r="E23" s="13">
        <v>2.0</v>
      </c>
      <c r="F23" s="13"/>
      <c r="G23" s="12">
        <f t="shared" si="1"/>
        <v>2</v>
      </c>
      <c r="H23" s="12">
        <f t="shared" si="2"/>
        <v>4</v>
      </c>
      <c r="I23" s="14">
        <f t="shared" si="3"/>
        <v>12</v>
      </c>
    </row>
    <row r="24">
      <c r="A24" s="18" t="s">
        <v>31</v>
      </c>
      <c r="B24" s="12">
        <f>ABRIL26!H511</f>
        <v>12</v>
      </c>
      <c r="C24" s="11"/>
      <c r="D24" s="11"/>
      <c r="E24" s="13">
        <v>2.0</v>
      </c>
      <c r="F24" s="13"/>
      <c r="G24" s="12">
        <f t="shared" si="1"/>
        <v>2</v>
      </c>
      <c r="H24" s="12">
        <f t="shared" si="2"/>
        <v>10</v>
      </c>
      <c r="I24" s="14">
        <f t="shared" si="3"/>
        <v>12</v>
      </c>
    </row>
    <row r="25">
      <c r="A25" s="18" t="s">
        <v>32</v>
      </c>
      <c r="B25" s="12">
        <f>ABRIL26!H512</f>
        <v>16</v>
      </c>
      <c r="C25" s="11"/>
      <c r="D25" s="11"/>
      <c r="E25" s="13">
        <v>2.0</v>
      </c>
      <c r="F25" s="13"/>
      <c r="G25" s="12">
        <f t="shared" si="1"/>
        <v>2</v>
      </c>
      <c r="H25" s="12">
        <f t="shared" si="2"/>
        <v>14</v>
      </c>
      <c r="I25" s="14">
        <f t="shared" si="3"/>
        <v>12</v>
      </c>
    </row>
    <row r="26">
      <c r="A26" s="19" t="s">
        <v>33</v>
      </c>
      <c r="B26" s="20">
        <f t="shared" ref="B26:I26" si="4">SUM(B3:B25)</f>
        <v>643</v>
      </c>
      <c r="C26" s="20">
        <f t="shared" si="4"/>
        <v>0</v>
      </c>
      <c r="D26" s="20">
        <f t="shared" si="4"/>
        <v>0</v>
      </c>
      <c r="E26" s="20">
        <f t="shared" si="4"/>
        <v>124</v>
      </c>
      <c r="F26" s="20">
        <f t="shared" si="4"/>
        <v>0</v>
      </c>
      <c r="G26" s="20">
        <f t="shared" si="4"/>
        <v>124</v>
      </c>
      <c r="H26" s="20">
        <f t="shared" si="4"/>
        <v>519</v>
      </c>
      <c r="I26" s="21">
        <f t="shared" si="4"/>
        <v>744</v>
      </c>
    </row>
    <row r="27">
      <c r="A27" s="22"/>
      <c r="B27" s="22"/>
      <c r="C27" s="22"/>
      <c r="D27" s="22"/>
      <c r="E27" s="22"/>
      <c r="F27" s="23" t="s">
        <v>34</v>
      </c>
      <c r="G27" s="4"/>
      <c r="H27" s="24"/>
      <c r="I27" s="25"/>
    </row>
    <row r="29">
      <c r="A29" s="1"/>
      <c r="B29" s="2" t="s">
        <v>35</v>
      </c>
      <c r="C29" s="3"/>
      <c r="D29" s="3"/>
      <c r="E29" s="3"/>
      <c r="F29" s="3"/>
      <c r="G29" s="3"/>
      <c r="H29" s="3"/>
      <c r="I29" s="4"/>
    </row>
    <row r="30">
      <c r="A30" s="5" t="s">
        <v>1</v>
      </c>
      <c r="B30" s="6" t="s">
        <v>2</v>
      </c>
      <c r="C30" s="7" t="s">
        <v>3</v>
      </c>
      <c r="D30" s="8" t="s">
        <v>4</v>
      </c>
      <c r="E30" s="5" t="s">
        <v>5</v>
      </c>
      <c r="F30" s="5" t="s">
        <v>6</v>
      </c>
      <c r="G30" s="5" t="s">
        <v>7</v>
      </c>
      <c r="H30" s="9" t="s">
        <v>8</v>
      </c>
      <c r="I30" s="10" t="s">
        <v>9</v>
      </c>
    </row>
    <row r="31">
      <c r="A31" s="11" t="s">
        <v>10</v>
      </c>
      <c r="B31" s="12">
        <f t="shared" ref="B31:B53" si="5">H3</f>
        <v>29</v>
      </c>
      <c r="C31" s="11"/>
      <c r="D31" s="11"/>
      <c r="E31" s="13"/>
      <c r="F31" s="13"/>
      <c r="G31" s="12">
        <f t="shared" ref="G31:G53" si="6">E31-F31</f>
        <v>0</v>
      </c>
      <c r="H31" s="12">
        <f t="shared" ref="H31:H53" si="7">B31-C31+D31-G31</f>
        <v>29</v>
      </c>
      <c r="I31" s="14">
        <f t="shared" ref="I31:I53" si="8">G31*6</f>
        <v>0</v>
      </c>
    </row>
    <row r="32">
      <c r="A32" s="11" t="s">
        <v>11</v>
      </c>
      <c r="B32" s="12">
        <f t="shared" si="5"/>
        <v>25</v>
      </c>
      <c r="C32" s="15"/>
      <c r="D32" s="13"/>
      <c r="E32" s="13"/>
      <c r="F32" s="13"/>
      <c r="G32" s="12">
        <f t="shared" si="6"/>
        <v>0</v>
      </c>
      <c r="H32" s="12">
        <f t="shared" si="7"/>
        <v>25</v>
      </c>
      <c r="I32" s="14">
        <f t="shared" si="8"/>
        <v>0</v>
      </c>
    </row>
    <row r="33">
      <c r="A33" s="11" t="s">
        <v>12</v>
      </c>
      <c r="B33" s="12">
        <f t="shared" si="5"/>
        <v>12</v>
      </c>
      <c r="C33" s="11"/>
      <c r="D33" s="11"/>
      <c r="E33" s="13"/>
      <c r="F33" s="13"/>
      <c r="G33" s="12">
        <f t="shared" si="6"/>
        <v>0</v>
      </c>
      <c r="H33" s="12">
        <f t="shared" si="7"/>
        <v>12</v>
      </c>
      <c r="I33" s="14">
        <f t="shared" si="8"/>
        <v>0</v>
      </c>
    </row>
    <row r="34">
      <c r="A34" s="11" t="s">
        <v>13</v>
      </c>
      <c r="B34" s="12">
        <f t="shared" si="5"/>
        <v>26</v>
      </c>
      <c r="C34" s="16"/>
      <c r="D34" s="13"/>
      <c r="E34" s="13"/>
      <c r="F34" s="13"/>
      <c r="G34" s="12">
        <f t="shared" si="6"/>
        <v>0</v>
      </c>
      <c r="H34" s="12">
        <f t="shared" si="7"/>
        <v>26</v>
      </c>
      <c r="I34" s="14">
        <f t="shared" si="8"/>
        <v>0</v>
      </c>
    </row>
    <row r="35">
      <c r="A35" s="11" t="s">
        <v>14</v>
      </c>
      <c r="B35" s="12">
        <f t="shared" si="5"/>
        <v>20</v>
      </c>
      <c r="C35" s="11"/>
      <c r="D35" s="11"/>
      <c r="E35" s="13"/>
      <c r="F35" s="13"/>
      <c r="G35" s="12">
        <f t="shared" si="6"/>
        <v>0</v>
      </c>
      <c r="H35" s="12">
        <f t="shared" si="7"/>
        <v>20</v>
      </c>
      <c r="I35" s="14">
        <f t="shared" si="8"/>
        <v>0</v>
      </c>
    </row>
    <row r="36">
      <c r="A36" s="11" t="s">
        <v>15</v>
      </c>
      <c r="B36" s="12">
        <f t="shared" si="5"/>
        <v>26</v>
      </c>
      <c r="C36" s="13"/>
      <c r="D36" s="11"/>
      <c r="E36" s="13"/>
      <c r="F36" s="13"/>
      <c r="G36" s="12">
        <f t="shared" si="6"/>
        <v>0</v>
      </c>
      <c r="H36" s="12">
        <f t="shared" si="7"/>
        <v>26</v>
      </c>
      <c r="I36" s="14">
        <f t="shared" si="8"/>
        <v>0</v>
      </c>
    </row>
    <row r="37">
      <c r="A37" s="11" t="s">
        <v>16</v>
      </c>
      <c r="B37" s="12">
        <f t="shared" si="5"/>
        <v>10</v>
      </c>
      <c r="C37" s="13"/>
      <c r="D37" s="11"/>
      <c r="E37" s="13"/>
      <c r="F37" s="13"/>
      <c r="G37" s="12">
        <f t="shared" si="6"/>
        <v>0</v>
      </c>
      <c r="H37" s="12">
        <f t="shared" si="7"/>
        <v>10</v>
      </c>
      <c r="I37" s="14">
        <f t="shared" si="8"/>
        <v>0</v>
      </c>
    </row>
    <row r="38">
      <c r="A38" s="11" t="s">
        <v>17</v>
      </c>
      <c r="B38" s="12">
        <f t="shared" si="5"/>
        <v>11</v>
      </c>
      <c r="C38" s="11"/>
      <c r="D38" s="13"/>
      <c r="E38" s="13"/>
      <c r="F38" s="13"/>
      <c r="G38" s="12">
        <f t="shared" si="6"/>
        <v>0</v>
      </c>
      <c r="H38" s="12">
        <f t="shared" si="7"/>
        <v>11</v>
      </c>
      <c r="I38" s="14">
        <f t="shared" si="8"/>
        <v>0</v>
      </c>
    </row>
    <row r="39">
      <c r="A39" s="11" t="s">
        <v>18</v>
      </c>
      <c r="B39" s="12">
        <f t="shared" si="5"/>
        <v>14</v>
      </c>
      <c r="C39" s="11"/>
      <c r="D39" s="11"/>
      <c r="E39" s="13"/>
      <c r="F39" s="13"/>
      <c r="G39" s="12">
        <f t="shared" si="6"/>
        <v>0</v>
      </c>
      <c r="H39" s="12">
        <f t="shared" si="7"/>
        <v>14</v>
      </c>
      <c r="I39" s="14">
        <f t="shared" si="8"/>
        <v>0</v>
      </c>
    </row>
    <row r="40">
      <c r="A40" s="11" t="s">
        <v>19</v>
      </c>
      <c r="B40" s="12">
        <f t="shared" si="5"/>
        <v>17</v>
      </c>
      <c r="C40" s="11"/>
      <c r="D40" s="11"/>
      <c r="E40" s="13"/>
      <c r="F40" s="13"/>
      <c r="G40" s="12">
        <f t="shared" si="6"/>
        <v>0</v>
      </c>
      <c r="H40" s="12">
        <f t="shared" si="7"/>
        <v>17</v>
      </c>
      <c r="I40" s="14">
        <f t="shared" si="8"/>
        <v>0</v>
      </c>
    </row>
    <row r="41">
      <c r="A41" s="11" t="s">
        <v>20</v>
      </c>
      <c r="B41" s="12">
        <f t="shared" si="5"/>
        <v>30</v>
      </c>
      <c r="C41" s="11"/>
      <c r="D41" s="11"/>
      <c r="E41" s="13"/>
      <c r="F41" s="13"/>
      <c r="G41" s="12">
        <f t="shared" si="6"/>
        <v>0</v>
      </c>
      <c r="H41" s="12">
        <f t="shared" si="7"/>
        <v>30</v>
      </c>
      <c r="I41" s="14">
        <f t="shared" si="8"/>
        <v>0</v>
      </c>
    </row>
    <row r="42">
      <c r="A42" s="11" t="s">
        <v>21</v>
      </c>
      <c r="B42" s="12">
        <f t="shared" si="5"/>
        <v>6</v>
      </c>
      <c r="C42" s="11"/>
      <c r="D42" s="11"/>
      <c r="E42" s="13"/>
      <c r="F42" s="13"/>
      <c r="G42" s="12">
        <f t="shared" si="6"/>
        <v>0</v>
      </c>
      <c r="H42" s="12">
        <f t="shared" si="7"/>
        <v>6</v>
      </c>
      <c r="I42" s="14">
        <f t="shared" si="8"/>
        <v>0</v>
      </c>
    </row>
    <row r="43">
      <c r="A43" s="11" t="s">
        <v>22</v>
      </c>
      <c r="B43" s="12">
        <f t="shared" si="5"/>
        <v>29</v>
      </c>
      <c r="C43" s="11"/>
      <c r="D43" s="11"/>
      <c r="E43" s="13"/>
      <c r="F43" s="13"/>
      <c r="G43" s="12">
        <f t="shared" si="6"/>
        <v>0</v>
      </c>
      <c r="H43" s="12">
        <f t="shared" si="7"/>
        <v>29</v>
      </c>
      <c r="I43" s="14">
        <f t="shared" si="8"/>
        <v>0</v>
      </c>
    </row>
    <row r="44">
      <c r="A44" s="11" t="s">
        <v>23</v>
      </c>
      <c r="B44" s="12">
        <f t="shared" si="5"/>
        <v>26</v>
      </c>
      <c r="C44" s="17"/>
      <c r="D44" s="11"/>
      <c r="E44" s="13"/>
      <c r="F44" s="13"/>
      <c r="G44" s="12">
        <f t="shared" si="6"/>
        <v>0</v>
      </c>
      <c r="H44" s="12">
        <f t="shared" si="7"/>
        <v>26</v>
      </c>
      <c r="I44" s="14">
        <f t="shared" si="8"/>
        <v>0</v>
      </c>
    </row>
    <row r="45">
      <c r="A45" s="11" t="s">
        <v>24</v>
      </c>
      <c r="B45" s="12">
        <f t="shared" si="5"/>
        <v>21</v>
      </c>
      <c r="C45" s="11"/>
      <c r="D45" s="13"/>
      <c r="E45" s="13"/>
      <c r="F45" s="13"/>
      <c r="G45" s="12">
        <f t="shared" si="6"/>
        <v>0</v>
      </c>
      <c r="H45" s="12">
        <f t="shared" si="7"/>
        <v>21</v>
      </c>
      <c r="I45" s="14">
        <f t="shared" si="8"/>
        <v>0</v>
      </c>
    </row>
    <row r="46">
      <c r="A46" s="11" t="s">
        <v>25</v>
      </c>
      <c r="B46" s="12">
        <f t="shared" si="5"/>
        <v>17</v>
      </c>
      <c r="C46" s="13"/>
      <c r="D46" s="13"/>
      <c r="E46" s="13"/>
      <c r="F46" s="13"/>
      <c r="G46" s="12">
        <f t="shared" si="6"/>
        <v>0</v>
      </c>
      <c r="H46" s="12">
        <f t="shared" si="7"/>
        <v>17</v>
      </c>
      <c r="I46" s="14">
        <f t="shared" si="8"/>
        <v>0</v>
      </c>
    </row>
    <row r="47">
      <c r="A47" s="11" t="s">
        <v>26</v>
      </c>
      <c r="B47" s="12">
        <f t="shared" si="5"/>
        <v>13</v>
      </c>
      <c r="C47" s="11"/>
      <c r="D47" s="11"/>
      <c r="E47" s="13"/>
      <c r="F47" s="13"/>
      <c r="G47" s="12">
        <f t="shared" si="6"/>
        <v>0</v>
      </c>
      <c r="H47" s="12">
        <f t="shared" si="7"/>
        <v>13</v>
      </c>
      <c r="I47" s="14">
        <f t="shared" si="8"/>
        <v>0</v>
      </c>
    </row>
    <row r="48">
      <c r="A48" s="11" t="s">
        <v>27</v>
      </c>
      <c r="B48" s="12">
        <f t="shared" si="5"/>
        <v>14</v>
      </c>
      <c r="C48" s="11"/>
      <c r="D48" s="11"/>
      <c r="E48" s="13"/>
      <c r="F48" s="13"/>
      <c r="G48" s="12">
        <f t="shared" si="6"/>
        <v>0</v>
      </c>
      <c r="H48" s="12">
        <f t="shared" si="7"/>
        <v>14</v>
      </c>
      <c r="I48" s="14">
        <f t="shared" si="8"/>
        <v>0</v>
      </c>
    </row>
    <row r="49">
      <c r="A49" s="11" t="s">
        <v>28</v>
      </c>
      <c r="B49" s="12">
        <f t="shared" si="5"/>
        <v>12</v>
      </c>
      <c r="C49" s="11"/>
      <c r="D49" s="11"/>
      <c r="E49" s="13"/>
      <c r="F49" s="13"/>
      <c r="G49" s="12">
        <f t="shared" si="6"/>
        <v>0</v>
      </c>
      <c r="H49" s="12">
        <f t="shared" si="7"/>
        <v>12</v>
      </c>
      <c r="I49" s="14">
        <f t="shared" si="8"/>
        <v>0</v>
      </c>
    </row>
    <row r="50">
      <c r="A50" s="13" t="s">
        <v>29</v>
      </c>
      <c r="B50" s="12">
        <f t="shared" si="5"/>
        <v>133</v>
      </c>
      <c r="C50" s="16"/>
      <c r="D50" s="13"/>
      <c r="E50" s="13"/>
      <c r="F50" s="13"/>
      <c r="G50" s="12">
        <f t="shared" si="6"/>
        <v>0</v>
      </c>
      <c r="H50" s="12">
        <f t="shared" si="7"/>
        <v>133</v>
      </c>
      <c r="I50" s="14">
        <f t="shared" si="8"/>
        <v>0</v>
      </c>
    </row>
    <row r="51">
      <c r="A51" s="11" t="s">
        <v>30</v>
      </c>
      <c r="B51" s="12">
        <f t="shared" si="5"/>
        <v>4</v>
      </c>
      <c r="C51" s="11"/>
      <c r="D51" s="11"/>
      <c r="E51" s="13"/>
      <c r="F51" s="13"/>
      <c r="G51" s="12">
        <f t="shared" si="6"/>
        <v>0</v>
      </c>
      <c r="H51" s="12">
        <f t="shared" si="7"/>
        <v>4</v>
      </c>
      <c r="I51" s="14">
        <f t="shared" si="8"/>
        <v>0</v>
      </c>
    </row>
    <row r="52">
      <c r="A52" s="18" t="s">
        <v>31</v>
      </c>
      <c r="B52" s="12">
        <f t="shared" si="5"/>
        <v>10</v>
      </c>
      <c r="C52" s="11"/>
      <c r="D52" s="11"/>
      <c r="E52" s="13"/>
      <c r="F52" s="13"/>
      <c r="G52" s="12">
        <f t="shared" si="6"/>
        <v>0</v>
      </c>
      <c r="H52" s="12">
        <f t="shared" si="7"/>
        <v>10</v>
      </c>
      <c r="I52" s="14">
        <f t="shared" si="8"/>
        <v>0</v>
      </c>
    </row>
    <row r="53">
      <c r="A53" s="18" t="s">
        <v>32</v>
      </c>
      <c r="B53" s="12">
        <f t="shared" si="5"/>
        <v>14</v>
      </c>
      <c r="C53" s="11"/>
      <c r="D53" s="11"/>
      <c r="E53" s="13"/>
      <c r="F53" s="13"/>
      <c r="G53" s="12">
        <f t="shared" si="6"/>
        <v>0</v>
      </c>
      <c r="H53" s="12">
        <f t="shared" si="7"/>
        <v>14</v>
      </c>
      <c r="I53" s="14">
        <f t="shared" si="8"/>
        <v>0</v>
      </c>
    </row>
    <row r="54">
      <c r="A54" s="19" t="s">
        <v>33</v>
      </c>
      <c r="B54" s="20">
        <f t="shared" ref="B54:I54" si="9">SUM(B31:B53)</f>
        <v>519</v>
      </c>
      <c r="C54" s="20">
        <f t="shared" si="9"/>
        <v>0</v>
      </c>
      <c r="D54" s="20">
        <f t="shared" si="9"/>
        <v>0</v>
      </c>
      <c r="E54" s="20">
        <f t="shared" si="9"/>
        <v>0</v>
      </c>
      <c r="F54" s="20">
        <f t="shared" si="9"/>
        <v>0</v>
      </c>
      <c r="G54" s="20">
        <f t="shared" si="9"/>
        <v>0</v>
      </c>
      <c r="H54" s="20">
        <f t="shared" si="9"/>
        <v>519</v>
      </c>
      <c r="I54" s="21">
        <f t="shared" si="9"/>
        <v>0</v>
      </c>
    </row>
    <row r="55">
      <c r="A55" s="22"/>
      <c r="B55" s="22"/>
      <c r="C55" s="22"/>
      <c r="D55" s="22"/>
      <c r="E55" s="22"/>
      <c r="F55" s="23" t="s">
        <v>34</v>
      </c>
      <c r="G55" s="4"/>
      <c r="H55" s="24"/>
      <c r="I55" s="25"/>
    </row>
    <row r="57">
      <c r="A57" s="1"/>
      <c r="B57" s="2" t="s">
        <v>36</v>
      </c>
      <c r="C57" s="3"/>
      <c r="D57" s="3"/>
      <c r="E57" s="3"/>
      <c r="F57" s="3"/>
      <c r="G57" s="3"/>
      <c r="H57" s="3"/>
      <c r="I57" s="4"/>
    </row>
    <row r="58">
      <c r="A58" s="5" t="s">
        <v>1</v>
      </c>
      <c r="B58" s="6" t="s">
        <v>2</v>
      </c>
      <c r="C58" s="7" t="s">
        <v>3</v>
      </c>
      <c r="D58" s="8" t="s">
        <v>4</v>
      </c>
      <c r="E58" s="5" t="s">
        <v>5</v>
      </c>
      <c r="F58" s="5" t="s">
        <v>6</v>
      </c>
      <c r="G58" s="5" t="s">
        <v>7</v>
      </c>
      <c r="H58" s="9" t="s">
        <v>8</v>
      </c>
      <c r="I58" s="10" t="s">
        <v>9</v>
      </c>
    </row>
    <row r="59">
      <c r="A59" s="11" t="s">
        <v>10</v>
      </c>
      <c r="B59" s="12">
        <f t="shared" ref="B59:B81" si="10">H31</f>
        <v>29</v>
      </c>
      <c r="C59" s="11"/>
      <c r="D59" s="11"/>
      <c r="E59" s="13"/>
      <c r="F59" s="13"/>
      <c r="G59" s="12">
        <f t="shared" ref="G59:G81" si="11">E59-F59</f>
        <v>0</v>
      </c>
      <c r="H59" s="12">
        <f t="shared" ref="H59:H81" si="12">B59-C59+D59-G59</f>
        <v>29</v>
      </c>
      <c r="I59" s="14">
        <f t="shared" ref="I59:I81" si="13">G59*6</f>
        <v>0</v>
      </c>
    </row>
    <row r="60">
      <c r="A60" s="11" t="s">
        <v>11</v>
      </c>
      <c r="B60" s="12">
        <f t="shared" si="10"/>
        <v>25</v>
      </c>
      <c r="C60" s="15"/>
      <c r="D60" s="13"/>
      <c r="E60" s="13"/>
      <c r="F60" s="13"/>
      <c r="G60" s="12">
        <f t="shared" si="11"/>
        <v>0</v>
      </c>
      <c r="H60" s="12">
        <f t="shared" si="12"/>
        <v>25</v>
      </c>
      <c r="I60" s="14">
        <f t="shared" si="13"/>
        <v>0</v>
      </c>
    </row>
    <row r="61">
      <c r="A61" s="11" t="s">
        <v>12</v>
      </c>
      <c r="B61" s="12">
        <f t="shared" si="10"/>
        <v>12</v>
      </c>
      <c r="C61" s="11"/>
      <c r="D61" s="11"/>
      <c r="E61" s="13"/>
      <c r="F61" s="13"/>
      <c r="G61" s="12">
        <f t="shared" si="11"/>
        <v>0</v>
      </c>
      <c r="H61" s="12">
        <f t="shared" si="12"/>
        <v>12</v>
      </c>
      <c r="I61" s="14">
        <f t="shared" si="13"/>
        <v>0</v>
      </c>
    </row>
    <row r="62">
      <c r="A62" s="11" t="s">
        <v>13</v>
      </c>
      <c r="B62" s="12">
        <f t="shared" si="10"/>
        <v>26</v>
      </c>
      <c r="C62" s="16"/>
      <c r="D62" s="13"/>
      <c r="E62" s="13"/>
      <c r="F62" s="13"/>
      <c r="G62" s="12">
        <f t="shared" si="11"/>
        <v>0</v>
      </c>
      <c r="H62" s="12">
        <f t="shared" si="12"/>
        <v>26</v>
      </c>
      <c r="I62" s="14">
        <f t="shared" si="13"/>
        <v>0</v>
      </c>
    </row>
    <row r="63">
      <c r="A63" s="11" t="s">
        <v>14</v>
      </c>
      <c r="B63" s="12">
        <f t="shared" si="10"/>
        <v>20</v>
      </c>
      <c r="C63" s="11"/>
      <c r="D63" s="11"/>
      <c r="E63" s="13"/>
      <c r="F63" s="13"/>
      <c r="G63" s="12">
        <f t="shared" si="11"/>
        <v>0</v>
      </c>
      <c r="H63" s="12">
        <f t="shared" si="12"/>
        <v>20</v>
      </c>
      <c r="I63" s="14">
        <f t="shared" si="13"/>
        <v>0</v>
      </c>
    </row>
    <row r="64">
      <c r="A64" s="11" t="s">
        <v>15</v>
      </c>
      <c r="B64" s="12">
        <f t="shared" si="10"/>
        <v>26</v>
      </c>
      <c r="C64" s="13"/>
      <c r="D64" s="11"/>
      <c r="E64" s="13"/>
      <c r="F64" s="13"/>
      <c r="G64" s="12">
        <f t="shared" si="11"/>
        <v>0</v>
      </c>
      <c r="H64" s="12">
        <f t="shared" si="12"/>
        <v>26</v>
      </c>
      <c r="I64" s="14">
        <f t="shared" si="13"/>
        <v>0</v>
      </c>
    </row>
    <row r="65">
      <c r="A65" s="11" t="s">
        <v>16</v>
      </c>
      <c r="B65" s="12">
        <f t="shared" si="10"/>
        <v>10</v>
      </c>
      <c r="C65" s="13"/>
      <c r="D65" s="11"/>
      <c r="E65" s="13"/>
      <c r="F65" s="13"/>
      <c r="G65" s="12">
        <f t="shared" si="11"/>
        <v>0</v>
      </c>
      <c r="H65" s="12">
        <f t="shared" si="12"/>
        <v>10</v>
      </c>
      <c r="I65" s="14">
        <f t="shared" si="13"/>
        <v>0</v>
      </c>
    </row>
    <row r="66">
      <c r="A66" s="11" t="s">
        <v>17</v>
      </c>
      <c r="B66" s="12">
        <f t="shared" si="10"/>
        <v>11</v>
      </c>
      <c r="C66" s="11"/>
      <c r="D66" s="13"/>
      <c r="E66" s="13"/>
      <c r="F66" s="13"/>
      <c r="G66" s="12">
        <f t="shared" si="11"/>
        <v>0</v>
      </c>
      <c r="H66" s="12">
        <f t="shared" si="12"/>
        <v>11</v>
      </c>
      <c r="I66" s="14">
        <f t="shared" si="13"/>
        <v>0</v>
      </c>
    </row>
    <row r="67">
      <c r="A67" s="11" t="s">
        <v>18</v>
      </c>
      <c r="B67" s="12">
        <f t="shared" si="10"/>
        <v>14</v>
      </c>
      <c r="C67" s="11"/>
      <c r="D67" s="11"/>
      <c r="E67" s="13"/>
      <c r="F67" s="13"/>
      <c r="G67" s="12">
        <f t="shared" si="11"/>
        <v>0</v>
      </c>
      <c r="H67" s="12">
        <f t="shared" si="12"/>
        <v>14</v>
      </c>
      <c r="I67" s="14">
        <f t="shared" si="13"/>
        <v>0</v>
      </c>
    </row>
    <row r="68">
      <c r="A68" s="11" t="s">
        <v>19</v>
      </c>
      <c r="B68" s="12">
        <f t="shared" si="10"/>
        <v>17</v>
      </c>
      <c r="C68" s="11"/>
      <c r="D68" s="11"/>
      <c r="E68" s="13"/>
      <c r="F68" s="13"/>
      <c r="G68" s="12">
        <f t="shared" si="11"/>
        <v>0</v>
      </c>
      <c r="H68" s="12">
        <f t="shared" si="12"/>
        <v>17</v>
      </c>
      <c r="I68" s="14">
        <f t="shared" si="13"/>
        <v>0</v>
      </c>
    </row>
    <row r="69">
      <c r="A69" s="11" t="s">
        <v>20</v>
      </c>
      <c r="B69" s="12">
        <f t="shared" si="10"/>
        <v>30</v>
      </c>
      <c r="C69" s="11"/>
      <c r="D69" s="11"/>
      <c r="E69" s="13"/>
      <c r="F69" s="13"/>
      <c r="G69" s="12">
        <f t="shared" si="11"/>
        <v>0</v>
      </c>
      <c r="H69" s="12">
        <f t="shared" si="12"/>
        <v>30</v>
      </c>
      <c r="I69" s="14">
        <f t="shared" si="13"/>
        <v>0</v>
      </c>
    </row>
    <row r="70">
      <c r="A70" s="11" t="s">
        <v>21</v>
      </c>
      <c r="B70" s="12">
        <f t="shared" si="10"/>
        <v>6</v>
      </c>
      <c r="C70" s="11"/>
      <c r="D70" s="11"/>
      <c r="E70" s="13"/>
      <c r="F70" s="13"/>
      <c r="G70" s="12">
        <f t="shared" si="11"/>
        <v>0</v>
      </c>
      <c r="H70" s="12">
        <f t="shared" si="12"/>
        <v>6</v>
      </c>
      <c r="I70" s="14">
        <f t="shared" si="13"/>
        <v>0</v>
      </c>
    </row>
    <row r="71">
      <c r="A71" s="11" t="s">
        <v>22</v>
      </c>
      <c r="B71" s="12">
        <f t="shared" si="10"/>
        <v>29</v>
      </c>
      <c r="C71" s="11"/>
      <c r="D71" s="11"/>
      <c r="E71" s="13"/>
      <c r="F71" s="13"/>
      <c r="G71" s="12">
        <f t="shared" si="11"/>
        <v>0</v>
      </c>
      <c r="H71" s="12">
        <f t="shared" si="12"/>
        <v>29</v>
      </c>
      <c r="I71" s="14">
        <f t="shared" si="13"/>
        <v>0</v>
      </c>
    </row>
    <row r="72">
      <c r="A72" s="11" t="s">
        <v>23</v>
      </c>
      <c r="B72" s="12">
        <f t="shared" si="10"/>
        <v>26</v>
      </c>
      <c r="C72" s="17"/>
      <c r="D72" s="11"/>
      <c r="E72" s="13"/>
      <c r="F72" s="13"/>
      <c r="G72" s="12">
        <f t="shared" si="11"/>
        <v>0</v>
      </c>
      <c r="H72" s="12">
        <f t="shared" si="12"/>
        <v>26</v>
      </c>
      <c r="I72" s="14">
        <f t="shared" si="13"/>
        <v>0</v>
      </c>
    </row>
    <row r="73">
      <c r="A73" s="11" t="s">
        <v>24</v>
      </c>
      <c r="B73" s="12">
        <f t="shared" si="10"/>
        <v>21</v>
      </c>
      <c r="C73" s="11"/>
      <c r="D73" s="13"/>
      <c r="E73" s="13"/>
      <c r="F73" s="13"/>
      <c r="G73" s="12">
        <f t="shared" si="11"/>
        <v>0</v>
      </c>
      <c r="H73" s="12">
        <f t="shared" si="12"/>
        <v>21</v>
      </c>
      <c r="I73" s="14">
        <f t="shared" si="13"/>
        <v>0</v>
      </c>
    </row>
    <row r="74">
      <c r="A74" s="11" t="s">
        <v>25</v>
      </c>
      <c r="B74" s="12">
        <f t="shared" si="10"/>
        <v>17</v>
      </c>
      <c r="C74" s="13"/>
      <c r="D74" s="13"/>
      <c r="E74" s="13"/>
      <c r="F74" s="13"/>
      <c r="G74" s="12">
        <f t="shared" si="11"/>
        <v>0</v>
      </c>
      <c r="H74" s="12">
        <f t="shared" si="12"/>
        <v>17</v>
      </c>
      <c r="I74" s="14">
        <f t="shared" si="13"/>
        <v>0</v>
      </c>
    </row>
    <row r="75">
      <c r="A75" s="11" t="s">
        <v>26</v>
      </c>
      <c r="B75" s="12">
        <f t="shared" si="10"/>
        <v>13</v>
      </c>
      <c r="C75" s="11"/>
      <c r="D75" s="11"/>
      <c r="E75" s="13"/>
      <c r="F75" s="13"/>
      <c r="G75" s="12">
        <f t="shared" si="11"/>
        <v>0</v>
      </c>
      <c r="H75" s="12">
        <f t="shared" si="12"/>
        <v>13</v>
      </c>
      <c r="I75" s="14">
        <f t="shared" si="13"/>
        <v>0</v>
      </c>
    </row>
    <row r="76">
      <c r="A76" s="11" t="s">
        <v>27</v>
      </c>
      <c r="B76" s="12">
        <f t="shared" si="10"/>
        <v>14</v>
      </c>
      <c r="C76" s="11"/>
      <c r="D76" s="11"/>
      <c r="E76" s="13"/>
      <c r="F76" s="13"/>
      <c r="G76" s="12">
        <f t="shared" si="11"/>
        <v>0</v>
      </c>
      <c r="H76" s="12">
        <f t="shared" si="12"/>
        <v>14</v>
      </c>
      <c r="I76" s="14">
        <f t="shared" si="13"/>
        <v>0</v>
      </c>
    </row>
    <row r="77">
      <c r="A77" s="11" t="s">
        <v>28</v>
      </c>
      <c r="B77" s="12">
        <f t="shared" si="10"/>
        <v>12</v>
      </c>
      <c r="C77" s="11"/>
      <c r="D77" s="11"/>
      <c r="E77" s="13"/>
      <c r="F77" s="13"/>
      <c r="G77" s="12">
        <f t="shared" si="11"/>
        <v>0</v>
      </c>
      <c r="H77" s="12">
        <f t="shared" si="12"/>
        <v>12</v>
      </c>
      <c r="I77" s="14">
        <f t="shared" si="13"/>
        <v>0</v>
      </c>
    </row>
    <row r="78">
      <c r="A78" s="13" t="s">
        <v>29</v>
      </c>
      <c r="B78" s="12">
        <f t="shared" si="10"/>
        <v>133</v>
      </c>
      <c r="C78" s="16"/>
      <c r="D78" s="13"/>
      <c r="E78" s="13"/>
      <c r="F78" s="13"/>
      <c r="G78" s="12">
        <f t="shared" si="11"/>
        <v>0</v>
      </c>
      <c r="H78" s="12">
        <f t="shared" si="12"/>
        <v>133</v>
      </c>
      <c r="I78" s="14">
        <f t="shared" si="13"/>
        <v>0</v>
      </c>
    </row>
    <row r="79">
      <c r="A79" s="11" t="s">
        <v>30</v>
      </c>
      <c r="B79" s="12">
        <f t="shared" si="10"/>
        <v>4</v>
      </c>
      <c r="C79" s="11"/>
      <c r="D79" s="11"/>
      <c r="E79" s="13"/>
      <c r="F79" s="13"/>
      <c r="G79" s="12">
        <f t="shared" si="11"/>
        <v>0</v>
      </c>
      <c r="H79" s="12">
        <f t="shared" si="12"/>
        <v>4</v>
      </c>
      <c r="I79" s="14">
        <f t="shared" si="13"/>
        <v>0</v>
      </c>
    </row>
    <row r="80">
      <c r="A80" s="18" t="s">
        <v>31</v>
      </c>
      <c r="B80" s="12">
        <f t="shared" si="10"/>
        <v>10</v>
      </c>
      <c r="C80" s="11"/>
      <c r="D80" s="11"/>
      <c r="E80" s="13"/>
      <c r="F80" s="13"/>
      <c r="G80" s="12">
        <f t="shared" si="11"/>
        <v>0</v>
      </c>
      <c r="H80" s="12">
        <f t="shared" si="12"/>
        <v>10</v>
      </c>
      <c r="I80" s="14">
        <f t="shared" si="13"/>
        <v>0</v>
      </c>
    </row>
    <row r="81">
      <c r="A81" s="18" t="s">
        <v>32</v>
      </c>
      <c r="B81" s="12">
        <f t="shared" si="10"/>
        <v>14</v>
      </c>
      <c r="C81" s="11"/>
      <c r="D81" s="11"/>
      <c r="E81" s="13"/>
      <c r="F81" s="13"/>
      <c r="G81" s="12">
        <f t="shared" si="11"/>
        <v>0</v>
      </c>
      <c r="H81" s="12">
        <f t="shared" si="12"/>
        <v>14</v>
      </c>
      <c r="I81" s="14">
        <f t="shared" si="13"/>
        <v>0</v>
      </c>
    </row>
    <row r="82">
      <c r="A82" s="19" t="s">
        <v>33</v>
      </c>
      <c r="B82" s="20">
        <f t="shared" ref="B82:I82" si="14">SUM(B59:B81)</f>
        <v>519</v>
      </c>
      <c r="C82" s="20">
        <f t="shared" si="14"/>
        <v>0</v>
      </c>
      <c r="D82" s="20">
        <f t="shared" si="14"/>
        <v>0</v>
      </c>
      <c r="E82" s="20">
        <f t="shared" si="14"/>
        <v>0</v>
      </c>
      <c r="F82" s="20">
        <f t="shared" si="14"/>
        <v>0</v>
      </c>
      <c r="G82" s="20">
        <f t="shared" si="14"/>
        <v>0</v>
      </c>
      <c r="H82" s="20">
        <f t="shared" si="14"/>
        <v>519</v>
      </c>
      <c r="I82" s="21">
        <f t="shared" si="14"/>
        <v>0</v>
      </c>
    </row>
    <row r="83">
      <c r="A83" s="22"/>
      <c r="B83" s="22"/>
      <c r="C83" s="22"/>
      <c r="D83" s="22"/>
      <c r="E83" s="22"/>
      <c r="F83" s="23" t="s">
        <v>34</v>
      </c>
      <c r="G83" s="4"/>
      <c r="H83" s="24"/>
      <c r="I83" s="25"/>
    </row>
    <row r="85">
      <c r="A85" s="1"/>
      <c r="B85" s="2" t="s">
        <v>37</v>
      </c>
      <c r="C85" s="3"/>
      <c r="D85" s="3"/>
      <c r="E85" s="3"/>
      <c r="F85" s="3"/>
      <c r="G85" s="3"/>
      <c r="H85" s="3"/>
      <c r="I85" s="4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</row>
    <row r="86">
      <c r="A86" s="5" t="s">
        <v>1</v>
      </c>
      <c r="B86" s="6" t="s">
        <v>2</v>
      </c>
      <c r="C86" s="7" t="s">
        <v>3</v>
      </c>
      <c r="D86" s="8" t="s">
        <v>4</v>
      </c>
      <c r="E86" s="5" t="s">
        <v>5</v>
      </c>
      <c r="F86" s="5" t="s">
        <v>6</v>
      </c>
      <c r="G86" s="5" t="s">
        <v>7</v>
      </c>
      <c r="H86" s="9" t="s">
        <v>8</v>
      </c>
      <c r="I86" s="10" t="s">
        <v>9</v>
      </c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</row>
    <row r="87">
      <c r="A87" s="11" t="s">
        <v>10</v>
      </c>
      <c r="B87" s="12">
        <f t="shared" ref="B87:B109" si="15">H59</f>
        <v>29</v>
      </c>
      <c r="C87" s="11"/>
      <c r="D87" s="11"/>
      <c r="E87" s="11"/>
      <c r="F87" s="11"/>
      <c r="G87" s="12">
        <f t="shared" ref="G87:G109" si="16">E87-F87</f>
        <v>0</v>
      </c>
      <c r="H87" s="12">
        <f t="shared" ref="H87:H109" si="17">B87-C87+D87-G87</f>
        <v>29</v>
      </c>
      <c r="I87" s="14">
        <f t="shared" ref="I87:I109" si="18">G87*6</f>
        <v>0</v>
      </c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</row>
    <row r="88">
      <c r="A88" s="11" t="s">
        <v>11</v>
      </c>
      <c r="B88" s="12">
        <f t="shared" si="15"/>
        <v>25</v>
      </c>
      <c r="C88" s="11"/>
      <c r="D88" s="11"/>
      <c r="E88" s="11"/>
      <c r="F88" s="11"/>
      <c r="G88" s="12">
        <f t="shared" si="16"/>
        <v>0</v>
      </c>
      <c r="H88" s="12">
        <f t="shared" si="17"/>
        <v>25</v>
      </c>
      <c r="I88" s="14">
        <f t="shared" si="18"/>
        <v>0</v>
      </c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</row>
    <row r="89">
      <c r="A89" s="11" t="s">
        <v>12</v>
      </c>
      <c r="B89" s="12">
        <f t="shared" si="15"/>
        <v>12</v>
      </c>
      <c r="C89" s="11"/>
      <c r="D89" s="11"/>
      <c r="E89" s="11"/>
      <c r="F89" s="11"/>
      <c r="G89" s="12">
        <f t="shared" si="16"/>
        <v>0</v>
      </c>
      <c r="H89" s="12">
        <f t="shared" si="17"/>
        <v>12</v>
      </c>
      <c r="I89" s="14">
        <f t="shared" si="18"/>
        <v>0</v>
      </c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</row>
    <row r="90">
      <c r="A90" s="11" t="s">
        <v>13</v>
      </c>
      <c r="B90" s="12">
        <f t="shared" si="15"/>
        <v>26</v>
      </c>
      <c r="C90" s="11"/>
      <c r="D90" s="11"/>
      <c r="E90" s="11"/>
      <c r="F90" s="11"/>
      <c r="G90" s="12">
        <f t="shared" si="16"/>
        <v>0</v>
      </c>
      <c r="H90" s="12">
        <f t="shared" si="17"/>
        <v>26</v>
      </c>
      <c r="I90" s="14">
        <f t="shared" si="18"/>
        <v>0</v>
      </c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</row>
    <row r="91">
      <c r="A91" s="11" t="s">
        <v>14</v>
      </c>
      <c r="B91" s="12">
        <f t="shared" si="15"/>
        <v>20</v>
      </c>
      <c r="C91" s="11"/>
      <c r="D91" s="11"/>
      <c r="E91" s="11"/>
      <c r="F91" s="11"/>
      <c r="G91" s="12">
        <f t="shared" si="16"/>
        <v>0</v>
      </c>
      <c r="H91" s="12">
        <f t="shared" si="17"/>
        <v>20</v>
      </c>
      <c r="I91" s="14">
        <f t="shared" si="18"/>
        <v>0</v>
      </c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</row>
    <row r="92">
      <c r="A92" s="11" t="s">
        <v>15</v>
      </c>
      <c r="B92" s="12">
        <f t="shared" si="15"/>
        <v>26</v>
      </c>
      <c r="C92" s="11"/>
      <c r="D92" s="11"/>
      <c r="E92" s="11"/>
      <c r="F92" s="11"/>
      <c r="G92" s="12">
        <f t="shared" si="16"/>
        <v>0</v>
      </c>
      <c r="H92" s="12">
        <f t="shared" si="17"/>
        <v>26</v>
      </c>
      <c r="I92" s="14">
        <f t="shared" si="18"/>
        <v>0</v>
      </c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</row>
    <row r="93">
      <c r="A93" s="11" t="s">
        <v>16</v>
      </c>
      <c r="B93" s="12">
        <f t="shared" si="15"/>
        <v>10</v>
      </c>
      <c r="C93" s="11"/>
      <c r="D93" s="11"/>
      <c r="E93" s="11"/>
      <c r="F93" s="11"/>
      <c r="G93" s="12">
        <f t="shared" si="16"/>
        <v>0</v>
      </c>
      <c r="H93" s="12">
        <f t="shared" si="17"/>
        <v>10</v>
      </c>
      <c r="I93" s="14">
        <f t="shared" si="18"/>
        <v>0</v>
      </c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</row>
    <row r="94">
      <c r="A94" s="11" t="s">
        <v>17</v>
      </c>
      <c r="B94" s="12">
        <f t="shared" si="15"/>
        <v>11</v>
      </c>
      <c r="C94" s="11"/>
      <c r="D94" s="11"/>
      <c r="E94" s="11"/>
      <c r="F94" s="11"/>
      <c r="G94" s="12">
        <f t="shared" si="16"/>
        <v>0</v>
      </c>
      <c r="H94" s="12">
        <f t="shared" si="17"/>
        <v>11</v>
      </c>
      <c r="I94" s="14">
        <f t="shared" si="18"/>
        <v>0</v>
      </c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</row>
    <row r="95">
      <c r="A95" s="11" t="s">
        <v>18</v>
      </c>
      <c r="B95" s="12">
        <f t="shared" si="15"/>
        <v>14</v>
      </c>
      <c r="C95" s="11"/>
      <c r="D95" s="11"/>
      <c r="E95" s="11"/>
      <c r="F95" s="11"/>
      <c r="G95" s="12">
        <f t="shared" si="16"/>
        <v>0</v>
      </c>
      <c r="H95" s="12">
        <f t="shared" si="17"/>
        <v>14</v>
      </c>
      <c r="I95" s="14">
        <f t="shared" si="18"/>
        <v>0</v>
      </c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</row>
    <row r="96">
      <c r="A96" s="11" t="s">
        <v>19</v>
      </c>
      <c r="B96" s="12">
        <f t="shared" si="15"/>
        <v>17</v>
      </c>
      <c r="C96" s="11"/>
      <c r="D96" s="11"/>
      <c r="E96" s="11"/>
      <c r="F96" s="11"/>
      <c r="G96" s="12">
        <f t="shared" si="16"/>
        <v>0</v>
      </c>
      <c r="H96" s="12">
        <f t="shared" si="17"/>
        <v>17</v>
      </c>
      <c r="I96" s="14">
        <f t="shared" si="18"/>
        <v>0</v>
      </c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</row>
    <row r="97">
      <c r="A97" s="11" t="s">
        <v>20</v>
      </c>
      <c r="B97" s="12">
        <f t="shared" si="15"/>
        <v>30</v>
      </c>
      <c r="C97" s="11"/>
      <c r="D97" s="11"/>
      <c r="E97" s="11"/>
      <c r="F97" s="11"/>
      <c r="G97" s="12">
        <f t="shared" si="16"/>
        <v>0</v>
      </c>
      <c r="H97" s="12">
        <f t="shared" si="17"/>
        <v>30</v>
      </c>
      <c r="I97" s="14">
        <f t="shared" si="18"/>
        <v>0</v>
      </c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</row>
    <row r="98">
      <c r="A98" s="11" t="s">
        <v>21</v>
      </c>
      <c r="B98" s="12">
        <f t="shared" si="15"/>
        <v>6</v>
      </c>
      <c r="C98" s="11"/>
      <c r="D98" s="11"/>
      <c r="E98" s="11"/>
      <c r="F98" s="11"/>
      <c r="G98" s="12">
        <f t="shared" si="16"/>
        <v>0</v>
      </c>
      <c r="H98" s="12">
        <f t="shared" si="17"/>
        <v>6</v>
      </c>
      <c r="I98" s="14">
        <f t="shared" si="18"/>
        <v>0</v>
      </c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</row>
    <row r="99">
      <c r="A99" s="11" t="s">
        <v>22</v>
      </c>
      <c r="B99" s="12">
        <f t="shared" si="15"/>
        <v>29</v>
      </c>
      <c r="C99" s="11"/>
      <c r="D99" s="11"/>
      <c r="E99" s="11"/>
      <c r="F99" s="11"/>
      <c r="G99" s="12">
        <f t="shared" si="16"/>
        <v>0</v>
      </c>
      <c r="H99" s="12">
        <f t="shared" si="17"/>
        <v>29</v>
      </c>
      <c r="I99" s="14">
        <f t="shared" si="18"/>
        <v>0</v>
      </c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</row>
    <row r="100">
      <c r="A100" s="11" t="s">
        <v>23</v>
      </c>
      <c r="B100" s="12">
        <f t="shared" si="15"/>
        <v>26</v>
      </c>
      <c r="C100" s="11"/>
      <c r="D100" s="11"/>
      <c r="E100" s="11"/>
      <c r="F100" s="11"/>
      <c r="G100" s="12">
        <f t="shared" si="16"/>
        <v>0</v>
      </c>
      <c r="H100" s="12">
        <f t="shared" si="17"/>
        <v>26</v>
      </c>
      <c r="I100" s="14">
        <f t="shared" si="18"/>
        <v>0</v>
      </c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</row>
    <row r="101">
      <c r="A101" s="11" t="s">
        <v>24</v>
      </c>
      <c r="B101" s="12">
        <f t="shared" si="15"/>
        <v>21</v>
      </c>
      <c r="C101" s="11"/>
      <c r="D101" s="11"/>
      <c r="E101" s="11"/>
      <c r="F101" s="11"/>
      <c r="G101" s="12">
        <f t="shared" si="16"/>
        <v>0</v>
      </c>
      <c r="H101" s="12">
        <f t="shared" si="17"/>
        <v>21</v>
      </c>
      <c r="I101" s="14">
        <f t="shared" si="18"/>
        <v>0</v>
      </c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</row>
    <row r="102">
      <c r="A102" s="11" t="s">
        <v>25</v>
      </c>
      <c r="B102" s="12">
        <f t="shared" si="15"/>
        <v>17</v>
      </c>
      <c r="C102" s="11"/>
      <c r="D102" s="11"/>
      <c r="E102" s="11"/>
      <c r="F102" s="11"/>
      <c r="G102" s="12">
        <f t="shared" si="16"/>
        <v>0</v>
      </c>
      <c r="H102" s="12">
        <f t="shared" si="17"/>
        <v>17</v>
      </c>
      <c r="I102" s="14">
        <f t="shared" si="18"/>
        <v>0</v>
      </c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</row>
    <row r="103">
      <c r="A103" s="11" t="s">
        <v>26</v>
      </c>
      <c r="B103" s="12">
        <f t="shared" si="15"/>
        <v>13</v>
      </c>
      <c r="C103" s="11"/>
      <c r="D103" s="11"/>
      <c r="E103" s="11"/>
      <c r="F103" s="11"/>
      <c r="G103" s="12">
        <f t="shared" si="16"/>
        <v>0</v>
      </c>
      <c r="H103" s="12">
        <f t="shared" si="17"/>
        <v>13</v>
      </c>
      <c r="I103" s="14">
        <f t="shared" si="18"/>
        <v>0</v>
      </c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</row>
    <row r="104">
      <c r="A104" s="11" t="s">
        <v>27</v>
      </c>
      <c r="B104" s="12">
        <f t="shared" si="15"/>
        <v>14</v>
      </c>
      <c r="C104" s="11"/>
      <c r="D104" s="11"/>
      <c r="E104" s="11"/>
      <c r="F104" s="11"/>
      <c r="G104" s="12">
        <f t="shared" si="16"/>
        <v>0</v>
      </c>
      <c r="H104" s="12">
        <f t="shared" si="17"/>
        <v>14</v>
      </c>
      <c r="I104" s="14">
        <f t="shared" si="18"/>
        <v>0</v>
      </c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</row>
    <row r="105">
      <c r="A105" s="11" t="s">
        <v>28</v>
      </c>
      <c r="B105" s="12">
        <f t="shared" si="15"/>
        <v>12</v>
      </c>
      <c r="C105" s="11"/>
      <c r="D105" s="11"/>
      <c r="E105" s="11"/>
      <c r="F105" s="11"/>
      <c r="G105" s="12">
        <f t="shared" si="16"/>
        <v>0</v>
      </c>
      <c r="H105" s="12">
        <f t="shared" si="17"/>
        <v>12</v>
      </c>
      <c r="I105" s="14">
        <f t="shared" si="18"/>
        <v>0</v>
      </c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</row>
    <row r="106">
      <c r="A106" s="11" t="s">
        <v>29</v>
      </c>
      <c r="B106" s="12">
        <f t="shared" si="15"/>
        <v>133</v>
      </c>
      <c r="C106" s="11"/>
      <c r="D106" s="11"/>
      <c r="E106" s="11"/>
      <c r="F106" s="11"/>
      <c r="G106" s="12">
        <f t="shared" si="16"/>
        <v>0</v>
      </c>
      <c r="H106" s="12">
        <f t="shared" si="17"/>
        <v>133</v>
      </c>
      <c r="I106" s="14">
        <f t="shared" si="18"/>
        <v>0</v>
      </c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</row>
    <row r="107">
      <c r="A107" s="11" t="s">
        <v>30</v>
      </c>
      <c r="B107" s="12">
        <f t="shared" si="15"/>
        <v>4</v>
      </c>
      <c r="C107" s="11"/>
      <c r="D107" s="11"/>
      <c r="E107" s="11"/>
      <c r="F107" s="11"/>
      <c r="G107" s="12">
        <f t="shared" si="16"/>
        <v>0</v>
      </c>
      <c r="H107" s="12">
        <f t="shared" si="17"/>
        <v>4</v>
      </c>
      <c r="I107" s="14">
        <f t="shared" si="18"/>
        <v>0</v>
      </c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</row>
    <row r="108">
      <c r="A108" s="18" t="s">
        <v>31</v>
      </c>
      <c r="B108" s="12">
        <f t="shared" si="15"/>
        <v>10</v>
      </c>
      <c r="C108" s="11"/>
      <c r="D108" s="11"/>
      <c r="E108" s="11"/>
      <c r="F108" s="11"/>
      <c r="G108" s="12">
        <f t="shared" si="16"/>
        <v>0</v>
      </c>
      <c r="H108" s="12">
        <f t="shared" si="17"/>
        <v>10</v>
      </c>
      <c r="I108" s="14">
        <f t="shared" si="18"/>
        <v>0</v>
      </c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</row>
    <row r="109">
      <c r="A109" s="18" t="s">
        <v>32</v>
      </c>
      <c r="B109" s="12">
        <f t="shared" si="15"/>
        <v>14</v>
      </c>
      <c r="C109" s="11"/>
      <c r="D109" s="11"/>
      <c r="E109" s="11"/>
      <c r="F109" s="11"/>
      <c r="G109" s="12">
        <f t="shared" si="16"/>
        <v>0</v>
      </c>
      <c r="H109" s="12">
        <f t="shared" si="17"/>
        <v>14</v>
      </c>
      <c r="I109" s="14">
        <f t="shared" si="18"/>
        <v>0</v>
      </c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</row>
    <row r="110">
      <c r="A110" s="19" t="s">
        <v>33</v>
      </c>
      <c r="B110" s="20">
        <f t="shared" ref="B110:I110" si="19">SUM(B87:B109)</f>
        <v>519</v>
      </c>
      <c r="C110" s="20">
        <f t="shared" si="19"/>
        <v>0</v>
      </c>
      <c r="D110" s="20">
        <f t="shared" si="19"/>
        <v>0</v>
      </c>
      <c r="E110" s="20">
        <f t="shared" si="19"/>
        <v>0</v>
      </c>
      <c r="F110" s="20">
        <f t="shared" si="19"/>
        <v>0</v>
      </c>
      <c r="G110" s="20">
        <f t="shared" si="19"/>
        <v>0</v>
      </c>
      <c r="H110" s="20">
        <f t="shared" si="19"/>
        <v>519</v>
      </c>
      <c r="I110" s="21">
        <f t="shared" si="19"/>
        <v>0</v>
      </c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</row>
    <row r="111">
      <c r="A111" s="22"/>
      <c r="B111" s="22"/>
      <c r="C111" s="22"/>
      <c r="D111" s="22"/>
      <c r="E111" s="22"/>
      <c r="F111" s="23" t="s">
        <v>34</v>
      </c>
      <c r="G111" s="4"/>
      <c r="H111" s="24"/>
      <c r="I111" s="25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</row>
    <row r="113">
      <c r="A113" s="1"/>
      <c r="B113" s="2" t="s">
        <v>38</v>
      </c>
      <c r="C113" s="3"/>
      <c r="D113" s="3"/>
      <c r="E113" s="3"/>
      <c r="F113" s="3"/>
      <c r="G113" s="3"/>
      <c r="H113" s="3"/>
      <c r="I113" s="4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</row>
    <row r="114">
      <c r="A114" s="5" t="s">
        <v>1</v>
      </c>
      <c r="B114" s="6" t="s">
        <v>2</v>
      </c>
      <c r="C114" s="7" t="s">
        <v>3</v>
      </c>
      <c r="D114" s="8" t="s">
        <v>4</v>
      </c>
      <c r="E114" s="5" t="s">
        <v>5</v>
      </c>
      <c r="F114" s="5" t="s">
        <v>6</v>
      </c>
      <c r="G114" s="5" t="s">
        <v>7</v>
      </c>
      <c r="H114" s="9" t="s">
        <v>8</v>
      </c>
      <c r="I114" s="10" t="s">
        <v>9</v>
      </c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</row>
    <row r="115">
      <c r="A115" s="11" t="s">
        <v>10</v>
      </c>
      <c r="B115" s="12">
        <f t="shared" ref="B115:B137" si="20">H87</f>
        <v>29</v>
      </c>
      <c r="C115" s="11"/>
      <c r="D115" s="11"/>
      <c r="E115" s="11"/>
      <c r="F115" s="11"/>
      <c r="G115" s="12">
        <f t="shared" ref="G115:G137" si="21">E115-F115</f>
        <v>0</v>
      </c>
      <c r="H115" s="12">
        <f t="shared" ref="H115:H137" si="22">B115-C115+D115-G115</f>
        <v>29</v>
      </c>
      <c r="I115" s="14">
        <f t="shared" ref="I115:I137" si="23">G115*6</f>
        <v>0</v>
      </c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</row>
    <row r="116">
      <c r="A116" s="11" t="s">
        <v>11</v>
      </c>
      <c r="B116" s="12">
        <f t="shared" si="20"/>
        <v>25</v>
      </c>
      <c r="C116" s="11"/>
      <c r="D116" s="11"/>
      <c r="E116" s="11"/>
      <c r="F116" s="11"/>
      <c r="G116" s="12">
        <f t="shared" si="21"/>
        <v>0</v>
      </c>
      <c r="H116" s="12">
        <f t="shared" si="22"/>
        <v>25</v>
      </c>
      <c r="I116" s="14">
        <f t="shared" si="23"/>
        <v>0</v>
      </c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</row>
    <row r="117">
      <c r="A117" s="11" t="s">
        <v>12</v>
      </c>
      <c r="B117" s="12">
        <f t="shared" si="20"/>
        <v>12</v>
      </c>
      <c r="C117" s="11"/>
      <c r="D117" s="11"/>
      <c r="E117" s="11"/>
      <c r="F117" s="11"/>
      <c r="G117" s="12">
        <f t="shared" si="21"/>
        <v>0</v>
      </c>
      <c r="H117" s="12">
        <f t="shared" si="22"/>
        <v>12</v>
      </c>
      <c r="I117" s="14">
        <f t="shared" si="23"/>
        <v>0</v>
      </c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</row>
    <row r="118">
      <c r="A118" s="11" t="s">
        <v>13</v>
      </c>
      <c r="B118" s="12">
        <f t="shared" si="20"/>
        <v>26</v>
      </c>
      <c r="C118" s="11"/>
      <c r="D118" s="11"/>
      <c r="E118" s="11"/>
      <c r="F118" s="11"/>
      <c r="G118" s="12">
        <f t="shared" si="21"/>
        <v>0</v>
      </c>
      <c r="H118" s="12">
        <f t="shared" si="22"/>
        <v>26</v>
      </c>
      <c r="I118" s="14">
        <f t="shared" si="23"/>
        <v>0</v>
      </c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</row>
    <row r="119">
      <c r="A119" s="11" t="s">
        <v>14</v>
      </c>
      <c r="B119" s="12">
        <f t="shared" si="20"/>
        <v>20</v>
      </c>
      <c r="C119" s="11"/>
      <c r="D119" s="11"/>
      <c r="E119" s="11"/>
      <c r="F119" s="11"/>
      <c r="G119" s="12">
        <f t="shared" si="21"/>
        <v>0</v>
      </c>
      <c r="H119" s="12">
        <f t="shared" si="22"/>
        <v>20</v>
      </c>
      <c r="I119" s="14">
        <f t="shared" si="23"/>
        <v>0</v>
      </c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</row>
    <row r="120">
      <c r="A120" s="11" t="s">
        <v>15</v>
      </c>
      <c r="B120" s="12">
        <f t="shared" si="20"/>
        <v>26</v>
      </c>
      <c r="C120" s="11"/>
      <c r="D120" s="11"/>
      <c r="E120" s="11"/>
      <c r="F120" s="11"/>
      <c r="G120" s="12">
        <f t="shared" si="21"/>
        <v>0</v>
      </c>
      <c r="H120" s="12">
        <f t="shared" si="22"/>
        <v>26</v>
      </c>
      <c r="I120" s="14">
        <f t="shared" si="23"/>
        <v>0</v>
      </c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</row>
    <row r="121">
      <c r="A121" s="11" t="s">
        <v>16</v>
      </c>
      <c r="B121" s="12">
        <f t="shared" si="20"/>
        <v>10</v>
      </c>
      <c r="C121" s="11"/>
      <c r="D121" s="11"/>
      <c r="E121" s="11"/>
      <c r="F121" s="11"/>
      <c r="G121" s="12">
        <f t="shared" si="21"/>
        <v>0</v>
      </c>
      <c r="H121" s="12">
        <f t="shared" si="22"/>
        <v>10</v>
      </c>
      <c r="I121" s="14">
        <f t="shared" si="23"/>
        <v>0</v>
      </c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</row>
    <row r="122">
      <c r="A122" s="11" t="s">
        <v>17</v>
      </c>
      <c r="B122" s="12">
        <f t="shared" si="20"/>
        <v>11</v>
      </c>
      <c r="C122" s="11"/>
      <c r="D122" s="11"/>
      <c r="E122" s="11"/>
      <c r="F122" s="11"/>
      <c r="G122" s="12">
        <f t="shared" si="21"/>
        <v>0</v>
      </c>
      <c r="H122" s="12">
        <f t="shared" si="22"/>
        <v>11</v>
      </c>
      <c r="I122" s="14">
        <f t="shared" si="23"/>
        <v>0</v>
      </c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</row>
    <row r="123">
      <c r="A123" s="11" t="s">
        <v>18</v>
      </c>
      <c r="B123" s="12">
        <f t="shared" si="20"/>
        <v>14</v>
      </c>
      <c r="C123" s="11"/>
      <c r="D123" s="11"/>
      <c r="E123" s="11"/>
      <c r="F123" s="11"/>
      <c r="G123" s="12">
        <f t="shared" si="21"/>
        <v>0</v>
      </c>
      <c r="H123" s="12">
        <f t="shared" si="22"/>
        <v>14</v>
      </c>
      <c r="I123" s="14">
        <f t="shared" si="23"/>
        <v>0</v>
      </c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</row>
    <row r="124">
      <c r="A124" s="11" t="s">
        <v>19</v>
      </c>
      <c r="B124" s="12">
        <f t="shared" si="20"/>
        <v>17</v>
      </c>
      <c r="C124" s="11"/>
      <c r="D124" s="11"/>
      <c r="E124" s="11"/>
      <c r="F124" s="11"/>
      <c r="G124" s="12">
        <f t="shared" si="21"/>
        <v>0</v>
      </c>
      <c r="H124" s="12">
        <f t="shared" si="22"/>
        <v>17</v>
      </c>
      <c r="I124" s="14">
        <f t="shared" si="23"/>
        <v>0</v>
      </c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</row>
    <row r="125">
      <c r="A125" s="11" t="s">
        <v>20</v>
      </c>
      <c r="B125" s="12">
        <f t="shared" si="20"/>
        <v>30</v>
      </c>
      <c r="C125" s="11"/>
      <c r="D125" s="11"/>
      <c r="E125" s="11"/>
      <c r="F125" s="11"/>
      <c r="G125" s="12">
        <f t="shared" si="21"/>
        <v>0</v>
      </c>
      <c r="H125" s="12">
        <f t="shared" si="22"/>
        <v>30</v>
      </c>
      <c r="I125" s="14">
        <f t="shared" si="23"/>
        <v>0</v>
      </c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</row>
    <row r="126">
      <c r="A126" s="11" t="s">
        <v>21</v>
      </c>
      <c r="B126" s="12">
        <f t="shared" si="20"/>
        <v>6</v>
      </c>
      <c r="C126" s="11"/>
      <c r="D126" s="11"/>
      <c r="E126" s="11"/>
      <c r="F126" s="11"/>
      <c r="G126" s="12">
        <f t="shared" si="21"/>
        <v>0</v>
      </c>
      <c r="H126" s="12">
        <f t="shared" si="22"/>
        <v>6</v>
      </c>
      <c r="I126" s="14">
        <f t="shared" si="23"/>
        <v>0</v>
      </c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</row>
    <row r="127">
      <c r="A127" s="11" t="s">
        <v>22</v>
      </c>
      <c r="B127" s="12">
        <f t="shared" si="20"/>
        <v>29</v>
      </c>
      <c r="C127" s="11"/>
      <c r="D127" s="11"/>
      <c r="E127" s="11"/>
      <c r="F127" s="11"/>
      <c r="G127" s="12">
        <f t="shared" si="21"/>
        <v>0</v>
      </c>
      <c r="H127" s="12">
        <f t="shared" si="22"/>
        <v>29</v>
      </c>
      <c r="I127" s="14">
        <f t="shared" si="23"/>
        <v>0</v>
      </c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</row>
    <row r="128">
      <c r="A128" s="11" t="s">
        <v>23</v>
      </c>
      <c r="B128" s="12">
        <f t="shared" si="20"/>
        <v>26</v>
      </c>
      <c r="C128" s="11"/>
      <c r="D128" s="11"/>
      <c r="E128" s="11"/>
      <c r="F128" s="11"/>
      <c r="G128" s="12">
        <f t="shared" si="21"/>
        <v>0</v>
      </c>
      <c r="H128" s="12">
        <f t="shared" si="22"/>
        <v>26</v>
      </c>
      <c r="I128" s="14">
        <f t="shared" si="23"/>
        <v>0</v>
      </c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</row>
    <row r="129">
      <c r="A129" s="11" t="s">
        <v>24</v>
      </c>
      <c r="B129" s="12">
        <f t="shared" si="20"/>
        <v>21</v>
      </c>
      <c r="C129" s="11"/>
      <c r="D129" s="11"/>
      <c r="E129" s="11"/>
      <c r="F129" s="11"/>
      <c r="G129" s="12">
        <f t="shared" si="21"/>
        <v>0</v>
      </c>
      <c r="H129" s="12">
        <f t="shared" si="22"/>
        <v>21</v>
      </c>
      <c r="I129" s="14">
        <f t="shared" si="23"/>
        <v>0</v>
      </c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</row>
    <row r="130">
      <c r="A130" s="11" t="s">
        <v>25</v>
      </c>
      <c r="B130" s="12">
        <f t="shared" si="20"/>
        <v>17</v>
      </c>
      <c r="C130" s="11"/>
      <c r="D130" s="11"/>
      <c r="E130" s="11"/>
      <c r="F130" s="11"/>
      <c r="G130" s="12">
        <f t="shared" si="21"/>
        <v>0</v>
      </c>
      <c r="H130" s="12">
        <f t="shared" si="22"/>
        <v>17</v>
      </c>
      <c r="I130" s="14">
        <f t="shared" si="23"/>
        <v>0</v>
      </c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</row>
    <row r="131">
      <c r="A131" s="11" t="s">
        <v>26</v>
      </c>
      <c r="B131" s="12">
        <f t="shared" si="20"/>
        <v>13</v>
      </c>
      <c r="C131" s="11"/>
      <c r="D131" s="11"/>
      <c r="E131" s="11"/>
      <c r="F131" s="11"/>
      <c r="G131" s="12">
        <f t="shared" si="21"/>
        <v>0</v>
      </c>
      <c r="H131" s="12">
        <f t="shared" si="22"/>
        <v>13</v>
      </c>
      <c r="I131" s="14">
        <f t="shared" si="23"/>
        <v>0</v>
      </c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</row>
    <row r="132">
      <c r="A132" s="11" t="s">
        <v>27</v>
      </c>
      <c r="B132" s="12">
        <f t="shared" si="20"/>
        <v>14</v>
      </c>
      <c r="C132" s="11"/>
      <c r="D132" s="11"/>
      <c r="E132" s="11"/>
      <c r="F132" s="11"/>
      <c r="G132" s="12">
        <f t="shared" si="21"/>
        <v>0</v>
      </c>
      <c r="H132" s="12">
        <f t="shared" si="22"/>
        <v>14</v>
      </c>
      <c r="I132" s="14">
        <f t="shared" si="23"/>
        <v>0</v>
      </c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</row>
    <row r="133">
      <c r="A133" s="11" t="s">
        <v>28</v>
      </c>
      <c r="B133" s="12">
        <f t="shared" si="20"/>
        <v>12</v>
      </c>
      <c r="C133" s="11"/>
      <c r="D133" s="11"/>
      <c r="E133" s="11"/>
      <c r="F133" s="11"/>
      <c r="G133" s="12">
        <f t="shared" si="21"/>
        <v>0</v>
      </c>
      <c r="H133" s="12">
        <f t="shared" si="22"/>
        <v>12</v>
      </c>
      <c r="I133" s="14">
        <f t="shared" si="23"/>
        <v>0</v>
      </c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</row>
    <row r="134">
      <c r="A134" s="11" t="s">
        <v>29</v>
      </c>
      <c r="B134" s="12">
        <f t="shared" si="20"/>
        <v>133</v>
      </c>
      <c r="C134" s="11"/>
      <c r="D134" s="11"/>
      <c r="E134" s="11"/>
      <c r="F134" s="11"/>
      <c r="G134" s="12">
        <f t="shared" si="21"/>
        <v>0</v>
      </c>
      <c r="H134" s="12">
        <f t="shared" si="22"/>
        <v>133</v>
      </c>
      <c r="I134" s="14">
        <f t="shared" si="23"/>
        <v>0</v>
      </c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</row>
    <row r="135">
      <c r="A135" s="11" t="s">
        <v>30</v>
      </c>
      <c r="B135" s="12">
        <f t="shared" si="20"/>
        <v>4</v>
      </c>
      <c r="C135" s="11"/>
      <c r="D135" s="11"/>
      <c r="E135" s="11"/>
      <c r="F135" s="11"/>
      <c r="G135" s="12">
        <f t="shared" si="21"/>
        <v>0</v>
      </c>
      <c r="H135" s="12">
        <f t="shared" si="22"/>
        <v>4</v>
      </c>
      <c r="I135" s="14">
        <f t="shared" si="23"/>
        <v>0</v>
      </c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</row>
    <row r="136">
      <c r="A136" s="18" t="s">
        <v>31</v>
      </c>
      <c r="B136" s="12">
        <f t="shared" si="20"/>
        <v>10</v>
      </c>
      <c r="C136" s="11"/>
      <c r="D136" s="11"/>
      <c r="E136" s="11"/>
      <c r="F136" s="11"/>
      <c r="G136" s="12">
        <f t="shared" si="21"/>
        <v>0</v>
      </c>
      <c r="H136" s="12">
        <f t="shared" si="22"/>
        <v>10</v>
      </c>
      <c r="I136" s="14">
        <f t="shared" si="23"/>
        <v>0</v>
      </c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</row>
    <row r="137">
      <c r="A137" s="18" t="s">
        <v>32</v>
      </c>
      <c r="B137" s="12">
        <f t="shared" si="20"/>
        <v>14</v>
      </c>
      <c r="C137" s="11"/>
      <c r="D137" s="11"/>
      <c r="E137" s="11"/>
      <c r="F137" s="11"/>
      <c r="G137" s="12">
        <f t="shared" si="21"/>
        <v>0</v>
      </c>
      <c r="H137" s="12">
        <f t="shared" si="22"/>
        <v>14</v>
      </c>
      <c r="I137" s="14">
        <f t="shared" si="23"/>
        <v>0</v>
      </c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</row>
    <row r="138">
      <c r="A138" s="19" t="s">
        <v>33</v>
      </c>
      <c r="B138" s="20">
        <f t="shared" ref="B138:I138" si="24">SUM(B115:B137)</f>
        <v>519</v>
      </c>
      <c r="C138" s="20">
        <f t="shared" si="24"/>
        <v>0</v>
      </c>
      <c r="D138" s="20">
        <f t="shared" si="24"/>
        <v>0</v>
      </c>
      <c r="E138" s="20">
        <f t="shared" si="24"/>
        <v>0</v>
      </c>
      <c r="F138" s="20">
        <f t="shared" si="24"/>
        <v>0</v>
      </c>
      <c r="G138" s="20">
        <f t="shared" si="24"/>
        <v>0</v>
      </c>
      <c r="H138" s="20">
        <f t="shared" si="24"/>
        <v>519</v>
      </c>
      <c r="I138" s="21">
        <f t="shared" si="24"/>
        <v>0</v>
      </c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</row>
    <row r="139">
      <c r="A139" s="22"/>
      <c r="B139" s="22"/>
      <c r="C139" s="22"/>
      <c r="D139" s="22"/>
      <c r="E139" s="22"/>
      <c r="F139" s="23" t="s">
        <v>34</v>
      </c>
      <c r="G139" s="4"/>
      <c r="H139" s="24"/>
      <c r="I139" s="25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</row>
    <row r="141">
      <c r="A141" s="1"/>
      <c r="B141" s="2" t="s">
        <v>39</v>
      </c>
      <c r="C141" s="3"/>
      <c r="D141" s="3"/>
      <c r="E141" s="3"/>
      <c r="F141" s="3"/>
      <c r="G141" s="3"/>
      <c r="H141" s="3"/>
      <c r="I141" s="4"/>
    </row>
    <row r="142">
      <c r="A142" s="5" t="s">
        <v>1</v>
      </c>
      <c r="B142" s="6" t="s">
        <v>2</v>
      </c>
      <c r="C142" s="7" t="s">
        <v>3</v>
      </c>
      <c r="D142" s="8" t="s">
        <v>4</v>
      </c>
      <c r="E142" s="5" t="s">
        <v>5</v>
      </c>
      <c r="F142" s="5" t="s">
        <v>6</v>
      </c>
      <c r="G142" s="5" t="s">
        <v>7</v>
      </c>
      <c r="H142" s="9" t="s">
        <v>8</v>
      </c>
      <c r="I142" s="10" t="s">
        <v>9</v>
      </c>
    </row>
    <row r="143">
      <c r="A143" s="11" t="s">
        <v>10</v>
      </c>
      <c r="B143" s="12">
        <f t="shared" ref="B143:B165" si="25">H115</f>
        <v>29</v>
      </c>
      <c r="C143" s="11"/>
      <c r="D143" s="11"/>
      <c r="E143" s="11"/>
      <c r="F143" s="11"/>
      <c r="G143" s="12">
        <f t="shared" ref="G143:G165" si="26">E143-F143</f>
        <v>0</v>
      </c>
      <c r="H143" s="12">
        <f t="shared" ref="H143:H165" si="27">B143-C143+D143-G143</f>
        <v>29</v>
      </c>
      <c r="I143" s="14">
        <f t="shared" ref="I143:I165" si="28">G143*6</f>
        <v>0</v>
      </c>
    </row>
    <row r="144">
      <c r="A144" s="11" t="s">
        <v>11</v>
      </c>
      <c r="B144" s="12">
        <f t="shared" si="25"/>
        <v>25</v>
      </c>
      <c r="C144" s="11"/>
      <c r="D144" s="11"/>
      <c r="E144" s="11"/>
      <c r="F144" s="11"/>
      <c r="G144" s="12">
        <f t="shared" si="26"/>
        <v>0</v>
      </c>
      <c r="H144" s="12">
        <f t="shared" si="27"/>
        <v>25</v>
      </c>
      <c r="I144" s="14">
        <f t="shared" si="28"/>
        <v>0</v>
      </c>
    </row>
    <row r="145">
      <c r="A145" s="11" t="s">
        <v>12</v>
      </c>
      <c r="B145" s="12">
        <f t="shared" si="25"/>
        <v>12</v>
      </c>
      <c r="C145" s="11"/>
      <c r="D145" s="11"/>
      <c r="E145" s="11"/>
      <c r="F145" s="11"/>
      <c r="G145" s="12">
        <f t="shared" si="26"/>
        <v>0</v>
      </c>
      <c r="H145" s="12">
        <f t="shared" si="27"/>
        <v>12</v>
      </c>
      <c r="I145" s="14">
        <f t="shared" si="28"/>
        <v>0</v>
      </c>
    </row>
    <row r="146">
      <c r="A146" s="11" t="s">
        <v>13</v>
      </c>
      <c r="B146" s="12">
        <f t="shared" si="25"/>
        <v>26</v>
      </c>
      <c r="C146" s="11"/>
      <c r="D146" s="11"/>
      <c r="E146" s="11"/>
      <c r="F146" s="11"/>
      <c r="G146" s="12">
        <f t="shared" si="26"/>
        <v>0</v>
      </c>
      <c r="H146" s="12">
        <f t="shared" si="27"/>
        <v>26</v>
      </c>
      <c r="I146" s="14">
        <f t="shared" si="28"/>
        <v>0</v>
      </c>
    </row>
    <row r="147">
      <c r="A147" s="11" t="s">
        <v>14</v>
      </c>
      <c r="B147" s="12">
        <f t="shared" si="25"/>
        <v>20</v>
      </c>
      <c r="C147" s="11"/>
      <c r="D147" s="11"/>
      <c r="E147" s="11"/>
      <c r="F147" s="11"/>
      <c r="G147" s="12">
        <f t="shared" si="26"/>
        <v>0</v>
      </c>
      <c r="H147" s="12">
        <f t="shared" si="27"/>
        <v>20</v>
      </c>
      <c r="I147" s="14">
        <f t="shared" si="28"/>
        <v>0</v>
      </c>
    </row>
    <row r="148">
      <c r="A148" s="11" t="s">
        <v>15</v>
      </c>
      <c r="B148" s="12">
        <f t="shared" si="25"/>
        <v>26</v>
      </c>
      <c r="C148" s="11"/>
      <c r="D148" s="11"/>
      <c r="E148" s="11"/>
      <c r="F148" s="11"/>
      <c r="G148" s="12">
        <f t="shared" si="26"/>
        <v>0</v>
      </c>
      <c r="H148" s="12">
        <f t="shared" si="27"/>
        <v>26</v>
      </c>
      <c r="I148" s="14">
        <f t="shared" si="28"/>
        <v>0</v>
      </c>
    </row>
    <row r="149">
      <c r="A149" s="11" t="s">
        <v>16</v>
      </c>
      <c r="B149" s="12">
        <f t="shared" si="25"/>
        <v>10</v>
      </c>
      <c r="C149" s="11"/>
      <c r="D149" s="11"/>
      <c r="E149" s="11"/>
      <c r="F149" s="11"/>
      <c r="G149" s="12">
        <f t="shared" si="26"/>
        <v>0</v>
      </c>
      <c r="H149" s="12">
        <f t="shared" si="27"/>
        <v>10</v>
      </c>
      <c r="I149" s="14">
        <f t="shared" si="28"/>
        <v>0</v>
      </c>
    </row>
    <row r="150">
      <c r="A150" s="11" t="s">
        <v>17</v>
      </c>
      <c r="B150" s="12">
        <f t="shared" si="25"/>
        <v>11</v>
      </c>
      <c r="C150" s="11"/>
      <c r="D150" s="11"/>
      <c r="E150" s="11"/>
      <c r="F150" s="11"/>
      <c r="G150" s="12">
        <f t="shared" si="26"/>
        <v>0</v>
      </c>
      <c r="H150" s="12">
        <f t="shared" si="27"/>
        <v>11</v>
      </c>
      <c r="I150" s="14">
        <f t="shared" si="28"/>
        <v>0</v>
      </c>
    </row>
    <row r="151">
      <c r="A151" s="11" t="s">
        <v>18</v>
      </c>
      <c r="B151" s="12">
        <f t="shared" si="25"/>
        <v>14</v>
      </c>
      <c r="C151" s="11"/>
      <c r="D151" s="11"/>
      <c r="E151" s="11"/>
      <c r="F151" s="11"/>
      <c r="G151" s="12">
        <f t="shared" si="26"/>
        <v>0</v>
      </c>
      <c r="H151" s="12">
        <f t="shared" si="27"/>
        <v>14</v>
      </c>
      <c r="I151" s="14">
        <f t="shared" si="28"/>
        <v>0</v>
      </c>
    </row>
    <row r="152">
      <c r="A152" s="11" t="s">
        <v>19</v>
      </c>
      <c r="B152" s="12">
        <f t="shared" si="25"/>
        <v>17</v>
      </c>
      <c r="C152" s="11"/>
      <c r="D152" s="11"/>
      <c r="E152" s="11"/>
      <c r="F152" s="11"/>
      <c r="G152" s="12">
        <f t="shared" si="26"/>
        <v>0</v>
      </c>
      <c r="H152" s="12">
        <f t="shared" si="27"/>
        <v>17</v>
      </c>
      <c r="I152" s="14">
        <f t="shared" si="28"/>
        <v>0</v>
      </c>
    </row>
    <row r="153">
      <c r="A153" s="11" t="s">
        <v>20</v>
      </c>
      <c r="B153" s="12">
        <f t="shared" si="25"/>
        <v>30</v>
      </c>
      <c r="C153" s="11"/>
      <c r="D153" s="11"/>
      <c r="E153" s="11"/>
      <c r="F153" s="11"/>
      <c r="G153" s="12">
        <f t="shared" si="26"/>
        <v>0</v>
      </c>
      <c r="H153" s="12">
        <f t="shared" si="27"/>
        <v>30</v>
      </c>
      <c r="I153" s="14">
        <f t="shared" si="28"/>
        <v>0</v>
      </c>
    </row>
    <row r="154">
      <c r="A154" s="11" t="s">
        <v>21</v>
      </c>
      <c r="B154" s="12">
        <f t="shared" si="25"/>
        <v>6</v>
      </c>
      <c r="C154" s="11"/>
      <c r="D154" s="11"/>
      <c r="E154" s="11"/>
      <c r="F154" s="11"/>
      <c r="G154" s="12">
        <f t="shared" si="26"/>
        <v>0</v>
      </c>
      <c r="H154" s="12">
        <f t="shared" si="27"/>
        <v>6</v>
      </c>
      <c r="I154" s="14">
        <f t="shared" si="28"/>
        <v>0</v>
      </c>
    </row>
    <row r="155">
      <c r="A155" s="11" t="s">
        <v>22</v>
      </c>
      <c r="B155" s="12">
        <f t="shared" si="25"/>
        <v>29</v>
      </c>
      <c r="C155" s="11"/>
      <c r="D155" s="11"/>
      <c r="E155" s="11"/>
      <c r="F155" s="11"/>
      <c r="G155" s="12">
        <f t="shared" si="26"/>
        <v>0</v>
      </c>
      <c r="H155" s="12">
        <f t="shared" si="27"/>
        <v>29</v>
      </c>
      <c r="I155" s="14">
        <f t="shared" si="28"/>
        <v>0</v>
      </c>
    </row>
    <row r="156">
      <c r="A156" s="11" t="s">
        <v>23</v>
      </c>
      <c r="B156" s="12">
        <f t="shared" si="25"/>
        <v>26</v>
      </c>
      <c r="C156" s="11"/>
      <c r="D156" s="11"/>
      <c r="E156" s="11"/>
      <c r="F156" s="11"/>
      <c r="G156" s="12">
        <f t="shared" si="26"/>
        <v>0</v>
      </c>
      <c r="H156" s="12">
        <f t="shared" si="27"/>
        <v>26</v>
      </c>
      <c r="I156" s="14">
        <f t="shared" si="28"/>
        <v>0</v>
      </c>
    </row>
    <row r="157">
      <c r="A157" s="11" t="s">
        <v>24</v>
      </c>
      <c r="B157" s="12">
        <f t="shared" si="25"/>
        <v>21</v>
      </c>
      <c r="C157" s="11"/>
      <c r="D157" s="11"/>
      <c r="E157" s="11"/>
      <c r="F157" s="11"/>
      <c r="G157" s="12">
        <f t="shared" si="26"/>
        <v>0</v>
      </c>
      <c r="H157" s="12">
        <f t="shared" si="27"/>
        <v>21</v>
      </c>
      <c r="I157" s="14">
        <f t="shared" si="28"/>
        <v>0</v>
      </c>
    </row>
    <row r="158">
      <c r="A158" s="11" t="s">
        <v>25</v>
      </c>
      <c r="B158" s="12">
        <f t="shared" si="25"/>
        <v>17</v>
      </c>
      <c r="C158" s="11"/>
      <c r="D158" s="11"/>
      <c r="E158" s="11"/>
      <c r="F158" s="11"/>
      <c r="G158" s="12">
        <f t="shared" si="26"/>
        <v>0</v>
      </c>
      <c r="H158" s="12">
        <f t="shared" si="27"/>
        <v>17</v>
      </c>
      <c r="I158" s="14">
        <f t="shared" si="28"/>
        <v>0</v>
      </c>
    </row>
    <row r="159">
      <c r="A159" s="11" t="s">
        <v>26</v>
      </c>
      <c r="B159" s="12">
        <f t="shared" si="25"/>
        <v>13</v>
      </c>
      <c r="C159" s="11"/>
      <c r="D159" s="11"/>
      <c r="E159" s="11"/>
      <c r="F159" s="11"/>
      <c r="G159" s="12">
        <f t="shared" si="26"/>
        <v>0</v>
      </c>
      <c r="H159" s="12">
        <f t="shared" si="27"/>
        <v>13</v>
      </c>
      <c r="I159" s="14">
        <f t="shared" si="28"/>
        <v>0</v>
      </c>
    </row>
    <row r="160">
      <c r="A160" s="11" t="s">
        <v>27</v>
      </c>
      <c r="B160" s="12">
        <f t="shared" si="25"/>
        <v>14</v>
      </c>
      <c r="C160" s="11"/>
      <c r="D160" s="11"/>
      <c r="E160" s="11"/>
      <c r="F160" s="11"/>
      <c r="G160" s="12">
        <f t="shared" si="26"/>
        <v>0</v>
      </c>
      <c r="H160" s="12">
        <f t="shared" si="27"/>
        <v>14</v>
      </c>
      <c r="I160" s="14">
        <f t="shared" si="28"/>
        <v>0</v>
      </c>
    </row>
    <row r="161">
      <c r="A161" s="11" t="s">
        <v>28</v>
      </c>
      <c r="B161" s="12">
        <f t="shared" si="25"/>
        <v>12</v>
      </c>
      <c r="C161" s="11"/>
      <c r="D161" s="11"/>
      <c r="E161" s="11"/>
      <c r="F161" s="11"/>
      <c r="G161" s="12">
        <f t="shared" si="26"/>
        <v>0</v>
      </c>
      <c r="H161" s="12">
        <f t="shared" si="27"/>
        <v>12</v>
      </c>
      <c r="I161" s="14">
        <f t="shared" si="28"/>
        <v>0</v>
      </c>
    </row>
    <row r="162">
      <c r="A162" s="11" t="s">
        <v>29</v>
      </c>
      <c r="B162" s="12">
        <f t="shared" si="25"/>
        <v>133</v>
      </c>
      <c r="C162" s="11"/>
      <c r="D162" s="11"/>
      <c r="E162" s="11"/>
      <c r="F162" s="11"/>
      <c r="G162" s="12">
        <f t="shared" si="26"/>
        <v>0</v>
      </c>
      <c r="H162" s="12">
        <f t="shared" si="27"/>
        <v>133</v>
      </c>
      <c r="I162" s="14">
        <f t="shared" si="28"/>
        <v>0</v>
      </c>
    </row>
    <row r="163">
      <c r="A163" s="11" t="s">
        <v>30</v>
      </c>
      <c r="B163" s="12">
        <f t="shared" si="25"/>
        <v>4</v>
      </c>
      <c r="C163" s="11"/>
      <c r="D163" s="11"/>
      <c r="E163" s="11"/>
      <c r="F163" s="11"/>
      <c r="G163" s="12">
        <f t="shared" si="26"/>
        <v>0</v>
      </c>
      <c r="H163" s="12">
        <f t="shared" si="27"/>
        <v>4</v>
      </c>
      <c r="I163" s="14">
        <f t="shared" si="28"/>
        <v>0</v>
      </c>
    </row>
    <row r="164">
      <c r="A164" s="18" t="s">
        <v>31</v>
      </c>
      <c r="B164" s="12">
        <f t="shared" si="25"/>
        <v>10</v>
      </c>
      <c r="C164" s="11"/>
      <c r="D164" s="11"/>
      <c r="E164" s="11"/>
      <c r="F164" s="11"/>
      <c r="G164" s="12">
        <f t="shared" si="26"/>
        <v>0</v>
      </c>
      <c r="H164" s="12">
        <f t="shared" si="27"/>
        <v>10</v>
      </c>
      <c r="I164" s="14">
        <f t="shared" si="28"/>
        <v>0</v>
      </c>
    </row>
    <row r="165">
      <c r="A165" s="18" t="s">
        <v>32</v>
      </c>
      <c r="B165" s="12">
        <f t="shared" si="25"/>
        <v>14</v>
      </c>
      <c r="C165" s="11"/>
      <c r="D165" s="11"/>
      <c r="E165" s="11"/>
      <c r="F165" s="11"/>
      <c r="G165" s="12">
        <f t="shared" si="26"/>
        <v>0</v>
      </c>
      <c r="H165" s="12">
        <f t="shared" si="27"/>
        <v>14</v>
      </c>
      <c r="I165" s="14">
        <f t="shared" si="28"/>
        <v>0</v>
      </c>
    </row>
    <row r="166">
      <c r="A166" s="19" t="s">
        <v>33</v>
      </c>
      <c r="B166" s="20">
        <f t="shared" ref="B166:I166" si="29">SUM(B143:B165)</f>
        <v>519</v>
      </c>
      <c r="C166" s="20">
        <f t="shared" si="29"/>
        <v>0</v>
      </c>
      <c r="D166" s="20">
        <f t="shared" si="29"/>
        <v>0</v>
      </c>
      <c r="E166" s="20">
        <f t="shared" si="29"/>
        <v>0</v>
      </c>
      <c r="F166" s="20">
        <f t="shared" si="29"/>
        <v>0</v>
      </c>
      <c r="G166" s="20">
        <f t="shared" si="29"/>
        <v>0</v>
      </c>
      <c r="H166" s="20">
        <f t="shared" si="29"/>
        <v>519</v>
      </c>
      <c r="I166" s="21">
        <f t="shared" si="29"/>
        <v>0</v>
      </c>
    </row>
    <row r="167">
      <c r="A167" s="22"/>
      <c r="B167" s="22"/>
      <c r="C167" s="22"/>
      <c r="D167" s="22"/>
      <c r="E167" s="22"/>
      <c r="F167" s="23" t="s">
        <v>34</v>
      </c>
      <c r="G167" s="4"/>
      <c r="H167" s="24"/>
      <c r="I167" s="25"/>
    </row>
    <row r="169">
      <c r="A169" s="1"/>
      <c r="B169" s="2" t="s">
        <v>40</v>
      </c>
      <c r="C169" s="3"/>
      <c r="D169" s="3"/>
      <c r="E169" s="3"/>
      <c r="F169" s="3"/>
      <c r="G169" s="3"/>
      <c r="H169" s="3"/>
      <c r="I169" s="4"/>
    </row>
    <row r="170">
      <c r="A170" s="5" t="s">
        <v>1</v>
      </c>
      <c r="B170" s="6" t="s">
        <v>2</v>
      </c>
      <c r="C170" s="7" t="s">
        <v>3</v>
      </c>
      <c r="D170" s="8" t="s">
        <v>4</v>
      </c>
      <c r="E170" s="5" t="s">
        <v>5</v>
      </c>
      <c r="F170" s="5" t="s">
        <v>6</v>
      </c>
      <c r="G170" s="5" t="s">
        <v>7</v>
      </c>
      <c r="H170" s="9" t="s">
        <v>8</v>
      </c>
      <c r="I170" s="10" t="s">
        <v>9</v>
      </c>
    </row>
    <row r="171">
      <c r="A171" s="11" t="s">
        <v>10</v>
      </c>
      <c r="B171" s="12">
        <f t="shared" ref="B171:B193" si="30">H143</f>
        <v>29</v>
      </c>
      <c r="C171" s="11"/>
      <c r="D171" s="11"/>
      <c r="E171" s="11"/>
      <c r="F171" s="11"/>
      <c r="G171" s="12">
        <f t="shared" ref="G171:G193" si="31">E171-F171</f>
        <v>0</v>
      </c>
      <c r="H171" s="12">
        <f t="shared" ref="H171:H193" si="32">B171-C171+D171-G171</f>
        <v>29</v>
      </c>
      <c r="I171" s="14">
        <f t="shared" ref="I171:I193" si="33">G171*6</f>
        <v>0</v>
      </c>
    </row>
    <row r="172">
      <c r="A172" s="11" t="s">
        <v>11</v>
      </c>
      <c r="B172" s="12">
        <f t="shared" si="30"/>
        <v>25</v>
      </c>
      <c r="C172" s="11"/>
      <c r="D172" s="11"/>
      <c r="E172" s="11"/>
      <c r="F172" s="11"/>
      <c r="G172" s="12">
        <f t="shared" si="31"/>
        <v>0</v>
      </c>
      <c r="H172" s="12">
        <f t="shared" si="32"/>
        <v>25</v>
      </c>
      <c r="I172" s="14">
        <f t="shared" si="33"/>
        <v>0</v>
      </c>
    </row>
    <row r="173">
      <c r="A173" s="11" t="s">
        <v>12</v>
      </c>
      <c r="B173" s="12">
        <f t="shared" si="30"/>
        <v>12</v>
      </c>
      <c r="C173" s="11"/>
      <c r="D173" s="11"/>
      <c r="E173" s="11"/>
      <c r="F173" s="11"/>
      <c r="G173" s="12">
        <f t="shared" si="31"/>
        <v>0</v>
      </c>
      <c r="H173" s="12">
        <f t="shared" si="32"/>
        <v>12</v>
      </c>
      <c r="I173" s="14">
        <f t="shared" si="33"/>
        <v>0</v>
      </c>
    </row>
    <row r="174">
      <c r="A174" s="11" t="s">
        <v>13</v>
      </c>
      <c r="B174" s="12">
        <f t="shared" si="30"/>
        <v>26</v>
      </c>
      <c r="C174" s="11"/>
      <c r="D174" s="11"/>
      <c r="E174" s="11"/>
      <c r="F174" s="11"/>
      <c r="G174" s="12">
        <f t="shared" si="31"/>
        <v>0</v>
      </c>
      <c r="H174" s="12">
        <f t="shared" si="32"/>
        <v>26</v>
      </c>
      <c r="I174" s="14">
        <f t="shared" si="33"/>
        <v>0</v>
      </c>
    </row>
    <row r="175">
      <c r="A175" s="11" t="s">
        <v>14</v>
      </c>
      <c r="B175" s="12">
        <f t="shared" si="30"/>
        <v>20</v>
      </c>
      <c r="C175" s="11"/>
      <c r="D175" s="11"/>
      <c r="E175" s="11"/>
      <c r="F175" s="11"/>
      <c r="G175" s="12">
        <f t="shared" si="31"/>
        <v>0</v>
      </c>
      <c r="H175" s="12">
        <f t="shared" si="32"/>
        <v>20</v>
      </c>
      <c r="I175" s="14">
        <f t="shared" si="33"/>
        <v>0</v>
      </c>
    </row>
    <row r="176">
      <c r="A176" s="11" t="s">
        <v>15</v>
      </c>
      <c r="B176" s="12">
        <f t="shared" si="30"/>
        <v>26</v>
      </c>
      <c r="C176" s="11"/>
      <c r="D176" s="11"/>
      <c r="E176" s="11"/>
      <c r="F176" s="11"/>
      <c r="G176" s="12">
        <f t="shared" si="31"/>
        <v>0</v>
      </c>
      <c r="H176" s="12">
        <f t="shared" si="32"/>
        <v>26</v>
      </c>
      <c r="I176" s="14">
        <f t="shared" si="33"/>
        <v>0</v>
      </c>
    </row>
    <row r="177">
      <c r="A177" s="11" t="s">
        <v>16</v>
      </c>
      <c r="B177" s="12">
        <f t="shared" si="30"/>
        <v>10</v>
      </c>
      <c r="C177" s="11"/>
      <c r="D177" s="11"/>
      <c r="E177" s="11"/>
      <c r="F177" s="11"/>
      <c r="G177" s="12">
        <f t="shared" si="31"/>
        <v>0</v>
      </c>
      <c r="H177" s="12">
        <f t="shared" si="32"/>
        <v>10</v>
      </c>
      <c r="I177" s="14">
        <f t="shared" si="33"/>
        <v>0</v>
      </c>
    </row>
    <row r="178">
      <c r="A178" s="11" t="s">
        <v>17</v>
      </c>
      <c r="B178" s="12">
        <f t="shared" si="30"/>
        <v>11</v>
      </c>
      <c r="C178" s="11"/>
      <c r="D178" s="11"/>
      <c r="E178" s="11"/>
      <c r="F178" s="11"/>
      <c r="G178" s="12">
        <f t="shared" si="31"/>
        <v>0</v>
      </c>
      <c r="H178" s="12">
        <f t="shared" si="32"/>
        <v>11</v>
      </c>
      <c r="I178" s="14">
        <f t="shared" si="33"/>
        <v>0</v>
      </c>
    </row>
    <row r="179">
      <c r="A179" s="11" t="s">
        <v>18</v>
      </c>
      <c r="B179" s="12">
        <f t="shared" si="30"/>
        <v>14</v>
      </c>
      <c r="C179" s="11"/>
      <c r="D179" s="11"/>
      <c r="E179" s="11"/>
      <c r="F179" s="11"/>
      <c r="G179" s="12">
        <f t="shared" si="31"/>
        <v>0</v>
      </c>
      <c r="H179" s="12">
        <f t="shared" si="32"/>
        <v>14</v>
      </c>
      <c r="I179" s="14">
        <f t="shared" si="33"/>
        <v>0</v>
      </c>
    </row>
    <row r="180">
      <c r="A180" s="11" t="s">
        <v>19</v>
      </c>
      <c r="B180" s="12">
        <f t="shared" si="30"/>
        <v>17</v>
      </c>
      <c r="C180" s="11"/>
      <c r="D180" s="11"/>
      <c r="E180" s="11"/>
      <c r="F180" s="11"/>
      <c r="G180" s="12">
        <f t="shared" si="31"/>
        <v>0</v>
      </c>
      <c r="H180" s="12">
        <f t="shared" si="32"/>
        <v>17</v>
      </c>
      <c r="I180" s="14">
        <f t="shared" si="33"/>
        <v>0</v>
      </c>
    </row>
    <row r="181">
      <c r="A181" s="11" t="s">
        <v>20</v>
      </c>
      <c r="B181" s="12">
        <f t="shared" si="30"/>
        <v>30</v>
      </c>
      <c r="C181" s="11"/>
      <c r="D181" s="11"/>
      <c r="E181" s="11"/>
      <c r="F181" s="11"/>
      <c r="G181" s="12">
        <f t="shared" si="31"/>
        <v>0</v>
      </c>
      <c r="H181" s="12">
        <f t="shared" si="32"/>
        <v>30</v>
      </c>
      <c r="I181" s="14">
        <f t="shared" si="33"/>
        <v>0</v>
      </c>
    </row>
    <row r="182">
      <c r="A182" s="11" t="s">
        <v>21</v>
      </c>
      <c r="B182" s="12">
        <f t="shared" si="30"/>
        <v>6</v>
      </c>
      <c r="C182" s="11"/>
      <c r="D182" s="11"/>
      <c r="E182" s="11"/>
      <c r="F182" s="11"/>
      <c r="G182" s="12">
        <f t="shared" si="31"/>
        <v>0</v>
      </c>
      <c r="H182" s="12">
        <f t="shared" si="32"/>
        <v>6</v>
      </c>
      <c r="I182" s="14">
        <f t="shared" si="33"/>
        <v>0</v>
      </c>
    </row>
    <row r="183">
      <c r="A183" s="11" t="s">
        <v>22</v>
      </c>
      <c r="B183" s="12">
        <f t="shared" si="30"/>
        <v>29</v>
      </c>
      <c r="C183" s="11"/>
      <c r="D183" s="11"/>
      <c r="E183" s="11"/>
      <c r="F183" s="11"/>
      <c r="G183" s="12">
        <f t="shared" si="31"/>
        <v>0</v>
      </c>
      <c r="H183" s="12">
        <f t="shared" si="32"/>
        <v>29</v>
      </c>
      <c r="I183" s="14">
        <f t="shared" si="33"/>
        <v>0</v>
      </c>
    </row>
    <row r="184">
      <c r="A184" s="11" t="s">
        <v>23</v>
      </c>
      <c r="B184" s="12">
        <f t="shared" si="30"/>
        <v>26</v>
      </c>
      <c r="C184" s="11"/>
      <c r="D184" s="11"/>
      <c r="E184" s="11"/>
      <c r="F184" s="11"/>
      <c r="G184" s="12">
        <f t="shared" si="31"/>
        <v>0</v>
      </c>
      <c r="H184" s="12">
        <f t="shared" si="32"/>
        <v>26</v>
      </c>
      <c r="I184" s="14">
        <f t="shared" si="33"/>
        <v>0</v>
      </c>
    </row>
    <row r="185">
      <c r="A185" s="11" t="s">
        <v>24</v>
      </c>
      <c r="B185" s="12">
        <f t="shared" si="30"/>
        <v>21</v>
      </c>
      <c r="C185" s="11"/>
      <c r="D185" s="11"/>
      <c r="E185" s="11"/>
      <c r="F185" s="11"/>
      <c r="G185" s="12">
        <f t="shared" si="31"/>
        <v>0</v>
      </c>
      <c r="H185" s="12">
        <f t="shared" si="32"/>
        <v>21</v>
      </c>
      <c r="I185" s="14">
        <f t="shared" si="33"/>
        <v>0</v>
      </c>
    </row>
    <row r="186">
      <c r="A186" s="11" t="s">
        <v>25</v>
      </c>
      <c r="B186" s="12">
        <f t="shared" si="30"/>
        <v>17</v>
      </c>
      <c r="C186" s="11"/>
      <c r="D186" s="11"/>
      <c r="E186" s="11"/>
      <c r="F186" s="11"/>
      <c r="G186" s="12">
        <f t="shared" si="31"/>
        <v>0</v>
      </c>
      <c r="H186" s="12">
        <f t="shared" si="32"/>
        <v>17</v>
      </c>
      <c r="I186" s="14">
        <f t="shared" si="33"/>
        <v>0</v>
      </c>
    </row>
    <row r="187">
      <c r="A187" s="11" t="s">
        <v>26</v>
      </c>
      <c r="B187" s="12">
        <f t="shared" si="30"/>
        <v>13</v>
      </c>
      <c r="C187" s="11"/>
      <c r="D187" s="11"/>
      <c r="E187" s="11"/>
      <c r="F187" s="11"/>
      <c r="G187" s="12">
        <f t="shared" si="31"/>
        <v>0</v>
      </c>
      <c r="H187" s="12">
        <f t="shared" si="32"/>
        <v>13</v>
      </c>
      <c r="I187" s="14">
        <f t="shared" si="33"/>
        <v>0</v>
      </c>
    </row>
    <row r="188">
      <c r="A188" s="11" t="s">
        <v>27</v>
      </c>
      <c r="B188" s="12">
        <f t="shared" si="30"/>
        <v>14</v>
      </c>
      <c r="C188" s="11"/>
      <c r="D188" s="11"/>
      <c r="E188" s="11"/>
      <c r="F188" s="11"/>
      <c r="G188" s="12">
        <f t="shared" si="31"/>
        <v>0</v>
      </c>
      <c r="H188" s="12">
        <f t="shared" si="32"/>
        <v>14</v>
      </c>
      <c r="I188" s="14">
        <f t="shared" si="33"/>
        <v>0</v>
      </c>
    </row>
    <row r="189">
      <c r="A189" s="11" t="s">
        <v>28</v>
      </c>
      <c r="B189" s="12">
        <f t="shared" si="30"/>
        <v>12</v>
      </c>
      <c r="C189" s="11"/>
      <c r="D189" s="11"/>
      <c r="E189" s="11"/>
      <c r="F189" s="11"/>
      <c r="G189" s="12">
        <f t="shared" si="31"/>
        <v>0</v>
      </c>
      <c r="H189" s="12">
        <f t="shared" si="32"/>
        <v>12</v>
      </c>
      <c r="I189" s="14">
        <f t="shared" si="33"/>
        <v>0</v>
      </c>
    </row>
    <row r="190">
      <c r="A190" s="11" t="s">
        <v>29</v>
      </c>
      <c r="B190" s="12">
        <f t="shared" si="30"/>
        <v>133</v>
      </c>
      <c r="C190" s="11"/>
      <c r="D190" s="11"/>
      <c r="E190" s="11"/>
      <c r="F190" s="11"/>
      <c r="G190" s="12">
        <f t="shared" si="31"/>
        <v>0</v>
      </c>
      <c r="H190" s="12">
        <f t="shared" si="32"/>
        <v>133</v>
      </c>
      <c r="I190" s="14">
        <f t="shared" si="33"/>
        <v>0</v>
      </c>
    </row>
    <row r="191">
      <c r="A191" s="11" t="s">
        <v>30</v>
      </c>
      <c r="B191" s="12">
        <f t="shared" si="30"/>
        <v>4</v>
      </c>
      <c r="C191" s="11"/>
      <c r="D191" s="11"/>
      <c r="E191" s="11"/>
      <c r="F191" s="11"/>
      <c r="G191" s="12">
        <f t="shared" si="31"/>
        <v>0</v>
      </c>
      <c r="H191" s="12">
        <f t="shared" si="32"/>
        <v>4</v>
      </c>
      <c r="I191" s="14">
        <f t="shared" si="33"/>
        <v>0</v>
      </c>
    </row>
    <row r="192">
      <c r="A192" s="18" t="s">
        <v>31</v>
      </c>
      <c r="B192" s="12">
        <f t="shared" si="30"/>
        <v>10</v>
      </c>
      <c r="C192" s="11"/>
      <c r="D192" s="11"/>
      <c r="E192" s="11"/>
      <c r="F192" s="11"/>
      <c r="G192" s="12">
        <f t="shared" si="31"/>
        <v>0</v>
      </c>
      <c r="H192" s="12">
        <f t="shared" si="32"/>
        <v>10</v>
      </c>
      <c r="I192" s="14">
        <f t="shared" si="33"/>
        <v>0</v>
      </c>
    </row>
    <row r="193">
      <c r="A193" s="18" t="s">
        <v>32</v>
      </c>
      <c r="B193" s="12">
        <f t="shared" si="30"/>
        <v>14</v>
      </c>
      <c r="C193" s="11"/>
      <c r="D193" s="11"/>
      <c r="E193" s="11"/>
      <c r="F193" s="11"/>
      <c r="G193" s="12">
        <f t="shared" si="31"/>
        <v>0</v>
      </c>
      <c r="H193" s="12">
        <f t="shared" si="32"/>
        <v>14</v>
      </c>
      <c r="I193" s="14">
        <f t="shared" si="33"/>
        <v>0</v>
      </c>
    </row>
    <row r="194">
      <c r="A194" s="19" t="s">
        <v>33</v>
      </c>
      <c r="B194" s="20">
        <f t="shared" ref="B194:I194" si="34">SUM(B171:B193)</f>
        <v>519</v>
      </c>
      <c r="C194" s="20">
        <f t="shared" si="34"/>
        <v>0</v>
      </c>
      <c r="D194" s="20">
        <f t="shared" si="34"/>
        <v>0</v>
      </c>
      <c r="E194" s="20">
        <f t="shared" si="34"/>
        <v>0</v>
      </c>
      <c r="F194" s="20">
        <f t="shared" si="34"/>
        <v>0</v>
      </c>
      <c r="G194" s="20">
        <f t="shared" si="34"/>
        <v>0</v>
      </c>
      <c r="H194" s="20">
        <f t="shared" si="34"/>
        <v>519</v>
      </c>
      <c r="I194" s="21">
        <f t="shared" si="34"/>
        <v>0</v>
      </c>
    </row>
    <row r="195">
      <c r="A195" s="22"/>
      <c r="B195" s="22"/>
      <c r="C195" s="22"/>
      <c r="D195" s="22"/>
      <c r="E195" s="22"/>
      <c r="F195" s="23" t="s">
        <v>34</v>
      </c>
      <c r="G195" s="4"/>
      <c r="H195" s="24"/>
      <c r="I195" s="25"/>
    </row>
    <row r="197">
      <c r="A197" s="1"/>
      <c r="B197" s="2" t="s">
        <v>41</v>
      </c>
      <c r="C197" s="3"/>
      <c r="D197" s="3"/>
      <c r="E197" s="3"/>
      <c r="F197" s="3"/>
      <c r="G197" s="3"/>
      <c r="H197" s="3"/>
      <c r="I197" s="4"/>
    </row>
    <row r="198">
      <c r="A198" s="5" t="s">
        <v>1</v>
      </c>
      <c r="B198" s="6" t="s">
        <v>2</v>
      </c>
      <c r="C198" s="7" t="s">
        <v>3</v>
      </c>
      <c r="D198" s="8" t="s">
        <v>4</v>
      </c>
      <c r="E198" s="5" t="s">
        <v>5</v>
      </c>
      <c r="F198" s="5" t="s">
        <v>6</v>
      </c>
      <c r="G198" s="5" t="s">
        <v>7</v>
      </c>
      <c r="H198" s="9" t="s">
        <v>8</v>
      </c>
      <c r="I198" s="10" t="s">
        <v>9</v>
      </c>
    </row>
    <row r="199">
      <c r="A199" s="11" t="s">
        <v>10</v>
      </c>
      <c r="B199" s="12">
        <f t="shared" ref="B199:B221" si="35">H171</f>
        <v>29</v>
      </c>
      <c r="C199" s="11"/>
      <c r="D199" s="11"/>
      <c r="E199" s="11"/>
      <c r="F199" s="11"/>
      <c r="G199" s="12">
        <f t="shared" ref="G199:G221" si="36">E199-F199</f>
        <v>0</v>
      </c>
      <c r="H199" s="12">
        <f t="shared" ref="H199:H221" si="37">B199-C199+D199-G199</f>
        <v>29</v>
      </c>
      <c r="I199" s="14">
        <f t="shared" ref="I199:I221" si="38">G199*6</f>
        <v>0</v>
      </c>
    </row>
    <row r="200">
      <c r="A200" s="11" t="s">
        <v>11</v>
      </c>
      <c r="B200" s="12">
        <f t="shared" si="35"/>
        <v>25</v>
      </c>
      <c r="C200" s="11"/>
      <c r="D200" s="11"/>
      <c r="E200" s="11"/>
      <c r="F200" s="11"/>
      <c r="G200" s="12">
        <f t="shared" si="36"/>
        <v>0</v>
      </c>
      <c r="H200" s="12">
        <f t="shared" si="37"/>
        <v>25</v>
      </c>
      <c r="I200" s="14">
        <f t="shared" si="38"/>
        <v>0</v>
      </c>
    </row>
    <row r="201">
      <c r="A201" s="11" t="s">
        <v>12</v>
      </c>
      <c r="B201" s="12">
        <f t="shared" si="35"/>
        <v>12</v>
      </c>
      <c r="C201" s="11"/>
      <c r="D201" s="11"/>
      <c r="E201" s="11"/>
      <c r="F201" s="11"/>
      <c r="G201" s="12">
        <f t="shared" si="36"/>
        <v>0</v>
      </c>
      <c r="H201" s="12">
        <f t="shared" si="37"/>
        <v>12</v>
      </c>
      <c r="I201" s="14">
        <f t="shared" si="38"/>
        <v>0</v>
      </c>
    </row>
    <row r="202">
      <c r="A202" s="11" t="s">
        <v>13</v>
      </c>
      <c r="B202" s="12">
        <f t="shared" si="35"/>
        <v>26</v>
      </c>
      <c r="C202" s="11"/>
      <c r="D202" s="11"/>
      <c r="E202" s="11"/>
      <c r="F202" s="11"/>
      <c r="G202" s="12">
        <f t="shared" si="36"/>
        <v>0</v>
      </c>
      <c r="H202" s="12">
        <f t="shared" si="37"/>
        <v>26</v>
      </c>
      <c r="I202" s="14">
        <f t="shared" si="38"/>
        <v>0</v>
      </c>
    </row>
    <row r="203">
      <c r="A203" s="11" t="s">
        <v>14</v>
      </c>
      <c r="B203" s="12">
        <f t="shared" si="35"/>
        <v>20</v>
      </c>
      <c r="C203" s="11"/>
      <c r="D203" s="11"/>
      <c r="E203" s="11"/>
      <c r="F203" s="11"/>
      <c r="G203" s="12">
        <f t="shared" si="36"/>
        <v>0</v>
      </c>
      <c r="H203" s="12">
        <f t="shared" si="37"/>
        <v>20</v>
      </c>
      <c r="I203" s="14">
        <f t="shared" si="38"/>
        <v>0</v>
      </c>
    </row>
    <row r="204">
      <c r="A204" s="11" t="s">
        <v>15</v>
      </c>
      <c r="B204" s="12">
        <f t="shared" si="35"/>
        <v>26</v>
      </c>
      <c r="C204" s="11"/>
      <c r="D204" s="11"/>
      <c r="E204" s="11"/>
      <c r="F204" s="11"/>
      <c r="G204" s="12">
        <f t="shared" si="36"/>
        <v>0</v>
      </c>
      <c r="H204" s="12">
        <f t="shared" si="37"/>
        <v>26</v>
      </c>
      <c r="I204" s="14">
        <f t="shared" si="38"/>
        <v>0</v>
      </c>
    </row>
    <row r="205">
      <c r="A205" s="11" t="s">
        <v>16</v>
      </c>
      <c r="B205" s="12">
        <f t="shared" si="35"/>
        <v>10</v>
      </c>
      <c r="C205" s="11"/>
      <c r="D205" s="11"/>
      <c r="E205" s="11"/>
      <c r="F205" s="11"/>
      <c r="G205" s="12">
        <f t="shared" si="36"/>
        <v>0</v>
      </c>
      <c r="H205" s="12">
        <f t="shared" si="37"/>
        <v>10</v>
      </c>
      <c r="I205" s="14">
        <f t="shared" si="38"/>
        <v>0</v>
      </c>
    </row>
    <row r="206">
      <c r="A206" s="11" t="s">
        <v>17</v>
      </c>
      <c r="B206" s="12">
        <f t="shared" si="35"/>
        <v>11</v>
      </c>
      <c r="C206" s="11"/>
      <c r="D206" s="11"/>
      <c r="E206" s="11"/>
      <c r="F206" s="11"/>
      <c r="G206" s="12">
        <f t="shared" si="36"/>
        <v>0</v>
      </c>
      <c r="H206" s="12">
        <f t="shared" si="37"/>
        <v>11</v>
      </c>
      <c r="I206" s="14">
        <f t="shared" si="38"/>
        <v>0</v>
      </c>
    </row>
    <row r="207">
      <c r="A207" s="11" t="s">
        <v>18</v>
      </c>
      <c r="B207" s="12">
        <f t="shared" si="35"/>
        <v>14</v>
      </c>
      <c r="C207" s="11"/>
      <c r="D207" s="11"/>
      <c r="E207" s="11"/>
      <c r="F207" s="11"/>
      <c r="G207" s="12">
        <f t="shared" si="36"/>
        <v>0</v>
      </c>
      <c r="H207" s="12">
        <f t="shared" si="37"/>
        <v>14</v>
      </c>
      <c r="I207" s="14">
        <f t="shared" si="38"/>
        <v>0</v>
      </c>
    </row>
    <row r="208">
      <c r="A208" s="11" t="s">
        <v>19</v>
      </c>
      <c r="B208" s="12">
        <f t="shared" si="35"/>
        <v>17</v>
      </c>
      <c r="C208" s="11"/>
      <c r="D208" s="11"/>
      <c r="E208" s="11"/>
      <c r="F208" s="11"/>
      <c r="G208" s="12">
        <f t="shared" si="36"/>
        <v>0</v>
      </c>
      <c r="H208" s="12">
        <f t="shared" si="37"/>
        <v>17</v>
      </c>
      <c r="I208" s="14">
        <f t="shared" si="38"/>
        <v>0</v>
      </c>
    </row>
    <row r="209">
      <c r="A209" s="11" t="s">
        <v>20</v>
      </c>
      <c r="B209" s="12">
        <f t="shared" si="35"/>
        <v>30</v>
      </c>
      <c r="C209" s="11"/>
      <c r="D209" s="11"/>
      <c r="E209" s="11"/>
      <c r="F209" s="11"/>
      <c r="G209" s="12">
        <f t="shared" si="36"/>
        <v>0</v>
      </c>
      <c r="H209" s="12">
        <f t="shared" si="37"/>
        <v>30</v>
      </c>
      <c r="I209" s="14">
        <f t="shared" si="38"/>
        <v>0</v>
      </c>
    </row>
    <row r="210">
      <c r="A210" s="11" t="s">
        <v>21</v>
      </c>
      <c r="B210" s="12">
        <f t="shared" si="35"/>
        <v>6</v>
      </c>
      <c r="C210" s="11"/>
      <c r="D210" s="11"/>
      <c r="E210" s="11"/>
      <c r="F210" s="11"/>
      <c r="G210" s="12">
        <f t="shared" si="36"/>
        <v>0</v>
      </c>
      <c r="H210" s="12">
        <f t="shared" si="37"/>
        <v>6</v>
      </c>
      <c r="I210" s="14">
        <f t="shared" si="38"/>
        <v>0</v>
      </c>
    </row>
    <row r="211">
      <c r="A211" s="11" t="s">
        <v>22</v>
      </c>
      <c r="B211" s="12">
        <f t="shared" si="35"/>
        <v>29</v>
      </c>
      <c r="C211" s="11"/>
      <c r="D211" s="11"/>
      <c r="E211" s="11"/>
      <c r="F211" s="11"/>
      <c r="G211" s="12">
        <f t="shared" si="36"/>
        <v>0</v>
      </c>
      <c r="H211" s="12">
        <f t="shared" si="37"/>
        <v>29</v>
      </c>
      <c r="I211" s="14">
        <f t="shared" si="38"/>
        <v>0</v>
      </c>
    </row>
    <row r="212">
      <c r="A212" s="11" t="s">
        <v>23</v>
      </c>
      <c r="B212" s="12">
        <f t="shared" si="35"/>
        <v>26</v>
      </c>
      <c r="C212" s="11"/>
      <c r="D212" s="11"/>
      <c r="E212" s="11"/>
      <c r="F212" s="11"/>
      <c r="G212" s="12">
        <f t="shared" si="36"/>
        <v>0</v>
      </c>
      <c r="H212" s="12">
        <f t="shared" si="37"/>
        <v>26</v>
      </c>
      <c r="I212" s="14">
        <f t="shared" si="38"/>
        <v>0</v>
      </c>
    </row>
    <row r="213">
      <c r="A213" s="11" t="s">
        <v>24</v>
      </c>
      <c r="B213" s="12">
        <f t="shared" si="35"/>
        <v>21</v>
      </c>
      <c r="C213" s="11"/>
      <c r="D213" s="11"/>
      <c r="E213" s="11"/>
      <c r="F213" s="11"/>
      <c r="G213" s="12">
        <f t="shared" si="36"/>
        <v>0</v>
      </c>
      <c r="H213" s="12">
        <f t="shared" si="37"/>
        <v>21</v>
      </c>
      <c r="I213" s="14">
        <f t="shared" si="38"/>
        <v>0</v>
      </c>
    </row>
    <row r="214">
      <c r="A214" s="11" t="s">
        <v>25</v>
      </c>
      <c r="B214" s="12">
        <f t="shared" si="35"/>
        <v>17</v>
      </c>
      <c r="C214" s="11"/>
      <c r="D214" s="11"/>
      <c r="E214" s="11"/>
      <c r="F214" s="11"/>
      <c r="G214" s="12">
        <f t="shared" si="36"/>
        <v>0</v>
      </c>
      <c r="H214" s="12">
        <f t="shared" si="37"/>
        <v>17</v>
      </c>
      <c r="I214" s="14">
        <f t="shared" si="38"/>
        <v>0</v>
      </c>
    </row>
    <row r="215">
      <c r="A215" s="11" t="s">
        <v>26</v>
      </c>
      <c r="B215" s="12">
        <f t="shared" si="35"/>
        <v>13</v>
      </c>
      <c r="C215" s="11"/>
      <c r="D215" s="11"/>
      <c r="E215" s="11"/>
      <c r="F215" s="11"/>
      <c r="G215" s="12">
        <f t="shared" si="36"/>
        <v>0</v>
      </c>
      <c r="H215" s="12">
        <f t="shared" si="37"/>
        <v>13</v>
      </c>
      <c r="I215" s="14">
        <f t="shared" si="38"/>
        <v>0</v>
      </c>
    </row>
    <row r="216">
      <c r="A216" s="11" t="s">
        <v>27</v>
      </c>
      <c r="B216" s="12">
        <f t="shared" si="35"/>
        <v>14</v>
      </c>
      <c r="C216" s="11"/>
      <c r="D216" s="11"/>
      <c r="E216" s="11"/>
      <c r="F216" s="11"/>
      <c r="G216" s="12">
        <f t="shared" si="36"/>
        <v>0</v>
      </c>
      <c r="H216" s="12">
        <f t="shared" si="37"/>
        <v>14</v>
      </c>
      <c r="I216" s="14">
        <f t="shared" si="38"/>
        <v>0</v>
      </c>
    </row>
    <row r="217">
      <c r="A217" s="11" t="s">
        <v>28</v>
      </c>
      <c r="B217" s="12">
        <f t="shared" si="35"/>
        <v>12</v>
      </c>
      <c r="C217" s="11"/>
      <c r="D217" s="11"/>
      <c r="E217" s="11"/>
      <c r="F217" s="11"/>
      <c r="G217" s="12">
        <f t="shared" si="36"/>
        <v>0</v>
      </c>
      <c r="H217" s="12">
        <f t="shared" si="37"/>
        <v>12</v>
      </c>
      <c r="I217" s="14">
        <f t="shared" si="38"/>
        <v>0</v>
      </c>
    </row>
    <row r="218">
      <c r="A218" s="11" t="s">
        <v>29</v>
      </c>
      <c r="B218" s="12">
        <f t="shared" si="35"/>
        <v>133</v>
      </c>
      <c r="C218" s="11"/>
      <c r="D218" s="11"/>
      <c r="E218" s="11"/>
      <c r="F218" s="11"/>
      <c r="G218" s="12">
        <f t="shared" si="36"/>
        <v>0</v>
      </c>
      <c r="H218" s="12">
        <f t="shared" si="37"/>
        <v>133</v>
      </c>
      <c r="I218" s="14">
        <f t="shared" si="38"/>
        <v>0</v>
      </c>
    </row>
    <row r="219">
      <c r="A219" s="11" t="s">
        <v>30</v>
      </c>
      <c r="B219" s="12">
        <f t="shared" si="35"/>
        <v>4</v>
      </c>
      <c r="C219" s="11"/>
      <c r="D219" s="11"/>
      <c r="E219" s="11"/>
      <c r="F219" s="11"/>
      <c r="G219" s="12">
        <f t="shared" si="36"/>
        <v>0</v>
      </c>
      <c r="H219" s="12">
        <f t="shared" si="37"/>
        <v>4</v>
      </c>
      <c r="I219" s="14">
        <f t="shared" si="38"/>
        <v>0</v>
      </c>
    </row>
    <row r="220">
      <c r="A220" s="18" t="s">
        <v>31</v>
      </c>
      <c r="B220" s="12">
        <f t="shared" si="35"/>
        <v>10</v>
      </c>
      <c r="C220" s="11"/>
      <c r="D220" s="11"/>
      <c r="E220" s="11"/>
      <c r="F220" s="11"/>
      <c r="G220" s="12">
        <f t="shared" si="36"/>
        <v>0</v>
      </c>
      <c r="H220" s="12">
        <f t="shared" si="37"/>
        <v>10</v>
      </c>
      <c r="I220" s="14">
        <f t="shared" si="38"/>
        <v>0</v>
      </c>
    </row>
    <row r="221">
      <c r="A221" s="18" t="s">
        <v>32</v>
      </c>
      <c r="B221" s="12">
        <f t="shared" si="35"/>
        <v>14</v>
      </c>
      <c r="C221" s="11"/>
      <c r="D221" s="11"/>
      <c r="E221" s="11"/>
      <c r="F221" s="11"/>
      <c r="G221" s="12">
        <f t="shared" si="36"/>
        <v>0</v>
      </c>
      <c r="H221" s="12">
        <f t="shared" si="37"/>
        <v>14</v>
      </c>
      <c r="I221" s="14">
        <f t="shared" si="38"/>
        <v>0</v>
      </c>
    </row>
    <row r="222">
      <c r="A222" s="19" t="s">
        <v>33</v>
      </c>
      <c r="B222" s="20">
        <f t="shared" ref="B222:I222" si="39">SUM(B199:B221)</f>
        <v>519</v>
      </c>
      <c r="C222" s="20">
        <f t="shared" si="39"/>
        <v>0</v>
      </c>
      <c r="D222" s="20">
        <f t="shared" si="39"/>
        <v>0</v>
      </c>
      <c r="E222" s="20">
        <f t="shared" si="39"/>
        <v>0</v>
      </c>
      <c r="F222" s="20">
        <f t="shared" si="39"/>
        <v>0</v>
      </c>
      <c r="G222" s="20">
        <f t="shared" si="39"/>
        <v>0</v>
      </c>
      <c r="H222" s="20">
        <f t="shared" si="39"/>
        <v>519</v>
      </c>
      <c r="I222" s="21">
        <f t="shared" si="39"/>
        <v>0</v>
      </c>
    </row>
    <row r="223">
      <c r="A223" s="22"/>
      <c r="B223" s="22"/>
      <c r="C223" s="22"/>
      <c r="D223" s="22"/>
      <c r="E223" s="22"/>
      <c r="F223" s="23" t="s">
        <v>34</v>
      </c>
      <c r="G223" s="4"/>
      <c r="H223" s="24"/>
      <c r="I223" s="25"/>
    </row>
    <row r="225">
      <c r="A225" s="1"/>
      <c r="B225" s="2" t="s">
        <v>42</v>
      </c>
      <c r="C225" s="3"/>
      <c r="D225" s="3"/>
      <c r="E225" s="3"/>
      <c r="F225" s="3"/>
      <c r="G225" s="3"/>
      <c r="H225" s="3"/>
      <c r="I225" s="4"/>
    </row>
    <row r="226">
      <c r="A226" s="5" t="s">
        <v>1</v>
      </c>
      <c r="B226" s="6" t="s">
        <v>2</v>
      </c>
      <c r="C226" s="7" t="s">
        <v>3</v>
      </c>
      <c r="D226" s="8" t="s">
        <v>4</v>
      </c>
      <c r="E226" s="5" t="s">
        <v>5</v>
      </c>
      <c r="F226" s="5" t="s">
        <v>6</v>
      </c>
      <c r="G226" s="5" t="s">
        <v>7</v>
      </c>
      <c r="H226" s="9" t="s">
        <v>8</v>
      </c>
      <c r="I226" s="10" t="s">
        <v>9</v>
      </c>
    </row>
    <row r="227">
      <c r="A227" s="11" t="s">
        <v>10</v>
      </c>
      <c r="B227" s="12">
        <f t="shared" ref="B227:B249" si="40">H199</f>
        <v>29</v>
      </c>
      <c r="C227" s="11"/>
      <c r="D227" s="11"/>
      <c r="E227" s="11"/>
      <c r="F227" s="11"/>
      <c r="G227" s="12">
        <f t="shared" ref="G227:G249" si="41">E227-F227</f>
        <v>0</v>
      </c>
      <c r="H227" s="12">
        <f t="shared" ref="H227:H249" si="42">B227-C227+D227-G227</f>
        <v>29</v>
      </c>
      <c r="I227" s="14">
        <f t="shared" ref="I227:I249" si="43">G227*6</f>
        <v>0</v>
      </c>
    </row>
    <row r="228">
      <c r="A228" s="11" t="s">
        <v>11</v>
      </c>
      <c r="B228" s="12">
        <f t="shared" si="40"/>
        <v>25</v>
      </c>
      <c r="C228" s="11"/>
      <c r="D228" s="11"/>
      <c r="E228" s="11"/>
      <c r="F228" s="11"/>
      <c r="G228" s="12">
        <f t="shared" si="41"/>
        <v>0</v>
      </c>
      <c r="H228" s="12">
        <f t="shared" si="42"/>
        <v>25</v>
      </c>
      <c r="I228" s="14">
        <f t="shared" si="43"/>
        <v>0</v>
      </c>
    </row>
    <row r="229">
      <c r="A229" s="11" t="s">
        <v>12</v>
      </c>
      <c r="B229" s="12">
        <f t="shared" si="40"/>
        <v>12</v>
      </c>
      <c r="C229" s="11"/>
      <c r="D229" s="11"/>
      <c r="E229" s="11"/>
      <c r="F229" s="11"/>
      <c r="G229" s="12">
        <f t="shared" si="41"/>
        <v>0</v>
      </c>
      <c r="H229" s="12">
        <f t="shared" si="42"/>
        <v>12</v>
      </c>
      <c r="I229" s="14">
        <f t="shared" si="43"/>
        <v>0</v>
      </c>
    </row>
    <row r="230">
      <c r="A230" s="11" t="s">
        <v>13</v>
      </c>
      <c r="B230" s="12">
        <f t="shared" si="40"/>
        <v>26</v>
      </c>
      <c r="C230" s="11"/>
      <c r="D230" s="11"/>
      <c r="E230" s="11"/>
      <c r="F230" s="11"/>
      <c r="G230" s="12">
        <f t="shared" si="41"/>
        <v>0</v>
      </c>
      <c r="H230" s="12">
        <f t="shared" si="42"/>
        <v>26</v>
      </c>
      <c r="I230" s="14">
        <f t="shared" si="43"/>
        <v>0</v>
      </c>
    </row>
    <row r="231">
      <c r="A231" s="11" t="s">
        <v>14</v>
      </c>
      <c r="B231" s="12">
        <f t="shared" si="40"/>
        <v>20</v>
      </c>
      <c r="C231" s="11"/>
      <c r="D231" s="11"/>
      <c r="E231" s="11"/>
      <c r="F231" s="11"/>
      <c r="G231" s="12">
        <f t="shared" si="41"/>
        <v>0</v>
      </c>
      <c r="H231" s="12">
        <f t="shared" si="42"/>
        <v>20</v>
      </c>
      <c r="I231" s="14">
        <f t="shared" si="43"/>
        <v>0</v>
      </c>
    </row>
    <row r="232">
      <c r="A232" s="11" t="s">
        <v>15</v>
      </c>
      <c r="B232" s="12">
        <f t="shared" si="40"/>
        <v>26</v>
      </c>
      <c r="C232" s="11"/>
      <c r="D232" s="11"/>
      <c r="E232" s="11"/>
      <c r="F232" s="11"/>
      <c r="G232" s="12">
        <f t="shared" si="41"/>
        <v>0</v>
      </c>
      <c r="H232" s="12">
        <f t="shared" si="42"/>
        <v>26</v>
      </c>
      <c r="I232" s="14">
        <f t="shared" si="43"/>
        <v>0</v>
      </c>
    </row>
    <row r="233">
      <c r="A233" s="11" t="s">
        <v>16</v>
      </c>
      <c r="B233" s="12">
        <f t="shared" si="40"/>
        <v>10</v>
      </c>
      <c r="C233" s="11"/>
      <c r="D233" s="11"/>
      <c r="E233" s="11"/>
      <c r="F233" s="11"/>
      <c r="G233" s="12">
        <f t="shared" si="41"/>
        <v>0</v>
      </c>
      <c r="H233" s="12">
        <f t="shared" si="42"/>
        <v>10</v>
      </c>
      <c r="I233" s="14">
        <f t="shared" si="43"/>
        <v>0</v>
      </c>
    </row>
    <row r="234">
      <c r="A234" s="11" t="s">
        <v>17</v>
      </c>
      <c r="B234" s="12">
        <f t="shared" si="40"/>
        <v>11</v>
      </c>
      <c r="C234" s="11"/>
      <c r="D234" s="11"/>
      <c r="E234" s="11"/>
      <c r="F234" s="11"/>
      <c r="G234" s="12">
        <f t="shared" si="41"/>
        <v>0</v>
      </c>
      <c r="H234" s="12">
        <f t="shared" si="42"/>
        <v>11</v>
      </c>
      <c r="I234" s="14">
        <f t="shared" si="43"/>
        <v>0</v>
      </c>
    </row>
    <row r="235">
      <c r="A235" s="11" t="s">
        <v>18</v>
      </c>
      <c r="B235" s="12">
        <f t="shared" si="40"/>
        <v>14</v>
      </c>
      <c r="C235" s="11"/>
      <c r="D235" s="11"/>
      <c r="E235" s="11"/>
      <c r="F235" s="11"/>
      <c r="G235" s="12">
        <f t="shared" si="41"/>
        <v>0</v>
      </c>
      <c r="H235" s="12">
        <f t="shared" si="42"/>
        <v>14</v>
      </c>
      <c r="I235" s="14">
        <f t="shared" si="43"/>
        <v>0</v>
      </c>
    </row>
    <row r="236">
      <c r="A236" s="11" t="s">
        <v>19</v>
      </c>
      <c r="B236" s="12">
        <f t="shared" si="40"/>
        <v>17</v>
      </c>
      <c r="C236" s="11"/>
      <c r="D236" s="11"/>
      <c r="E236" s="11"/>
      <c r="F236" s="11"/>
      <c r="G236" s="12">
        <f t="shared" si="41"/>
        <v>0</v>
      </c>
      <c r="H236" s="12">
        <f t="shared" si="42"/>
        <v>17</v>
      </c>
      <c r="I236" s="14">
        <f t="shared" si="43"/>
        <v>0</v>
      </c>
    </row>
    <row r="237">
      <c r="A237" s="11" t="s">
        <v>20</v>
      </c>
      <c r="B237" s="12">
        <f t="shared" si="40"/>
        <v>30</v>
      </c>
      <c r="C237" s="11"/>
      <c r="D237" s="11"/>
      <c r="E237" s="11"/>
      <c r="F237" s="11"/>
      <c r="G237" s="12">
        <f t="shared" si="41"/>
        <v>0</v>
      </c>
      <c r="H237" s="12">
        <f t="shared" si="42"/>
        <v>30</v>
      </c>
      <c r="I237" s="14">
        <f t="shared" si="43"/>
        <v>0</v>
      </c>
    </row>
    <row r="238">
      <c r="A238" s="11" t="s">
        <v>21</v>
      </c>
      <c r="B238" s="12">
        <f t="shared" si="40"/>
        <v>6</v>
      </c>
      <c r="C238" s="11"/>
      <c r="D238" s="11"/>
      <c r="E238" s="11"/>
      <c r="F238" s="11"/>
      <c r="G238" s="12">
        <f t="shared" si="41"/>
        <v>0</v>
      </c>
      <c r="H238" s="12">
        <f t="shared" si="42"/>
        <v>6</v>
      </c>
      <c r="I238" s="14">
        <f t="shared" si="43"/>
        <v>0</v>
      </c>
    </row>
    <row r="239">
      <c r="A239" s="11" t="s">
        <v>22</v>
      </c>
      <c r="B239" s="12">
        <f t="shared" si="40"/>
        <v>29</v>
      </c>
      <c r="C239" s="11"/>
      <c r="D239" s="11"/>
      <c r="E239" s="11"/>
      <c r="F239" s="11"/>
      <c r="G239" s="12">
        <f t="shared" si="41"/>
        <v>0</v>
      </c>
      <c r="H239" s="12">
        <f t="shared" si="42"/>
        <v>29</v>
      </c>
      <c r="I239" s="14">
        <f t="shared" si="43"/>
        <v>0</v>
      </c>
    </row>
    <row r="240">
      <c r="A240" s="11" t="s">
        <v>23</v>
      </c>
      <c r="B240" s="12">
        <f t="shared" si="40"/>
        <v>26</v>
      </c>
      <c r="C240" s="11"/>
      <c r="D240" s="11"/>
      <c r="E240" s="11"/>
      <c r="F240" s="11"/>
      <c r="G240" s="12">
        <f t="shared" si="41"/>
        <v>0</v>
      </c>
      <c r="H240" s="12">
        <f t="shared" si="42"/>
        <v>26</v>
      </c>
      <c r="I240" s="14">
        <f t="shared" si="43"/>
        <v>0</v>
      </c>
    </row>
    <row r="241">
      <c r="A241" s="11" t="s">
        <v>24</v>
      </c>
      <c r="B241" s="12">
        <f t="shared" si="40"/>
        <v>21</v>
      </c>
      <c r="C241" s="11"/>
      <c r="D241" s="11"/>
      <c r="E241" s="11"/>
      <c r="F241" s="11"/>
      <c r="G241" s="12">
        <f t="shared" si="41"/>
        <v>0</v>
      </c>
      <c r="H241" s="12">
        <f t="shared" si="42"/>
        <v>21</v>
      </c>
      <c r="I241" s="14">
        <f t="shared" si="43"/>
        <v>0</v>
      </c>
    </row>
    <row r="242">
      <c r="A242" s="11" t="s">
        <v>25</v>
      </c>
      <c r="B242" s="12">
        <f t="shared" si="40"/>
        <v>17</v>
      </c>
      <c r="C242" s="11"/>
      <c r="D242" s="11"/>
      <c r="E242" s="11"/>
      <c r="F242" s="11"/>
      <c r="G242" s="12">
        <f t="shared" si="41"/>
        <v>0</v>
      </c>
      <c r="H242" s="12">
        <f t="shared" si="42"/>
        <v>17</v>
      </c>
      <c r="I242" s="14">
        <f t="shared" si="43"/>
        <v>0</v>
      </c>
    </row>
    <row r="243">
      <c r="A243" s="11" t="s">
        <v>26</v>
      </c>
      <c r="B243" s="12">
        <f t="shared" si="40"/>
        <v>13</v>
      </c>
      <c r="C243" s="11"/>
      <c r="D243" s="11"/>
      <c r="E243" s="11"/>
      <c r="F243" s="11"/>
      <c r="G243" s="12">
        <f t="shared" si="41"/>
        <v>0</v>
      </c>
      <c r="H243" s="12">
        <f t="shared" si="42"/>
        <v>13</v>
      </c>
      <c r="I243" s="14">
        <f t="shared" si="43"/>
        <v>0</v>
      </c>
    </row>
    <row r="244">
      <c r="A244" s="11" t="s">
        <v>27</v>
      </c>
      <c r="B244" s="12">
        <f t="shared" si="40"/>
        <v>14</v>
      </c>
      <c r="C244" s="11"/>
      <c r="D244" s="11"/>
      <c r="E244" s="11"/>
      <c r="F244" s="11"/>
      <c r="G244" s="12">
        <f t="shared" si="41"/>
        <v>0</v>
      </c>
      <c r="H244" s="12">
        <f t="shared" si="42"/>
        <v>14</v>
      </c>
      <c r="I244" s="14">
        <f t="shared" si="43"/>
        <v>0</v>
      </c>
    </row>
    <row r="245">
      <c r="A245" s="11" t="s">
        <v>28</v>
      </c>
      <c r="B245" s="12">
        <f t="shared" si="40"/>
        <v>12</v>
      </c>
      <c r="C245" s="11"/>
      <c r="D245" s="11"/>
      <c r="E245" s="11"/>
      <c r="F245" s="11"/>
      <c r="G245" s="12">
        <f t="shared" si="41"/>
        <v>0</v>
      </c>
      <c r="H245" s="12">
        <f t="shared" si="42"/>
        <v>12</v>
      </c>
      <c r="I245" s="14">
        <f t="shared" si="43"/>
        <v>0</v>
      </c>
    </row>
    <row r="246">
      <c r="A246" s="11" t="s">
        <v>29</v>
      </c>
      <c r="B246" s="12">
        <f t="shared" si="40"/>
        <v>133</v>
      </c>
      <c r="C246" s="11"/>
      <c r="D246" s="11"/>
      <c r="E246" s="11"/>
      <c r="F246" s="11"/>
      <c r="G246" s="12">
        <f t="shared" si="41"/>
        <v>0</v>
      </c>
      <c r="H246" s="12">
        <f t="shared" si="42"/>
        <v>133</v>
      </c>
      <c r="I246" s="14">
        <f t="shared" si="43"/>
        <v>0</v>
      </c>
    </row>
    <row r="247">
      <c r="A247" s="11" t="s">
        <v>30</v>
      </c>
      <c r="B247" s="12">
        <f t="shared" si="40"/>
        <v>4</v>
      </c>
      <c r="C247" s="11"/>
      <c r="D247" s="11"/>
      <c r="E247" s="11"/>
      <c r="F247" s="11"/>
      <c r="G247" s="12">
        <f t="shared" si="41"/>
        <v>0</v>
      </c>
      <c r="H247" s="12">
        <f t="shared" si="42"/>
        <v>4</v>
      </c>
      <c r="I247" s="14">
        <f t="shared" si="43"/>
        <v>0</v>
      </c>
    </row>
    <row r="248">
      <c r="A248" s="18" t="s">
        <v>31</v>
      </c>
      <c r="B248" s="12">
        <f t="shared" si="40"/>
        <v>10</v>
      </c>
      <c r="C248" s="11"/>
      <c r="D248" s="11"/>
      <c r="E248" s="11"/>
      <c r="F248" s="11"/>
      <c r="G248" s="12">
        <f t="shared" si="41"/>
        <v>0</v>
      </c>
      <c r="H248" s="12">
        <f t="shared" si="42"/>
        <v>10</v>
      </c>
      <c r="I248" s="14">
        <f t="shared" si="43"/>
        <v>0</v>
      </c>
    </row>
    <row r="249">
      <c r="A249" s="18" t="s">
        <v>32</v>
      </c>
      <c r="B249" s="12">
        <f t="shared" si="40"/>
        <v>14</v>
      </c>
      <c r="C249" s="11"/>
      <c r="D249" s="11"/>
      <c r="E249" s="11"/>
      <c r="F249" s="11"/>
      <c r="G249" s="12">
        <f t="shared" si="41"/>
        <v>0</v>
      </c>
      <c r="H249" s="12">
        <f t="shared" si="42"/>
        <v>14</v>
      </c>
      <c r="I249" s="14">
        <f t="shared" si="43"/>
        <v>0</v>
      </c>
    </row>
    <row r="250">
      <c r="A250" s="19" t="s">
        <v>33</v>
      </c>
      <c r="B250" s="20">
        <f t="shared" ref="B250:I250" si="44">SUM(B227:B249)</f>
        <v>519</v>
      </c>
      <c r="C250" s="20">
        <f t="shared" si="44"/>
        <v>0</v>
      </c>
      <c r="D250" s="20">
        <f t="shared" si="44"/>
        <v>0</v>
      </c>
      <c r="E250" s="20">
        <f t="shared" si="44"/>
        <v>0</v>
      </c>
      <c r="F250" s="20">
        <f t="shared" si="44"/>
        <v>0</v>
      </c>
      <c r="G250" s="20">
        <f t="shared" si="44"/>
        <v>0</v>
      </c>
      <c r="H250" s="20">
        <f t="shared" si="44"/>
        <v>519</v>
      </c>
      <c r="I250" s="21">
        <f t="shared" si="44"/>
        <v>0</v>
      </c>
    </row>
    <row r="251">
      <c r="A251" s="22"/>
      <c r="B251" s="22"/>
      <c r="C251" s="22"/>
      <c r="D251" s="22"/>
      <c r="E251" s="22"/>
      <c r="F251" s="23" t="s">
        <v>34</v>
      </c>
      <c r="G251" s="4"/>
      <c r="H251" s="24"/>
      <c r="I251" s="25"/>
    </row>
    <row r="253">
      <c r="A253" s="1"/>
      <c r="B253" s="2" t="s">
        <v>43</v>
      </c>
      <c r="C253" s="3"/>
      <c r="D253" s="3"/>
      <c r="E253" s="3"/>
      <c r="F253" s="3"/>
      <c r="G253" s="3"/>
      <c r="H253" s="3"/>
      <c r="I253" s="4"/>
    </row>
    <row r="254">
      <c r="A254" s="5" t="s">
        <v>1</v>
      </c>
      <c r="B254" s="9" t="s">
        <v>2</v>
      </c>
      <c r="C254" s="7" t="s">
        <v>3</v>
      </c>
      <c r="D254" s="8" t="s">
        <v>4</v>
      </c>
      <c r="E254" s="5" t="s">
        <v>5</v>
      </c>
      <c r="F254" s="5" t="s">
        <v>6</v>
      </c>
      <c r="G254" s="5" t="s">
        <v>7</v>
      </c>
      <c r="H254" s="9" t="s">
        <v>8</v>
      </c>
      <c r="I254" s="10" t="s">
        <v>9</v>
      </c>
    </row>
    <row r="255">
      <c r="A255" s="11" t="s">
        <v>10</v>
      </c>
      <c r="B255" s="12">
        <f t="shared" ref="B255:B277" si="45">H227</f>
        <v>29</v>
      </c>
      <c r="C255" s="11"/>
      <c r="D255" s="11"/>
      <c r="E255" s="11"/>
      <c r="F255" s="11"/>
      <c r="G255" s="12">
        <f t="shared" ref="G255:G277" si="46">E255-F255</f>
        <v>0</v>
      </c>
      <c r="H255" s="12">
        <f t="shared" ref="H255:H277" si="47">B255-C255+D255-G255</f>
        <v>29</v>
      </c>
      <c r="I255" s="14">
        <f t="shared" ref="I255:I277" si="48">G255*6</f>
        <v>0</v>
      </c>
    </row>
    <row r="256">
      <c r="A256" s="11" t="s">
        <v>11</v>
      </c>
      <c r="B256" s="12">
        <f t="shared" si="45"/>
        <v>25</v>
      </c>
      <c r="C256" s="11"/>
      <c r="D256" s="11"/>
      <c r="E256" s="11"/>
      <c r="F256" s="11"/>
      <c r="G256" s="12">
        <f t="shared" si="46"/>
        <v>0</v>
      </c>
      <c r="H256" s="12">
        <f t="shared" si="47"/>
        <v>25</v>
      </c>
      <c r="I256" s="14">
        <f t="shared" si="48"/>
        <v>0</v>
      </c>
    </row>
    <row r="257">
      <c r="A257" s="11" t="s">
        <v>12</v>
      </c>
      <c r="B257" s="12">
        <f t="shared" si="45"/>
        <v>12</v>
      </c>
      <c r="C257" s="11"/>
      <c r="D257" s="11"/>
      <c r="E257" s="11"/>
      <c r="F257" s="11"/>
      <c r="G257" s="12">
        <f t="shared" si="46"/>
        <v>0</v>
      </c>
      <c r="H257" s="12">
        <f t="shared" si="47"/>
        <v>12</v>
      </c>
      <c r="I257" s="14">
        <f t="shared" si="48"/>
        <v>0</v>
      </c>
    </row>
    <row r="258">
      <c r="A258" s="11" t="s">
        <v>13</v>
      </c>
      <c r="B258" s="12">
        <f t="shared" si="45"/>
        <v>26</v>
      </c>
      <c r="C258" s="11"/>
      <c r="D258" s="11"/>
      <c r="E258" s="11"/>
      <c r="F258" s="11"/>
      <c r="G258" s="12">
        <f t="shared" si="46"/>
        <v>0</v>
      </c>
      <c r="H258" s="12">
        <f t="shared" si="47"/>
        <v>26</v>
      </c>
      <c r="I258" s="14">
        <f t="shared" si="48"/>
        <v>0</v>
      </c>
    </row>
    <row r="259">
      <c r="A259" s="11" t="s">
        <v>14</v>
      </c>
      <c r="B259" s="12">
        <f t="shared" si="45"/>
        <v>20</v>
      </c>
      <c r="C259" s="11"/>
      <c r="D259" s="11"/>
      <c r="E259" s="11"/>
      <c r="F259" s="11"/>
      <c r="G259" s="12">
        <f t="shared" si="46"/>
        <v>0</v>
      </c>
      <c r="H259" s="12">
        <f t="shared" si="47"/>
        <v>20</v>
      </c>
      <c r="I259" s="14">
        <f t="shared" si="48"/>
        <v>0</v>
      </c>
    </row>
    <row r="260">
      <c r="A260" s="11" t="s">
        <v>15</v>
      </c>
      <c r="B260" s="12">
        <f t="shared" si="45"/>
        <v>26</v>
      </c>
      <c r="C260" s="11"/>
      <c r="D260" s="11"/>
      <c r="E260" s="11"/>
      <c r="F260" s="11"/>
      <c r="G260" s="12">
        <f t="shared" si="46"/>
        <v>0</v>
      </c>
      <c r="H260" s="12">
        <f t="shared" si="47"/>
        <v>26</v>
      </c>
      <c r="I260" s="14">
        <f t="shared" si="48"/>
        <v>0</v>
      </c>
    </row>
    <row r="261">
      <c r="A261" s="11" t="s">
        <v>16</v>
      </c>
      <c r="B261" s="12">
        <f t="shared" si="45"/>
        <v>10</v>
      </c>
      <c r="C261" s="11"/>
      <c r="D261" s="11"/>
      <c r="E261" s="11"/>
      <c r="F261" s="11"/>
      <c r="G261" s="12">
        <f t="shared" si="46"/>
        <v>0</v>
      </c>
      <c r="H261" s="12">
        <f t="shared" si="47"/>
        <v>10</v>
      </c>
      <c r="I261" s="14">
        <f t="shared" si="48"/>
        <v>0</v>
      </c>
    </row>
    <row r="262">
      <c r="A262" s="11" t="s">
        <v>17</v>
      </c>
      <c r="B262" s="12">
        <f t="shared" si="45"/>
        <v>11</v>
      </c>
      <c r="C262" s="11"/>
      <c r="D262" s="11"/>
      <c r="E262" s="11"/>
      <c r="F262" s="11"/>
      <c r="G262" s="12">
        <f t="shared" si="46"/>
        <v>0</v>
      </c>
      <c r="H262" s="12">
        <f t="shared" si="47"/>
        <v>11</v>
      </c>
      <c r="I262" s="14">
        <f t="shared" si="48"/>
        <v>0</v>
      </c>
    </row>
    <row r="263">
      <c r="A263" s="11" t="s">
        <v>18</v>
      </c>
      <c r="B263" s="12">
        <f t="shared" si="45"/>
        <v>14</v>
      </c>
      <c r="C263" s="11"/>
      <c r="D263" s="11"/>
      <c r="E263" s="11"/>
      <c r="F263" s="11"/>
      <c r="G263" s="12">
        <f t="shared" si="46"/>
        <v>0</v>
      </c>
      <c r="H263" s="12">
        <f t="shared" si="47"/>
        <v>14</v>
      </c>
      <c r="I263" s="14">
        <f t="shared" si="48"/>
        <v>0</v>
      </c>
    </row>
    <row r="264">
      <c r="A264" s="11" t="s">
        <v>19</v>
      </c>
      <c r="B264" s="12">
        <f t="shared" si="45"/>
        <v>17</v>
      </c>
      <c r="C264" s="11"/>
      <c r="D264" s="11"/>
      <c r="E264" s="11"/>
      <c r="F264" s="11"/>
      <c r="G264" s="12">
        <f t="shared" si="46"/>
        <v>0</v>
      </c>
      <c r="H264" s="12">
        <f t="shared" si="47"/>
        <v>17</v>
      </c>
      <c r="I264" s="14">
        <f t="shared" si="48"/>
        <v>0</v>
      </c>
    </row>
    <row r="265">
      <c r="A265" s="11" t="s">
        <v>20</v>
      </c>
      <c r="B265" s="12">
        <f t="shared" si="45"/>
        <v>30</v>
      </c>
      <c r="C265" s="11"/>
      <c r="D265" s="11"/>
      <c r="E265" s="11"/>
      <c r="F265" s="11"/>
      <c r="G265" s="12">
        <f t="shared" si="46"/>
        <v>0</v>
      </c>
      <c r="H265" s="12">
        <f t="shared" si="47"/>
        <v>30</v>
      </c>
      <c r="I265" s="14">
        <f t="shared" si="48"/>
        <v>0</v>
      </c>
    </row>
    <row r="266">
      <c r="A266" s="11" t="s">
        <v>21</v>
      </c>
      <c r="B266" s="12">
        <f t="shared" si="45"/>
        <v>6</v>
      </c>
      <c r="C266" s="11"/>
      <c r="D266" s="11"/>
      <c r="E266" s="11"/>
      <c r="F266" s="11"/>
      <c r="G266" s="12">
        <f t="shared" si="46"/>
        <v>0</v>
      </c>
      <c r="H266" s="12">
        <f t="shared" si="47"/>
        <v>6</v>
      </c>
      <c r="I266" s="14">
        <f t="shared" si="48"/>
        <v>0</v>
      </c>
    </row>
    <row r="267">
      <c r="A267" s="11" t="s">
        <v>22</v>
      </c>
      <c r="B267" s="12">
        <f t="shared" si="45"/>
        <v>29</v>
      </c>
      <c r="C267" s="11"/>
      <c r="D267" s="11"/>
      <c r="E267" s="11"/>
      <c r="F267" s="11"/>
      <c r="G267" s="12">
        <f t="shared" si="46"/>
        <v>0</v>
      </c>
      <c r="H267" s="12">
        <f t="shared" si="47"/>
        <v>29</v>
      </c>
      <c r="I267" s="14">
        <f t="shared" si="48"/>
        <v>0</v>
      </c>
    </row>
    <row r="268">
      <c r="A268" s="11" t="s">
        <v>23</v>
      </c>
      <c r="B268" s="12">
        <f t="shared" si="45"/>
        <v>26</v>
      </c>
      <c r="C268" s="11"/>
      <c r="D268" s="11"/>
      <c r="E268" s="11"/>
      <c r="F268" s="11"/>
      <c r="G268" s="12">
        <f t="shared" si="46"/>
        <v>0</v>
      </c>
      <c r="H268" s="12">
        <f t="shared" si="47"/>
        <v>26</v>
      </c>
      <c r="I268" s="14">
        <f t="shared" si="48"/>
        <v>0</v>
      </c>
    </row>
    <row r="269">
      <c r="A269" s="11" t="s">
        <v>24</v>
      </c>
      <c r="B269" s="12">
        <f t="shared" si="45"/>
        <v>21</v>
      </c>
      <c r="C269" s="11"/>
      <c r="D269" s="11"/>
      <c r="E269" s="11"/>
      <c r="F269" s="11"/>
      <c r="G269" s="12">
        <f t="shared" si="46"/>
        <v>0</v>
      </c>
      <c r="H269" s="12">
        <f t="shared" si="47"/>
        <v>21</v>
      </c>
      <c r="I269" s="14">
        <f t="shared" si="48"/>
        <v>0</v>
      </c>
    </row>
    <row r="270">
      <c r="A270" s="11" t="s">
        <v>25</v>
      </c>
      <c r="B270" s="12">
        <f t="shared" si="45"/>
        <v>17</v>
      </c>
      <c r="C270" s="11"/>
      <c r="D270" s="11"/>
      <c r="E270" s="11"/>
      <c r="F270" s="11"/>
      <c r="G270" s="12">
        <f t="shared" si="46"/>
        <v>0</v>
      </c>
      <c r="H270" s="12">
        <f t="shared" si="47"/>
        <v>17</v>
      </c>
      <c r="I270" s="14">
        <f t="shared" si="48"/>
        <v>0</v>
      </c>
    </row>
    <row r="271">
      <c r="A271" s="11" t="s">
        <v>26</v>
      </c>
      <c r="B271" s="12">
        <f t="shared" si="45"/>
        <v>13</v>
      </c>
      <c r="C271" s="11"/>
      <c r="D271" s="11"/>
      <c r="E271" s="11"/>
      <c r="F271" s="11"/>
      <c r="G271" s="12">
        <f t="shared" si="46"/>
        <v>0</v>
      </c>
      <c r="H271" s="12">
        <f t="shared" si="47"/>
        <v>13</v>
      </c>
      <c r="I271" s="14">
        <f t="shared" si="48"/>
        <v>0</v>
      </c>
    </row>
    <row r="272">
      <c r="A272" s="11" t="s">
        <v>27</v>
      </c>
      <c r="B272" s="12">
        <f t="shared" si="45"/>
        <v>14</v>
      </c>
      <c r="C272" s="11"/>
      <c r="D272" s="11"/>
      <c r="E272" s="11"/>
      <c r="F272" s="11"/>
      <c r="G272" s="12">
        <f t="shared" si="46"/>
        <v>0</v>
      </c>
      <c r="H272" s="12">
        <f t="shared" si="47"/>
        <v>14</v>
      </c>
      <c r="I272" s="14">
        <f t="shared" si="48"/>
        <v>0</v>
      </c>
    </row>
    <row r="273">
      <c r="A273" s="11" t="s">
        <v>28</v>
      </c>
      <c r="B273" s="12">
        <f t="shared" si="45"/>
        <v>12</v>
      </c>
      <c r="C273" s="11"/>
      <c r="D273" s="11"/>
      <c r="E273" s="11"/>
      <c r="F273" s="11"/>
      <c r="G273" s="12">
        <f t="shared" si="46"/>
        <v>0</v>
      </c>
      <c r="H273" s="12">
        <f t="shared" si="47"/>
        <v>12</v>
      </c>
      <c r="I273" s="14">
        <f t="shared" si="48"/>
        <v>0</v>
      </c>
    </row>
    <row r="274">
      <c r="A274" s="11" t="s">
        <v>29</v>
      </c>
      <c r="B274" s="12">
        <f t="shared" si="45"/>
        <v>133</v>
      </c>
      <c r="C274" s="11"/>
      <c r="D274" s="11"/>
      <c r="E274" s="11"/>
      <c r="F274" s="11"/>
      <c r="G274" s="12">
        <f t="shared" si="46"/>
        <v>0</v>
      </c>
      <c r="H274" s="12">
        <f t="shared" si="47"/>
        <v>133</v>
      </c>
      <c r="I274" s="14">
        <f t="shared" si="48"/>
        <v>0</v>
      </c>
    </row>
    <row r="275">
      <c r="A275" s="11" t="s">
        <v>30</v>
      </c>
      <c r="B275" s="12">
        <f t="shared" si="45"/>
        <v>4</v>
      </c>
      <c r="C275" s="11"/>
      <c r="D275" s="11"/>
      <c r="E275" s="11"/>
      <c r="F275" s="11"/>
      <c r="G275" s="12">
        <f t="shared" si="46"/>
        <v>0</v>
      </c>
      <c r="H275" s="12">
        <f t="shared" si="47"/>
        <v>4</v>
      </c>
      <c r="I275" s="14">
        <f t="shared" si="48"/>
        <v>0</v>
      </c>
    </row>
    <row r="276">
      <c r="A276" s="18" t="s">
        <v>31</v>
      </c>
      <c r="B276" s="12">
        <f t="shared" si="45"/>
        <v>10</v>
      </c>
      <c r="C276" s="11"/>
      <c r="D276" s="11"/>
      <c r="E276" s="11"/>
      <c r="F276" s="11"/>
      <c r="G276" s="12">
        <f t="shared" si="46"/>
        <v>0</v>
      </c>
      <c r="H276" s="12">
        <f t="shared" si="47"/>
        <v>10</v>
      </c>
      <c r="I276" s="14">
        <f t="shared" si="48"/>
        <v>0</v>
      </c>
    </row>
    <row r="277">
      <c r="A277" s="18" t="s">
        <v>32</v>
      </c>
      <c r="B277" s="12">
        <f t="shared" si="45"/>
        <v>14</v>
      </c>
      <c r="C277" s="11"/>
      <c r="D277" s="11"/>
      <c r="E277" s="11"/>
      <c r="F277" s="11"/>
      <c r="G277" s="12">
        <f t="shared" si="46"/>
        <v>0</v>
      </c>
      <c r="H277" s="12">
        <f t="shared" si="47"/>
        <v>14</v>
      </c>
      <c r="I277" s="14">
        <f t="shared" si="48"/>
        <v>0</v>
      </c>
    </row>
    <row r="278">
      <c r="A278" s="19" t="s">
        <v>33</v>
      </c>
      <c r="B278" s="20">
        <f t="shared" ref="B278:I278" si="49">SUM(B255:B277)</f>
        <v>519</v>
      </c>
      <c r="C278" s="20">
        <f t="shared" si="49"/>
        <v>0</v>
      </c>
      <c r="D278" s="20">
        <f t="shared" si="49"/>
        <v>0</v>
      </c>
      <c r="E278" s="20">
        <f t="shared" si="49"/>
        <v>0</v>
      </c>
      <c r="F278" s="20">
        <f t="shared" si="49"/>
        <v>0</v>
      </c>
      <c r="G278" s="20">
        <f t="shared" si="49"/>
        <v>0</v>
      </c>
      <c r="H278" s="20">
        <f t="shared" si="49"/>
        <v>519</v>
      </c>
      <c r="I278" s="21">
        <f t="shared" si="49"/>
        <v>0</v>
      </c>
    </row>
    <row r="279">
      <c r="A279" s="22"/>
      <c r="B279" s="22"/>
      <c r="C279" s="22"/>
      <c r="D279" s="22"/>
      <c r="E279" s="22"/>
      <c r="F279" s="23" t="s">
        <v>34</v>
      </c>
      <c r="G279" s="4"/>
      <c r="H279" s="24"/>
      <c r="I279" s="25"/>
    </row>
  </sheetData>
  <mergeCells count="20">
    <mergeCell ref="B1:I1"/>
    <mergeCell ref="F27:G27"/>
    <mergeCell ref="B29:I29"/>
    <mergeCell ref="F55:G55"/>
    <mergeCell ref="B57:I57"/>
    <mergeCell ref="F83:G83"/>
    <mergeCell ref="B85:I85"/>
    <mergeCell ref="F195:G195"/>
    <mergeCell ref="F223:G223"/>
    <mergeCell ref="B225:I225"/>
    <mergeCell ref="F251:G251"/>
    <mergeCell ref="B253:I253"/>
    <mergeCell ref="F279:G279"/>
    <mergeCell ref="F111:G111"/>
    <mergeCell ref="B113:I113"/>
    <mergeCell ref="F139:G139"/>
    <mergeCell ref="B141:I141"/>
    <mergeCell ref="F167:G167"/>
    <mergeCell ref="B169:I169"/>
    <mergeCell ref="B197:I197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17.25"/>
  </cols>
  <sheetData>
    <row r="1">
      <c r="A1" s="1"/>
      <c r="B1" s="2" t="s">
        <v>44</v>
      </c>
      <c r="C1" s="3"/>
      <c r="D1" s="3"/>
      <c r="E1" s="3"/>
      <c r="F1" s="3"/>
      <c r="G1" s="3"/>
      <c r="H1" s="3"/>
      <c r="I1" s="4"/>
    </row>
    <row r="2">
      <c r="A2" s="5" t="s">
        <v>1</v>
      </c>
      <c r="B2" s="9" t="s">
        <v>2</v>
      </c>
      <c r="C2" s="7" t="s">
        <v>3</v>
      </c>
      <c r="D2" s="8" t="s">
        <v>4</v>
      </c>
      <c r="E2" s="5" t="s">
        <v>5</v>
      </c>
      <c r="F2" s="5" t="s">
        <v>6</v>
      </c>
      <c r="G2" s="5" t="s">
        <v>7</v>
      </c>
      <c r="H2" s="9" t="s">
        <v>8</v>
      </c>
      <c r="I2" s="10" t="s">
        <v>9</v>
      </c>
    </row>
    <row r="3">
      <c r="A3" s="11" t="s">
        <v>10</v>
      </c>
      <c r="B3" s="12">
        <f>'MARÇO26'!H576</f>
        <v>36</v>
      </c>
      <c r="C3" s="13">
        <v>1.0</v>
      </c>
      <c r="D3" s="11"/>
      <c r="E3" s="13">
        <v>6.0</v>
      </c>
      <c r="F3" s="13">
        <v>0.0</v>
      </c>
      <c r="G3" s="12">
        <f t="shared" ref="G3:G25" si="1">E3-F3</f>
        <v>6</v>
      </c>
      <c r="H3" s="12">
        <f t="shared" ref="H3:H25" si="2">B3-C3+D3-G3</f>
        <v>29</v>
      </c>
      <c r="I3" s="14">
        <f t="shared" ref="I3:I25" si="3">G3*6</f>
        <v>36</v>
      </c>
    </row>
    <row r="4">
      <c r="A4" s="11" t="s">
        <v>11</v>
      </c>
      <c r="B4" s="12">
        <f>'MARÇO26'!H577</f>
        <v>27</v>
      </c>
      <c r="C4" s="15">
        <v>2.0</v>
      </c>
      <c r="D4" s="11"/>
      <c r="E4" s="13">
        <v>4.0</v>
      </c>
      <c r="F4" s="13">
        <v>1.0</v>
      </c>
      <c r="G4" s="12">
        <f t="shared" si="1"/>
        <v>3</v>
      </c>
      <c r="H4" s="12">
        <f t="shared" si="2"/>
        <v>22</v>
      </c>
      <c r="I4" s="14">
        <f t="shared" si="3"/>
        <v>18</v>
      </c>
    </row>
    <row r="5">
      <c r="A5" s="11" t="s">
        <v>12</v>
      </c>
      <c r="B5" s="12">
        <f>'MARÇO26'!H578</f>
        <v>26</v>
      </c>
      <c r="C5" s="11"/>
      <c r="D5" s="11"/>
      <c r="E5" s="13">
        <v>6.0</v>
      </c>
      <c r="F5" s="13">
        <v>2.0</v>
      </c>
      <c r="G5" s="12">
        <f t="shared" si="1"/>
        <v>4</v>
      </c>
      <c r="H5" s="12">
        <f t="shared" si="2"/>
        <v>22</v>
      </c>
      <c r="I5" s="14">
        <f t="shared" si="3"/>
        <v>24</v>
      </c>
    </row>
    <row r="6">
      <c r="A6" s="11" t="s">
        <v>13</v>
      </c>
      <c r="B6" s="12">
        <f>'MARÇO26'!H579</f>
        <v>33</v>
      </c>
      <c r="C6" s="13">
        <v>1.0</v>
      </c>
      <c r="D6" s="13"/>
      <c r="E6" s="13">
        <v>8.0</v>
      </c>
      <c r="F6" s="13">
        <v>2.0</v>
      </c>
      <c r="G6" s="12">
        <f t="shared" si="1"/>
        <v>6</v>
      </c>
      <c r="H6" s="12">
        <f t="shared" si="2"/>
        <v>26</v>
      </c>
      <c r="I6" s="14">
        <f t="shared" si="3"/>
        <v>36</v>
      </c>
    </row>
    <row r="7">
      <c r="A7" s="11" t="s">
        <v>14</v>
      </c>
      <c r="B7" s="12">
        <f>'MARÇO26'!H580</f>
        <v>23</v>
      </c>
      <c r="C7" s="13">
        <v>1.0</v>
      </c>
      <c r="D7" s="11"/>
      <c r="E7" s="13">
        <v>4.0</v>
      </c>
      <c r="F7" s="13">
        <v>0.0</v>
      </c>
      <c r="G7" s="12">
        <f t="shared" si="1"/>
        <v>4</v>
      </c>
      <c r="H7" s="12">
        <f t="shared" si="2"/>
        <v>18</v>
      </c>
      <c r="I7" s="14">
        <f t="shared" si="3"/>
        <v>24</v>
      </c>
    </row>
    <row r="8">
      <c r="A8" s="11" t="s">
        <v>15</v>
      </c>
      <c r="B8" s="12">
        <f>'MARÇO26'!H581</f>
        <v>13</v>
      </c>
      <c r="C8" s="11"/>
      <c r="D8" s="11"/>
      <c r="E8" s="13">
        <v>8.0</v>
      </c>
      <c r="F8" s="13">
        <v>2.0</v>
      </c>
      <c r="G8" s="12">
        <f t="shared" si="1"/>
        <v>6</v>
      </c>
      <c r="H8" s="12">
        <f t="shared" si="2"/>
        <v>7</v>
      </c>
      <c r="I8" s="14">
        <f t="shared" si="3"/>
        <v>36</v>
      </c>
    </row>
    <row r="9">
      <c r="A9" s="11" t="s">
        <v>16</v>
      </c>
      <c r="B9" s="12">
        <f>'MARÇO26'!H582</f>
        <v>18</v>
      </c>
      <c r="C9" s="11"/>
      <c r="D9" s="11"/>
      <c r="E9" s="13">
        <v>4.0</v>
      </c>
      <c r="F9" s="13">
        <v>2.0</v>
      </c>
      <c r="G9" s="12">
        <f t="shared" si="1"/>
        <v>2</v>
      </c>
      <c r="H9" s="12">
        <f t="shared" si="2"/>
        <v>16</v>
      </c>
      <c r="I9" s="14">
        <f t="shared" si="3"/>
        <v>12</v>
      </c>
    </row>
    <row r="10">
      <c r="A10" s="11" t="s">
        <v>17</v>
      </c>
      <c r="B10" s="12">
        <f>'MARÇO26'!H583</f>
        <v>10</v>
      </c>
      <c r="C10" s="11"/>
      <c r="D10" s="11"/>
      <c r="E10" s="13">
        <v>4.0</v>
      </c>
      <c r="F10" s="13">
        <v>3.0</v>
      </c>
      <c r="G10" s="12">
        <f t="shared" si="1"/>
        <v>1</v>
      </c>
      <c r="H10" s="12">
        <f t="shared" si="2"/>
        <v>9</v>
      </c>
      <c r="I10" s="14">
        <f t="shared" si="3"/>
        <v>6</v>
      </c>
    </row>
    <row r="11">
      <c r="A11" s="11" t="s">
        <v>18</v>
      </c>
      <c r="B11" s="12">
        <f>'MARÇO26'!H584</f>
        <v>27</v>
      </c>
      <c r="C11" s="11"/>
      <c r="D11" s="11"/>
      <c r="E11" s="13">
        <v>6.0</v>
      </c>
      <c r="F11" s="13">
        <v>2.0</v>
      </c>
      <c r="G11" s="12">
        <f t="shared" si="1"/>
        <v>4</v>
      </c>
      <c r="H11" s="12">
        <f t="shared" si="2"/>
        <v>23</v>
      </c>
      <c r="I11" s="14">
        <f t="shared" si="3"/>
        <v>24</v>
      </c>
    </row>
    <row r="12">
      <c r="A12" s="11" t="s">
        <v>19</v>
      </c>
      <c r="B12" s="12">
        <f>'MARÇO26'!H585</f>
        <v>28</v>
      </c>
      <c r="C12" s="11"/>
      <c r="D12" s="11"/>
      <c r="E12" s="13">
        <v>6.0</v>
      </c>
      <c r="F12" s="13">
        <v>6.0</v>
      </c>
      <c r="G12" s="12">
        <f t="shared" si="1"/>
        <v>0</v>
      </c>
      <c r="H12" s="12">
        <f t="shared" si="2"/>
        <v>28</v>
      </c>
      <c r="I12" s="14">
        <f t="shared" si="3"/>
        <v>0</v>
      </c>
    </row>
    <row r="13">
      <c r="A13" s="11" t="s">
        <v>20</v>
      </c>
      <c r="B13" s="12">
        <f>'MARÇO26'!H586</f>
        <v>13</v>
      </c>
      <c r="C13" s="11"/>
      <c r="D13" s="11"/>
      <c r="E13" s="13">
        <v>8.0</v>
      </c>
      <c r="F13" s="13">
        <v>4.0</v>
      </c>
      <c r="G13" s="12">
        <f t="shared" si="1"/>
        <v>4</v>
      </c>
      <c r="H13" s="12">
        <f t="shared" si="2"/>
        <v>9</v>
      </c>
      <c r="I13" s="14">
        <f t="shared" si="3"/>
        <v>24</v>
      </c>
    </row>
    <row r="14">
      <c r="A14" s="11" t="s">
        <v>21</v>
      </c>
      <c r="B14" s="12">
        <f>'MARÇO26'!H587</f>
        <v>5</v>
      </c>
      <c r="C14" s="11"/>
      <c r="D14" s="11"/>
      <c r="E14" s="13">
        <v>3.0</v>
      </c>
      <c r="F14" s="13">
        <v>0.0</v>
      </c>
      <c r="G14" s="12">
        <f t="shared" si="1"/>
        <v>3</v>
      </c>
      <c r="H14" s="12">
        <f t="shared" si="2"/>
        <v>2</v>
      </c>
      <c r="I14" s="14">
        <f t="shared" si="3"/>
        <v>18</v>
      </c>
    </row>
    <row r="15">
      <c r="A15" s="11" t="s">
        <v>22</v>
      </c>
      <c r="B15" s="12">
        <f>'MARÇO26'!H588</f>
        <v>7</v>
      </c>
      <c r="C15" s="11"/>
      <c r="D15" s="13">
        <v>24.0</v>
      </c>
      <c r="E15" s="13">
        <v>2.0</v>
      </c>
      <c r="F15" s="13">
        <v>0.0</v>
      </c>
      <c r="G15" s="12">
        <f t="shared" si="1"/>
        <v>2</v>
      </c>
      <c r="H15" s="12">
        <f t="shared" si="2"/>
        <v>29</v>
      </c>
      <c r="I15" s="14">
        <f t="shared" si="3"/>
        <v>12</v>
      </c>
    </row>
    <row r="16">
      <c r="A16" s="11" t="s">
        <v>23</v>
      </c>
      <c r="B16" s="12">
        <f>'MARÇO26'!H589</f>
        <v>36</v>
      </c>
      <c r="C16" s="15">
        <v>1.0</v>
      </c>
      <c r="D16" s="11"/>
      <c r="E16" s="13">
        <v>12.0</v>
      </c>
      <c r="F16" s="13">
        <v>1.0</v>
      </c>
      <c r="G16" s="12">
        <f t="shared" si="1"/>
        <v>11</v>
      </c>
      <c r="H16" s="12">
        <f t="shared" si="2"/>
        <v>24</v>
      </c>
      <c r="I16" s="14">
        <f t="shared" si="3"/>
        <v>66</v>
      </c>
    </row>
    <row r="17">
      <c r="A17" s="11" t="s">
        <v>24</v>
      </c>
      <c r="B17" s="12">
        <f>'MARÇO26'!H590</f>
        <v>16</v>
      </c>
      <c r="C17" s="11"/>
      <c r="D17" s="11"/>
      <c r="E17" s="13">
        <v>4.0</v>
      </c>
      <c r="F17" s="13">
        <v>2.0</v>
      </c>
      <c r="G17" s="12">
        <f t="shared" si="1"/>
        <v>2</v>
      </c>
      <c r="H17" s="12">
        <f t="shared" si="2"/>
        <v>14</v>
      </c>
      <c r="I17" s="14">
        <f t="shared" si="3"/>
        <v>12</v>
      </c>
    </row>
    <row r="18">
      <c r="A18" s="11" t="s">
        <v>25</v>
      </c>
      <c r="B18" s="12">
        <f>'MARÇO26'!H591</f>
        <v>33</v>
      </c>
      <c r="C18" s="13">
        <v>1.0</v>
      </c>
      <c r="D18" s="13"/>
      <c r="E18" s="13">
        <v>18.0</v>
      </c>
      <c r="F18" s="13">
        <v>3.0</v>
      </c>
      <c r="G18" s="12">
        <f t="shared" si="1"/>
        <v>15</v>
      </c>
      <c r="H18" s="12">
        <f t="shared" si="2"/>
        <v>17</v>
      </c>
      <c r="I18" s="14">
        <f t="shared" si="3"/>
        <v>90</v>
      </c>
    </row>
    <row r="19">
      <c r="A19" s="11" t="s">
        <v>26</v>
      </c>
      <c r="B19" s="12">
        <f>'MARÇO26'!H592</f>
        <v>15</v>
      </c>
      <c r="C19" s="13">
        <v>1.0</v>
      </c>
      <c r="D19" s="11"/>
      <c r="E19" s="13">
        <v>6.0</v>
      </c>
      <c r="F19" s="13">
        <v>5.0</v>
      </c>
      <c r="G19" s="12">
        <f t="shared" si="1"/>
        <v>1</v>
      </c>
      <c r="H19" s="12">
        <f t="shared" si="2"/>
        <v>13</v>
      </c>
      <c r="I19" s="14">
        <f t="shared" si="3"/>
        <v>6</v>
      </c>
    </row>
    <row r="20">
      <c r="A20" s="11" t="s">
        <v>27</v>
      </c>
      <c r="B20" s="12">
        <f>'MARÇO26'!H593</f>
        <v>17</v>
      </c>
      <c r="C20" s="11"/>
      <c r="D20" s="11"/>
      <c r="E20" s="13">
        <v>5.0</v>
      </c>
      <c r="F20" s="13">
        <v>1.0</v>
      </c>
      <c r="G20" s="12">
        <f t="shared" si="1"/>
        <v>4</v>
      </c>
      <c r="H20" s="12">
        <f t="shared" si="2"/>
        <v>13</v>
      </c>
      <c r="I20" s="14">
        <f t="shared" si="3"/>
        <v>24</v>
      </c>
    </row>
    <row r="21">
      <c r="A21" s="11" t="s">
        <v>28</v>
      </c>
      <c r="B21" s="12">
        <f>'MARÇO26'!H594</f>
        <v>44</v>
      </c>
      <c r="C21" s="13">
        <v>4.0</v>
      </c>
      <c r="D21" s="11"/>
      <c r="E21" s="13">
        <v>8.0</v>
      </c>
      <c r="F21" s="13">
        <v>4.0</v>
      </c>
      <c r="G21" s="12">
        <f t="shared" si="1"/>
        <v>4</v>
      </c>
      <c r="H21" s="12">
        <f t="shared" si="2"/>
        <v>36</v>
      </c>
      <c r="I21" s="14">
        <f t="shared" si="3"/>
        <v>24</v>
      </c>
    </row>
    <row r="22">
      <c r="A22" s="13" t="s">
        <v>29</v>
      </c>
      <c r="B22" s="12">
        <f>'MARÇO26'!H595</f>
        <v>48</v>
      </c>
      <c r="C22" s="13">
        <v>3.0</v>
      </c>
      <c r="D22" s="13">
        <v>34.0</v>
      </c>
      <c r="E22" s="13">
        <v>52.0</v>
      </c>
      <c r="F22" s="13">
        <v>11.0</v>
      </c>
      <c r="G22" s="12">
        <f t="shared" si="1"/>
        <v>41</v>
      </c>
      <c r="H22" s="12">
        <f t="shared" si="2"/>
        <v>38</v>
      </c>
      <c r="I22" s="14">
        <f t="shared" si="3"/>
        <v>246</v>
      </c>
    </row>
    <row r="23">
      <c r="A23" s="11" t="s">
        <v>30</v>
      </c>
      <c r="B23" s="12">
        <f>'MARÇO26'!H596</f>
        <v>14</v>
      </c>
      <c r="C23" s="13">
        <v>1.0</v>
      </c>
      <c r="D23" s="11"/>
      <c r="E23" s="13">
        <v>3.0</v>
      </c>
      <c r="F23" s="13">
        <v>2.0</v>
      </c>
      <c r="G23" s="12">
        <f t="shared" si="1"/>
        <v>1</v>
      </c>
      <c r="H23" s="12">
        <f t="shared" si="2"/>
        <v>12</v>
      </c>
      <c r="I23" s="14">
        <f t="shared" si="3"/>
        <v>6</v>
      </c>
    </row>
    <row r="24">
      <c r="A24" s="18" t="s">
        <v>31</v>
      </c>
      <c r="B24" s="12">
        <f>'MARÇO26'!H597</f>
        <v>20</v>
      </c>
      <c r="C24" s="11"/>
      <c r="D24" s="11"/>
      <c r="E24" s="13">
        <v>5.0</v>
      </c>
      <c r="F24" s="13">
        <v>3.0</v>
      </c>
      <c r="G24" s="12">
        <f t="shared" si="1"/>
        <v>2</v>
      </c>
      <c r="H24" s="12">
        <f t="shared" si="2"/>
        <v>18</v>
      </c>
      <c r="I24" s="14">
        <f t="shared" si="3"/>
        <v>12</v>
      </c>
    </row>
    <row r="25">
      <c r="A25" s="18" t="s">
        <v>32</v>
      </c>
      <c r="B25" s="12">
        <f>'MARÇO26'!H598</f>
        <v>19</v>
      </c>
      <c r="C25" s="11"/>
      <c r="D25" s="11"/>
      <c r="E25" s="13">
        <v>3.0</v>
      </c>
      <c r="F25" s="13">
        <v>3.0</v>
      </c>
      <c r="G25" s="12">
        <f t="shared" si="1"/>
        <v>0</v>
      </c>
      <c r="H25" s="12">
        <f t="shared" si="2"/>
        <v>19</v>
      </c>
      <c r="I25" s="14">
        <f t="shared" si="3"/>
        <v>0</v>
      </c>
    </row>
    <row r="26">
      <c r="A26" s="19" t="s">
        <v>33</v>
      </c>
      <c r="B26" s="20">
        <f>SUM(B3:B25)</f>
        <v>528</v>
      </c>
      <c r="C26" s="19"/>
      <c r="D26" s="19"/>
      <c r="E26" s="20">
        <f t="shared" ref="E26:G26" si="4">SUM(E2:E25)</f>
        <v>185</v>
      </c>
      <c r="F26" s="20">
        <f t="shared" si="4"/>
        <v>59</v>
      </c>
      <c r="G26" s="20">
        <f t="shared" si="4"/>
        <v>126</v>
      </c>
      <c r="H26" s="20">
        <f>SUM(H3:H25)</f>
        <v>444</v>
      </c>
      <c r="I26" s="21">
        <f>SUM(I2:I25)</f>
        <v>756</v>
      </c>
    </row>
    <row r="27">
      <c r="A27" s="22"/>
      <c r="B27" s="22"/>
      <c r="C27" s="22"/>
      <c r="D27" s="22"/>
      <c r="E27" s="22"/>
      <c r="F27" s="23" t="s">
        <v>34</v>
      </c>
      <c r="G27" s="4"/>
      <c r="H27" s="24"/>
      <c r="I27" s="25"/>
    </row>
    <row r="29">
      <c r="A29" s="1"/>
      <c r="B29" s="2" t="s">
        <v>45</v>
      </c>
      <c r="C29" s="3"/>
      <c r="D29" s="3"/>
      <c r="E29" s="3"/>
      <c r="F29" s="3"/>
      <c r="G29" s="3"/>
      <c r="H29" s="3"/>
      <c r="I29" s="4"/>
    </row>
    <row r="30">
      <c r="A30" s="5" t="s">
        <v>1</v>
      </c>
      <c r="B30" s="9" t="s">
        <v>2</v>
      </c>
      <c r="C30" s="7" t="s">
        <v>3</v>
      </c>
      <c r="D30" s="8" t="s">
        <v>4</v>
      </c>
      <c r="E30" s="5" t="s">
        <v>5</v>
      </c>
      <c r="F30" s="5" t="s">
        <v>6</v>
      </c>
      <c r="G30" s="5" t="s">
        <v>7</v>
      </c>
      <c r="H30" s="9" t="s">
        <v>8</v>
      </c>
      <c r="I30" s="10" t="s">
        <v>9</v>
      </c>
    </row>
    <row r="31">
      <c r="A31" s="11" t="s">
        <v>10</v>
      </c>
      <c r="B31" s="12">
        <f t="shared" ref="B31:B53" si="5">H3</f>
        <v>29</v>
      </c>
      <c r="C31" s="11"/>
      <c r="D31" s="11"/>
      <c r="E31" s="13">
        <v>6.0</v>
      </c>
      <c r="F31" s="13">
        <v>0.0</v>
      </c>
      <c r="G31" s="12">
        <f t="shared" ref="G31:G53" si="6">E31-F31</f>
        <v>6</v>
      </c>
      <c r="H31" s="12">
        <f t="shared" ref="H31:H53" si="7">B31-C31+D31-G31</f>
        <v>23</v>
      </c>
      <c r="I31" s="14">
        <f t="shared" ref="I31:I53" si="8">G31*6</f>
        <v>36</v>
      </c>
    </row>
    <row r="32">
      <c r="A32" s="11" t="s">
        <v>11</v>
      </c>
      <c r="B32" s="12">
        <f t="shared" si="5"/>
        <v>22</v>
      </c>
      <c r="C32" s="17"/>
      <c r="D32" s="11"/>
      <c r="E32" s="13">
        <v>3.0</v>
      </c>
      <c r="F32" s="13">
        <v>2.0</v>
      </c>
      <c r="G32" s="12">
        <f t="shared" si="6"/>
        <v>1</v>
      </c>
      <c r="H32" s="12">
        <f t="shared" si="7"/>
        <v>21</v>
      </c>
      <c r="I32" s="14">
        <f t="shared" si="8"/>
        <v>6</v>
      </c>
    </row>
    <row r="33">
      <c r="A33" s="11" t="s">
        <v>12</v>
      </c>
      <c r="B33" s="12">
        <f t="shared" si="5"/>
        <v>22</v>
      </c>
      <c r="C33" s="11"/>
      <c r="D33" s="11"/>
      <c r="E33" s="13">
        <v>5.0</v>
      </c>
      <c r="F33" s="13">
        <v>4.0</v>
      </c>
      <c r="G33" s="12">
        <f t="shared" si="6"/>
        <v>1</v>
      </c>
      <c r="H33" s="12">
        <f t="shared" si="7"/>
        <v>21</v>
      </c>
      <c r="I33" s="14">
        <f t="shared" si="8"/>
        <v>6</v>
      </c>
    </row>
    <row r="34">
      <c r="A34" s="11" t="s">
        <v>13</v>
      </c>
      <c r="B34" s="12">
        <f t="shared" si="5"/>
        <v>26</v>
      </c>
      <c r="C34" s="13"/>
      <c r="D34" s="13"/>
      <c r="E34" s="13">
        <v>6.0</v>
      </c>
      <c r="F34" s="13">
        <v>5.0</v>
      </c>
      <c r="G34" s="12">
        <f t="shared" si="6"/>
        <v>1</v>
      </c>
      <c r="H34" s="12">
        <f t="shared" si="7"/>
        <v>25</v>
      </c>
      <c r="I34" s="14">
        <f t="shared" si="8"/>
        <v>6</v>
      </c>
    </row>
    <row r="35">
      <c r="A35" s="11" t="s">
        <v>14</v>
      </c>
      <c r="B35" s="12">
        <f t="shared" si="5"/>
        <v>18</v>
      </c>
      <c r="C35" s="11"/>
      <c r="D35" s="11"/>
      <c r="E35" s="13">
        <v>4.0</v>
      </c>
      <c r="F35" s="13">
        <v>0.0</v>
      </c>
      <c r="G35" s="12">
        <f t="shared" si="6"/>
        <v>4</v>
      </c>
      <c r="H35" s="12">
        <f t="shared" si="7"/>
        <v>14</v>
      </c>
      <c r="I35" s="14">
        <f t="shared" si="8"/>
        <v>24</v>
      </c>
    </row>
    <row r="36">
      <c r="A36" s="11" t="s">
        <v>15</v>
      </c>
      <c r="B36" s="12">
        <f t="shared" si="5"/>
        <v>7</v>
      </c>
      <c r="C36" s="11"/>
      <c r="D36" s="11"/>
      <c r="E36" s="13">
        <v>5.0</v>
      </c>
      <c r="F36" s="13">
        <v>4.0</v>
      </c>
      <c r="G36" s="12">
        <f t="shared" si="6"/>
        <v>1</v>
      </c>
      <c r="H36" s="12">
        <f t="shared" si="7"/>
        <v>6</v>
      </c>
      <c r="I36" s="14">
        <f t="shared" si="8"/>
        <v>6</v>
      </c>
    </row>
    <row r="37">
      <c r="A37" s="11" t="s">
        <v>16</v>
      </c>
      <c r="B37" s="12">
        <f t="shared" si="5"/>
        <v>16</v>
      </c>
      <c r="C37" s="11"/>
      <c r="D37" s="11"/>
      <c r="E37" s="13">
        <v>4.0</v>
      </c>
      <c r="F37" s="13">
        <v>3.0</v>
      </c>
      <c r="G37" s="12">
        <f t="shared" si="6"/>
        <v>1</v>
      </c>
      <c r="H37" s="12">
        <f t="shared" si="7"/>
        <v>15</v>
      </c>
      <c r="I37" s="14">
        <f t="shared" si="8"/>
        <v>6</v>
      </c>
    </row>
    <row r="38">
      <c r="A38" s="11" t="s">
        <v>17</v>
      </c>
      <c r="B38" s="12">
        <f t="shared" si="5"/>
        <v>9</v>
      </c>
      <c r="C38" s="11"/>
      <c r="D38" s="11"/>
      <c r="E38" s="13">
        <v>3.0</v>
      </c>
      <c r="F38" s="13">
        <v>2.0</v>
      </c>
      <c r="G38" s="12">
        <f t="shared" si="6"/>
        <v>1</v>
      </c>
      <c r="H38" s="12">
        <f t="shared" si="7"/>
        <v>8</v>
      </c>
      <c r="I38" s="14">
        <f t="shared" si="8"/>
        <v>6</v>
      </c>
    </row>
    <row r="39">
      <c r="A39" s="11" t="s">
        <v>18</v>
      </c>
      <c r="B39" s="12">
        <f t="shared" si="5"/>
        <v>23</v>
      </c>
      <c r="C39" s="11"/>
      <c r="D39" s="11"/>
      <c r="E39" s="13">
        <v>5.0</v>
      </c>
      <c r="F39" s="13">
        <v>2.0</v>
      </c>
      <c r="G39" s="12">
        <f t="shared" si="6"/>
        <v>3</v>
      </c>
      <c r="H39" s="12">
        <f t="shared" si="7"/>
        <v>20</v>
      </c>
      <c r="I39" s="14">
        <f t="shared" si="8"/>
        <v>18</v>
      </c>
    </row>
    <row r="40">
      <c r="A40" s="11" t="s">
        <v>19</v>
      </c>
      <c r="B40" s="12">
        <f t="shared" si="5"/>
        <v>28</v>
      </c>
      <c r="C40" s="11"/>
      <c r="D40" s="11"/>
      <c r="E40" s="13">
        <v>5.0</v>
      </c>
      <c r="F40" s="13">
        <v>4.0</v>
      </c>
      <c r="G40" s="12">
        <f t="shared" si="6"/>
        <v>1</v>
      </c>
      <c r="H40" s="12">
        <f t="shared" si="7"/>
        <v>27</v>
      </c>
      <c r="I40" s="14">
        <f t="shared" si="8"/>
        <v>6</v>
      </c>
    </row>
    <row r="41">
      <c r="A41" s="11" t="s">
        <v>20</v>
      </c>
      <c r="B41" s="12">
        <f t="shared" si="5"/>
        <v>9</v>
      </c>
      <c r="C41" s="11"/>
      <c r="D41" s="11"/>
      <c r="E41" s="13">
        <v>5.0</v>
      </c>
      <c r="F41" s="13">
        <v>4.0</v>
      </c>
      <c r="G41" s="12">
        <f t="shared" si="6"/>
        <v>1</v>
      </c>
      <c r="H41" s="12">
        <f t="shared" si="7"/>
        <v>8</v>
      </c>
      <c r="I41" s="14">
        <f t="shared" si="8"/>
        <v>6</v>
      </c>
    </row>
    <row r="42">
      <c r="A42" s="11" t="s">
        <v>21</v>
      </c>
      <c r="B42" s="12">
        <f t="shared" si="5"/>
        <v>2</v>
      </c>
      <c r="C42" s="11"/>
      <c r="D42" s="11"/>
      <c r="E42" s="13">
        <v>2.0</v>
      </c>
      <c r="F42" s="13">
        <v>2.0</v>
      </c>
      <c r="G42" s="12">
        <f t="shared" si="6"/>
        <v>0</v>
      </c>
      <c r="H42" s="12">
        <f t="shared" si="7"/>
        <v>2</v>
      </c>
      <c r="I42" s="14">
        <f t="shared" si="8"/>
        <v>0</v>
      </c>
    </row>
    <row r="43">
      <c r="A43" s="11" t="s">
        <v>22</v>
      </c>
      <c r="B43" s="12">
        <f t="shared" si="5"/>
        <v>29</v>
      </c>
      <c r="C43" s="11"/>
      <c r="D43" s="11"/>
      <c r="E43" s="13">
        <v>4.0</v>
      </c>
      <c r="F43" s="13">
        <v>3.0</v>
      </c>
      <c r="G43" s="12">
        <f t="shared" si="6"/>
        <v>1</v>
      </c>
      <c r="H43" s="12">
        <f t="shared" si="7"/>
        <v>28</v>
      </c>
      <c r="I43" s="14">
        <f t="shared" si="8"/>
        <v>6</v>
      </c>
    </row>
    <row r="44">
      <c r="A44" s="11" t="s">
        <v>23</v>
      </c>
      <c r="B44" s="12">
        <f t="shared" si="5"/>
        <v>24</v>
      </c>
      <c r="C44" s="17"/>
      <c r="D44" s="11"/>
      <c r="E44" s="13">
        <v>6.0</v>
      </c>
      <c r="F44" s="13">
        <v>2.0</v>
      </c>
      <c r="G44" s="12">
        <f t="shared" si="6"/>
        <v>4</v>
      </c>
      <c r="H44" s="12">
        <f t="shared" si="7"/>
        <v>20</v>
      </c>
      <c r="I44" s="14">
        <f t="shared" si="8"/>
        <v>24</v>
      </c>
    </row>
    <row r="45">
      <c r="A45" s="11" t="s">
        <v>24</v>
      </c>
      <c r="B45" s="12">
        <f t="shared" si="5"/>
        <v>14</v>
      </c>
      <c r="C45" s="11"/>
      <c r="D45" s="11"/>
      <c r="E45" s="13">
        <v>3.0</v>
      </c>
      <c r="F45" s="13">
        <v>3.0</v>
      </c>
      <c r="G45" s="12">
        <f t="shared" si="6"/>
        <v>0</v>
      </c>
      <c r="H45" s="12">
        <f t="shared" si="7"/>
        <v>14</v>
      </c>
      <c r="I45" s="14">
        <f t="shared" si="8"/>
        <v>0</v>
      </c>
    </row>
    <row r="46">
      <c r="A46" s="11" t="s">
        <v>25</v>
      </c>
      <c r="B46" s="12">
        <f t="shared" si="5"/>
        <v>17</v>
      </c>
      <c r="C46" s="13">
        <v>1.0</v>
      </c>
      <c r="D46" s="13">
        <v>30.0</v>
      </c>
      <c r="E46" s="13">
        <v>8.0</v>
      </c>
      <c r="F46" s="13">
        <v>3.0</v>
      </c>
      <c r="G46" s="12">
        <f t="shared" si="6"/>
        <v>5</v>
      </c>
      <c r="H46" s="12">
        <f t="shared" si="7"/>
        <v>41</v>
      </c>
      <c r="I46" s="14">
        <f t="shared" si="8"/>
        <v>30</v>
      </c>
    </row>
    <row r="47">
      <c r="A47" s="11" t="s">
        <v>26</v>
      </c>
      <c r="B47" s="12">
        <f t="shared" si="5"/>
        <v>13</v>
      </c>
      <c r="C47" s="11"/>
      <c r="D47" s="11"/>
      <c r="E47" s="13">
        <v>4.0</v>
      </c>
      <c r="F47" s="13">
        <v>4.0</v>
      </c>
      <c r="G47" s="12">
        <f t="shared" si="6"/>
        <v>0</v>
      </c>
      <c r="H47" s="12">
        <f t="shared" si="7"/>
        <v>13</v>
      </c>
      <c r="I47" s="14">
        <f t="shared" si="8"/>
        <v>0</v>
      </c>
    </row>
    <row r="48">
      <c r="A48" s="11" t="s">
        <v>27</v>
      </c>
      <c r="B48" s="12">
        <f t="shared" si="5"/>
        <v>13</v>
      </c>
      <c r="C48" s="11"/>
      <c r="D48" s="11"/>
      <c r="E48" s="13">
        <v>3.0</v>
      </c>
      <c r="F48" s="13">
        <v>1.0</v>
      </c>
      <c r="G48" s="12">
        <f t="shared" si="6"/>
        <v>2</v>
      </c>
      <c r="H48" s="12">
        <f t="shared" si="7"/>
        <v>11</v>
      </c>
      <c r="I48" s="14">
        <f t="shared" si="8"/>
        <v>12</v>
      </c>
    </row>
    <row r="49">
      <c r="A49" s="11" t="s">
        <v>28</v>
      </c>
      <c r="B49" s="12">
        <f t="shared" si="5"/>
        <v>36</v>
      </c>
      <c r="C49" s="11"/>
      <c r="D49" s="11"/>
      <c r="E49" s="13">
        <v>6.0</v>
      </c>
      <c r="F49" s="13">
        <v>4.0</v>
      </c>
      <c r="G49" s="12">
        <f t="shared" si="6"/>
        <v>2</v>
      </c>
      <c r="H49" s="12">
        <f t="shared" si="7"/>
        <v>34</v>
      </c>
      <c r="I49" s="14">
        <f t="shared" si="8"/>
        <v>12</v>
      </c>
    </row>
    <row r="50">
      <c r="A50" s="13" t="s">
        <v>29</v>
      </c>
      <c r="B50" s="12">
        <f t="shared" si="5"/>
        <v>38</v>
      </c>
      <c r="C50" s="11"/>
      <c r="D50" s="13">
        <v>33.0</v>
      </c>
      <c r="E50" s="13">
        <v>25.0</v>
      </c>
      <c r="F50" s="13">
        <v>17.0</v>
      </c>
      <c r="G50" s="12">
        <f t="shared" si="6"/>
        <v>8</v>
      </c>
      <c r="H50" s="12">
        <f t="shared" si="7"/>
        <v>63</v>
      </c>
      <c r="I50" s="14">
        <f t="shared" si="8"/>
        <v>48</v>
      </c>
    </row>
    <row r="51">
      <c r="A51" s="11" t="s">
        <v>30</v>
      </c>
      <c r="B51" s="12">
        <f t="shared" si="5"/>
        <v>12</v>
      </c>
      <c r="C51" s="11"/>
      <c r="D51" s="11"/>
      <c r="E51" s="13">
        <v>2.0</v>
      </c>
      <c r="F51" s="13">
        <v>2.0</v>
      </c>
      <c r="G51" s="12">
        <f t="shared" si="6"/>
        <v>0</v>
      </c>
      <c r="H51" s="12">
        <f t="shared" si="7"/>
        <v>12</v>
      </c>
      <c r="I51" s="14">
        <f t="shared" si="8"/>
        <v>0</v>
      </c>
    </row>
    <row r="52">
      <c r="A52" s="18" t="s">
        <v>31</v>
      </c>
      <c r="B52" s="12">
        <f t="shared" si="5"/>
        <v>18</v>
      </c>
      <c r="C52" s="11"/>
      <c r="D52" s="11"/>
      <c r="E52" s="13">
        <v>2.0</v>
      </c>
      <c r="F52" s="13">
        <v>0.0</v>
      </c>
      <c r="G52" s="12">
        <f t="shared" si="6"/>
        <v>2</v>
      </c>
      <c r="H52" s="12">
        <f t="shared" si="7"/>
        <v>16</v>
      </c>
      <c r="I52" s="14">
        <f t="shared" si="8"/>
        <v>12</v>
      </c>
    </row>
    <row r="53">
      <c r="A53" s="18" t="s">
        <v>32</v>
      </c>
      <c r="B53" s="12">
        <f t="shared" si="5"/>
        <v>19</v>
      </c>
      <c r="C53" s="11"/>
      <c r="D53" s="11"/>
      <c r="E53" s="13">
        <v>2.0</v>
      </c>
      <c r="F53" s="13">
        <v>1.0</v>
      </c>
      <c r="G53" s="12">
        <f t="shared" si="6"/>
        <v>1</v>
      </c>
      <c r="H53" s="12">
        <f t="shared" si="7"/>
        <v>18</v>
      </c>
      <c r="I53" s="14">
        <f t="shared" si="8"/>
        <v>6</v>
      </c>
    </row>
    <row r="54">
      <c r="A54" s="19" t="s">
        <v>33</v>
      </c>
      <c r="B54" s="20">
        <f>SUM(B31:B53)</f>
        <v>444</v>
      </c>
      <c r="C54" s="19"/>
      <c r="D54" s="19"/>
      <c r="E54" s="20">
        <f t="shared" ref="E54:G54" si="9">SUM(E30:E53)</f>
        <v>118</v>
      </c>
      <c r="F54" s="20">
        <f t="shared" si="9"/>
        <v>72</v>
      </c>
      <c r="G54" s="20">
        <f t="shared" si="9"/>
        <v>46</v>
      </c>
      <c r="H54" s="20">
        <f>SUM(H31:H53)</f>
        <v>460</v>
      </c>
      <c r="I54" s="21">
        <f>SUM(I30:I53)</f>
        <v>276</v>
      </c>
    </row>
    <row r="55">
      <c r="A55" s="22"/>
      <c r="B55" s="22"/>
      <c r="C55" s="22"/>
      <c r="D55" s="22"/>
      <c r="E55" s="22"/>
      <c r="F55" s="23" t="s">
        <v>34</v>
      </c>
      <c r="G55" s="4"/>
      <c r="H55" s="24"/>
      <c r="I55" s="25"/>
    </row>
    <row r="57">
      <c r="A57" s="1"/>
      <c r="B57" s="2" t="s">
        <v>46</v>
      </c>
      <c r="C57" s="3"/>
      <c r="D57" s="3"/>
      <c r="E57" s="3"/>
      <c r="F57" s="3"/>
      <c r="G57" s="3"/>
      <c r="H57" s="3"/>
      <c r="I57" s="4"/>
    </row>
    <row r="58">
      <c r="A58" s="5" t="s">
        <v>1</v>
      </c>
      <c r="B58" s="9" t="s">
        <v>2</v>
      </c>
      <c r="C58" s="7" t="s">
        <v>3</v>
      </c>
      <c r="D58" s="8" t="s">
        <v>4</v>
      </c>
      <c r="E58" s="5" t="s">
        <v>5</v>
      </c>
      <c r="F58" s="5" t="s">
        <v>6</v>
      </c>
      <c r="G58" s="5" t="s">
        <v>7</v>
      </c>
      <c r="H58" s="9" t="s">
        <v>8</v>
      </c>
      <c r="I58" s="10" t="s">
        <v>9</v>
      </c>
    </row>
    <row r="59">
      <c r="A59" s="11" t="s">
        <v>10</v>
      </c>
      <c r="B59" s="12">
        <f t="shared" ref="B59:B81" si="10">H31</f>
        <v>23</v>
      </c>
      <c r="C59" s="11"/>
      <c r="D59" s="11"/>
      <c r="E59" s="13">
        <v>6.0</v>
      </c>
      <c r="F59" s="13">
        <v>6.0</v>
      </c>
      <c r="G59" s="12">
        <f t="shared" ref="G59:G81" si="11">E59-F59</f>
        <v>0</v>
      </c>
      <c r="H59" s="12">
        <f t="shared" ref="H59:H81" si="12">B59-C59+D59-G59</f>
        <v>23</v>
      </c>
      <c r="I59" s="14">
        <f t="shared" ref="I59:I81" si="13">G59*6</f>
        <v>0</v>
      </c>
    </row>
    <row r="60">
      <c r="A60" s="11" t="s">
        <v>11</v>
      </c>
      <c r="B60" s="12">
        <f t="shared" si="10"/>
        <v>21</v>
      </c>
      <c r="C60" s="17"/>
      <c r="D60" s="11"/>
      <c r="E60" s="13">
        <v>3.0</v>
      </c>
      <c r="F60" s="13">
        <v>2.0</v>
      </c>
      <c r="G60" s="12">
        <f t="shared" si="11"/>
        <v>1</v>
      </c>
      <c r="H60" s="12">
        <f t="shared" si="12"/>
        <v>20</v>
      </c>
      <c r="I60" s="14">
        <f t="shared" si="13"/>
        <v>6</v>
      </c>
    </row>
    <row r="61">
      <c r="A61" s="11" t="s">
        <v>12</v>
      </c>
      <c r="B61" s="12">
        <f t="shared" si="10"/>
        <v>21</v>
      </c>
      <c r="C61" s="11"/>
      <c r="D61" s="11"/>
      <c r="E61" s="13">
        <v>5.0</v>
      </c>
      <c r="F61" s="13">
        <v>5.0</v>
      </c>
      <c r="G61" s="12">
        <f t="shared" si="11"/>
        <v>0</v>
      </c>
      <c r="H61" s="12">
        <f t="shared" si="12"/>
        <v>21</v>
      </c>
      <c r="I61" s="14">
        <f t="shared" si="13"/>
        <v>0</v>
      </c>
    </row>
    <row r="62">
      <c r="A62" s="11" t="s">
        <v>13</v>
      </c>
      <c r="B62" s="12">
        <f t="shared" si="10"/>
        <v>25</v>
      </c>
      <c r="C62" s="13"/>
      <c r="D62" s="13"/>
      <c r="E62" s="13">
        <v>6.0</v>
      </c>
      <c r="F62" s="13">
        <v>3.0</v>
      </c>
      <c r="G62" s="12">
        <f t="shared" si="11"/>
        <v>3</v>
      </c>
      <c r="H62" s="12">
        <f t="shared" si="12"/>
        <v>22</v>
      </c>
      <c r="I62" s="14">
        <f t="shared" si="13"/>
        <v>18</v>
      </c>
    </row>
    <row r="63">
      <c r="A63" s="11" t="s">
        <v>14</v>
      </c>
      <c r="B63" s="12">
        <f t="shared" si="10"/>
        <v>14</v>
      </c>
      <c r="C63" s="11"/>
      <c r="D63" s="11"/>
      <c r="E63" s="13">
        <v>4.0</v>
      </c>
      <c r="F63" s="13">
        <v>4.0</v>
      </c>
      <c r="G63" s="12">
        <f t="shared" si="11"/>
        <v>0</v>
      </c>
      <c r="H63" s="12">
        <f t="shared" si="12"/>
        <v>14</v>
      </c>
      <c r="I63" s="14">
        <f t="shared" si="13"/>
        <v>0</v>
      </c>
    </row>
    <row r="64">
      <c r="A64" s="11" t="s">
        <v>15</v>
      </c>
      <c r="B64" s="12">
        <f t="shared" si="10"/>
        <v>6</v>
      </c>
      <c r="C64" s="11"/>
      <c r="D64" s="13">
        <v>35.0</v>
      </c>
      <c r="E64" s="13">
        <v>7.0</v>
      </c>
      <c r="F64" s="13">
        <v>6.0</v>
      </c>
      <c r="G64" s="12">
        <f t="shared" si="11"/>
        <v>1</v>
      </c>
      <c r="H64" s="12">
        <f t="shared" si="12"/>
        <v>40</v>
      </c>
      <c r="I64" s="14">
        <f t="shared" si="13"/>
        <v>6</v>
      </c>
    </row>
    <row r="65">
      <c r="A65" s="11" t="s">
        <v>16</v>
      </c>
      <c r="B65" s="12">
        <f t="shared" si="10"/>
        <v>15</v>
      </c>
      <c r="C65" s="11"/>
      <c r="D65" s="11"/>
      <c r="E65" s="13">
        <v>4.0</v>
      </c>
      <c r="F65" s="13">
        <v>1.0</v>
      </c>
      <c r="G65" s="12">
        <f t="shared" si="11"/>
        <v>3</v>
      </c>
      <c r="H65" s="12">
        <f t="shared" si="12"/>
        <v>12</v>
      </c>
      <c r="I65" s="14">
        <f t="shared" si="13"/>
        <v>18</v>
      </c>
    </row>
    <row r="66">
      <c r="A66" s="11" t="s">
        <v>17</v>
      </c>
      <c r="B66" s="12">
        <f t="shared" si="10"/>
        <v>8</v>
      </c>
      <c r="C66" s="11"/>
      <c r="D66" s="11"/>
      <c r="E66" s="13">
        <v>3.0</v>
      </c>
      <c r="F66" s="13">
        <v>3.0</v>
      </c>
      <c r="G66" s="12">
        <f t="shared" si="11"/>
        <v>0</v>
      </c>
      <c r="H66" s="12">
        <f t="shared" si="12"/>
        <v>8</v>
      </c>
      <c r="I66" s="14">
        <f t="shared" si="13"/>
        <v>0</v>
      </c>
    </row>
    <row r="67">
      <c r="A67" s="11" t="s">
        <v>18</v>
      </c>
      <c r="B67" s="12">
        <f t="shared" si="10"/>
        <v>20</v>
      </c>
      <c r="C67" s="11"/>
      <c r="D67" s="11"/>
      <c r="E67" s="13">
        <v>5.0</v>
      </c>
      <c r="F67" s="13">
        <v>3.0</v>
      </c>
      <c r="G67" s="12">
        <f t="shared" si="11"/>
        <v>2</v>
      </c>
      <c r="H67" s="12">
        <f t="shared" si="12"/>
        <v>18</v>
      </c>
      <c r="I67" s="14">
        <f t="shared" si="13"/>
        <v>12</v>
      </c>
    </row>
    <row r="68">
      <c r="A68" s="11" t="s">
        <v>19</v>
      </c>
      <c r="B68" s="12">
        <f t="shared" si="10"/>
        <v>27</v>
      </c>
      <c r="C68" s="11"/>
      <c r="D68" s="11"/>
      <c r="E68" s="13">
        <v>5.0</v>
      </c>
      <c r="F68" s="13">
        <v>3.0</v>
      </c>
      <c r="G68" s="12">
        <f t="shared" si="11"/>
        <v>2</v>
      </c>
      <c r="H68" s="12">
        <f t="shared" si="12"/>
        <v>25</v>
      </c>
      <c r="I68" s="14">
        <f t="shared" si="13"/>
        <v>12</v>
      </c>
    </row>
    <row r="69">
      <c r="A69" s="11" t="s">
        <v>20</v>
      </c>
      <c r="B69" s="12">
        <f t="shared" si="10"/>
        <v>8</v>
      </c>
      <c r="C69" s="11"/>
      <c r="D69" s="11"/>
      <c r="E69" s="13">
        <v>5.0</v>
      </c>
      <c r="F69" s="13">
        <v>3.0</v>
      </c>
      <c r="G69" s="12">
        <f t="shared" si="11"/>
        <v>2</v>
      </c>
      <c r="H69" s="12">
        <f t="shared" si="12"/>
        <v>6</v>
      </c>
      <c r="I69" s="14">
        <f t="shared" si="13"/>
        <v>12</v>
      </c>
    </row>
    <row r="70">
      <c r="A70" s="11" t="s">
        <v>21</v>
      </c>
      <c r="B70" s="12">
        <f t="shared" si="10"/>
        <v>2</v>
      </c>
      <c r="C70" s="11"/>
      <c r="D70" s="11"/>
      <c r="E70" s="13">
        <v>2.0</v>
      </c>
      <c r="F70" s="13">
        <v>1.0</v>
      </c>
      <c r="G70" s="12">
        <f t="shared" si="11"/>
        <v>1</v>
      </c>
      <c r="H70" s="12">
        <f t="shared" si="12"/>
        <v>1</v>
      </c>
      <c r="I70" s="14">
        <f t="shared" si="13"/>
        <v>6</v>
      </c>
    </row>
    <row r="71">
      <c r="A71" s="11" t="s">
        <v>22</v>
      </c>
      <c r="B71" s="12">
        <f t="shared" si="10"/>
        <v>28</v>
      </c>
      <c r="C71" s="11"/>
      <c r="D71" s="11"/>
      <c r="E71" s="13">
        <v>4.0</v>
      </c>
      <c r="F71" s="13">
        <v>4.0</v>
      </c>
      <c r="G71" s="12">
        <f t="shared" si="11"/>
        <v>0</v>
      </c>
      <c r="H71" s="12">
        <f t="shared" si="12"/>
        <v>28</v>
      </c>
      <c r="I71" s="14">
        <f t="shared" si="13"/>
        <v>0</v>
      </c>
    </row>
    <row r="72">
      <c r="A72" s="11" t="s">
        <v>23</v>
      </c>
      <c r="B72" s="12">
        <f t="shared" si="10"/>
        <v>20</v>
      </c>
      <c r="C72" s="17"/>
      <c r="D72" s="11"/>
      <c r="E72" s="13">
        <v>6.0</v>
      </c>
      <c r="F72" s="13">
        <v>3.0</v>
      </c>
      <c r="G72" s="12">
        <f t="shared" si="11"/>
        <v>3</v>
      </c>
      <c r="H72" s="12">
        <f t="shared" si="12"/>
        <v>17</v>
      </c>
      <c r="I72" s="14">
        <f t="shared" si="13"/>
        <v>18</v>
      </c>
    </row>
    <row r="73">
      <c r="A73" s="11" t="s">
        <v>24</v>
      </c>
      <c r="B73" s="12">
        <f t="shared" si="10"/>
        <v>14</v>
      </c>
      <c r="C73" s="11"/>
      <c r="D73" s="11"/>
      <c r="E73" s="13">
        <v>3.0</v>
      </c>
      <c r="F73" s="13">
        <v>3.0</v>
      </c>
      <c r="G73" s="12">
        <f t="shared" si="11"/>
        <v>0</v>
      </c>
      <c r="H73" s="12">
        <f t="shared" si="12"/>
        <v>14</v>
      </c>
      <c r="I73" s="14">
        <f t="shared" si="13"/>
        <v>0</v>
      </c>
    </row>
    <row r="74">
      <c r="A74" s="11" t="s">
        <v>25</v>
      </c>
      <c r="B74" s="12">
        <f t="shared" si="10"/>
        <v>41</v>
      </c>
      <c r="C74" s="11"/>
      <c r="D74" s="13"/>
      <c r="E74" s="13">
        <v>10.0</v>
      </c>
      <c r="F74" s="13">
        <v>6.0</v>
      </c>
      <c r="G74" s="12">
        <f t="shared" si="11"/>
        <v>4</v>
      </c>
      <c r="H74" s="12">
        <f t="shared" si="12"/>
        <v>37</v>
      </c>
      <c r="I74" s="14">
        <f t="shared" si="13"/>
        <v>24</v>
      </c>
    </row>
    <row r="75">
      <c r="A75" s="11" t="s">
        <v>26</v>
      </c>
      <c r="B75" s="12">
        <f t="shared" si="10"/>
        <v>13</v>
      </c>
      <c r="C75" s="11"/>
      <c r="D75" s="11"/>
      <c r="E75" s="13">
        <v>4.0</v>
      </c>
      <c r="F75" s="13">
        <v>3.0</v>
      </c>
      <c r="G75" s="12">
        <f t="shared" si="11"/>
        <v>1</v>
      </c>
      <c r="H75" s="12">
        <f t="shared" si="12"/>
        <v>12</v>
      </c>
      <c r="I75" s="14">
        <f t="shared" si="13"/>
        <v>6</v>
      </c>
    </row>
    <row r="76">
      <c r="A76" s="11" t="s">
        <v>27</v>
      </c>
      <c r="B76" s="12">
        <f t="shared" si="10"/>
        <v>11</v>
      </c>
      <c r="C76" s="11"/>
      <c r="D76" s="11"/>
      <c r="E76" s="13">
        <v>4.0</v>
      </c>
      <c r="F76" s="13">
        <v>2.0</v>
      </c>
      <c r="G76" s="12">
        <f t="shared" si="11"/>
        <v>2</v>
      </c>
      <c r="H76" s="12">
        <f t="shared" si="12"/>
        <v>9</v>
      </c>
      <c r="I76" s="14">
        <f t="shared" si="13"/>
        <v>12</v>
      </c>
    </row>
    <row r="77">
      <c r="A77" s="11" t="s">
        <v>28</v>
      </c>
      <c r="B77" s="12">
        <f t="shared" si="10"/>
        <v>34</v>
      </c>
      <c r="C77" s="11"/>
      <c r="D77" s="11"/>
      <c r="E77" s="13">
        <v>8.0</v>
      </c>
      <c r="F77" s="13">
        <v>8.0</v>
      </c>
      <c r="G77" s="12">
        <f t="shared" si="11"/>
        <v>0</v>
      </c>
      <c r="H77" s="12">
        <f t="shared" si="12"/>
        <v>34</v>
      </c>
      <c r="I77" s="14">
        <f t="shared" si="13"/>
        <v>0</v>
      </c>
    </row>
    <row r="78">
      <c r="A78" s="13" t="s">
        <v>29</v>
      </c>
      <c r="B78" s="12">
        <f t="shared" si="10"/>
        <v>63</v>
      </c>
      <c r="C78" s="11"/>
      <c r="D78" s="11"/>
      <c r="E78" s="13">
        <v>26.0</v>
      </c>
      <c r="F78" s="13">
        <v>1.0</v>
      </c>
      <c r="G78" s="12">
        <f t="shared" si="11"/>
        <v>25</v>
      </c>
      <c r="H78" s="12">
        <f t="shared" si="12"/>
        <v>38</v>
      </c>
      <c r="I78" s="14">
        <f t="shared" si="13"/>
        <v>150</v>
      </c>
    </row>
    <row r="79">
      <c r="A79" s="11" t="s">
        <v>30</v>
      </c>
      <c r="B79" s="12">
        <f t="shared" si="10"/>
        <v>12</v>
      </c>
      <c r="C79" s="11"/>
      <c r="D79" s="11"/>
      <c r="E79" s="13">
        <v>2.0</v>
      </c>
      <c r="F79" s="13">
        <v>2.0</v>
      </c>
      <c r="G79" s="12">
        <f t="shared" si="11"/>
        <v>0</v>
      </c>
      <c r="H79" s="12">
        <f t="shared" si="12"/>
        <v>12</v>
      </c>
      <c r="I79" s="14">
        <f t="shared" si="13"/>
        <v>0</v>
      </c>
    </row>
    <row r="80">
      <c r="A80" s="18" t="s">
        <v>31</v>
      </c>
      <c r="B80" s="12">
        <f t="shared" si="10"/>
        <v>16</v>
      </c>
      <c r="C80" s="11"/>
      <c r="D80" s="11"/>
      <c r="E80" s="13">
        <v>2.0</v>
      </c>
      <c r="F80" s="13">
        <v>1.0</v>
      </c>
      <c r="G80" s="12">
        <f t="shared" si="11"/>
        <v>1</v>
      </c>
      <c r="H80" s="12">
        <f t="shared" si="12"/>
        <v>15</v>
      </c>
      <c r="I80" s="14">
        <f t="shared" si="13"/>
        <v>6</v>
      </c>
    </row>
    <row r="81">
      <c r="A81" s="18" t="s">
        <v>32</v>
      </c>
      <c r="B81" s="12">
        <f t="shared" si="10"/>
        <v>18</v>
      </c>
      <c r="C81" s="11"/>
      <c r="D81" s="11"/>
      <c r="E81" s="13">
        <v>2.0</v>
      </c>
      <c r="F81" s="13">
        <v>1.0</v>
      </c>
      <c r="G81" s="12">
        <f t="shared" si="11"/>
        <v>1</v>
      </c>
      <c r="H81" s="12">
        <f t="shared" si="12"/>
        <v>17</v>
      </c>
      <c r="I81" s="14">
        <f t="shared" si="13"/>
        <v>6</v>
      </c>
    </row>
    <row r="82">
      <c r="A82" s="19" t="s">
        <v>33</v>
      </c>
      <c r="B82" s="20">
        <f>SUM(B59:B81)</f>
        <v>460</v>
      </c>
      <c r="C82" s="19"/>
      <c r="D82" s="19"/>
      <c r="E82" s="20">
        <f t="shared" ref="E82:G82" si="14">SUM(E58:E81)</f>
        <v>126</v>
      </c>
      <c r="F82" s="20">
        <f t="shared" si="14"/>
        <v>74</v>
      </c>
      <c r="G82" s="20">
        <f t="shared" si="14"/>
        <v>52</v>
      </c>
      <c r="H82" s="20">
        <f>SUM(H59:H81)</f>
        <v>443</v>
      </c>
      <c r="I82" s="21">
        <f>SUM(I58:I81)</f>
        <v>312</v>
      </c>
    </row>
    <row r="83">
      <c r="A83" s="22"/>
      <c r="B83" s="22"/>
      <c r="C83" s="22"/>
      <c r="D83" s="22"/>
      <c r="E83" s="22"/>
      <c r="F83" s="23" t="s">
        <v>34</v>
      </c>
      <c r="G83" s="4"/>
      <c r="H83" s="24"/>
      <c r="I83" s="25"/>
    </row>
    <row r="85">
      <c r="A85" s="1"/>
      <c r="B85" s="2" t="s">
        <v>47</v>
      </c>
      <c r="C85" s="3"/>
      <c r="D85" s="3"/>
      <c r="E85" s="3"/>
      <c r="F85" s="3"/>
      <c r="G85" s="3"/>
      <c r="H85" s="3"/>
      <c r="I85" s="4"/>
    </row>
    <row r="86">
      <c r="A86" s="5" t="s">
        <v>1</v>
      </c>
      <c r="B86" s="9" t="s">
        <v>2</v>
      </c>
      <c r="C86" s="7" t="s">
        <v>3</v>
      </c>
      <c r="D86" s="8" t="s">
        <v>4</v>
      </c>
      <c r="E86" s="5" t="s">
        <v>5</v>
      </c>
      <c r="F86" s="5" t="s">
        <v>6</v>
      </c>
      <c r="G86" s="5" t="s">
        <v>7</v>
      </c>
      <c r="H86" s="9" t="s">
        <v>8</v>
      </c>
      <c r="I86" s="10" t="s">
        <v>9</v>
      </c>
    </row>
    <row r="87">
      <c r="A87" s="11" t="s">
        <v>10</v>
      </c>
      <c r="B87" s="12">
        <f t="shared" ref="B87:B109" si="15">H59</f>
        <v>23</v>
      </c>
      <c r="C87" s="11"/>
      <c r="D87" s="11"/>
      <c r="E87" s="13">
        <v>6.0</v>
      </c>
      <c r="F87" s="13">
        <v>2.0</v>
      </c>
      <c r="G87" s="12">
        <f t="shared" ref="G87:G109" si="16">E87-F87</f>
        <v>4</v>
      </c>
      <c r="H87" s="12">
        <f t="shared" ref="H87:H109" si="17">B87-C87+D87-G87</f>
        <v>19</v>
      </c>
      <c r="I87" s="14">
        <f t="shared" ref="I87:I109" si="18">G87*6</f>
        <v>24</v>
      </c>
    </row>
    <row r="88">
      <c r="A88" s="11" t="s">
        <v>11</v>
      </c>
      <c r="B88" s="12">
        <f t="shared" si="15"/>
        <v>20</v>
      </c>
      <c r="C88" s="17"/>
      <c r="D88" s="11"/>
      <c r="E88" s="13">
        <v>3.0</v>
      </c>
      <c r="F88" s="13">
        <v>3.0</v>
      </c>
      <c r="G88" s="12">
        <f t="shared" si="16"/>
        <v>0</v>
      </c>
      <c r="H88" s="12">
        <f t="shared" si="17"/>
        <v>20</v>
      </c>
      <c r="I88" s="14">
        <f t="shared" si="18"/>
        <v>0</v>
      </c>
    </row>
    <row r="89">
      <c r="A89" s="11" t="s">
        <v>12</v>
      </c>
      <c r="B89" s="12">
        <f t="shared" si="15"/>
        <v>21</v>
      </c>
      <c r="C89" s="11"/>
      <c r="D89" s="11"/>
      <c r="E89" s="13">
        <v>4.0</v>
      </c>
      <c r="F89" s="13">
        <v>4.0</v>
      </c>
      <c r="G89" s="12">
        <f t="shared" si="16"/>
        <v>0</v>
      </c>
      <c r="H89" s="12">
        <f t="shared" si="17"/>
        <v>21</v>
      </c>
      <c r="I89" s="14">
        <f t="shared" si="18"/>
        <v>0</v>
      </c>
    </row>
    <row r="90">
      <c r="A90" s="11" t="s">
        <v>13</v>
      </c>
      <c r="B90" s="12">
        <f t="shared" si="15"/>
        <v>22</v>
      </c>
      <c r="C90" s="13"/>
      <c r="D90" s="13"/>
      <c r="E90" s="13">
        <v>6.0</v>
      </c>
      <c r="F90" s="13">
        <v>4.0</v>
      </c>
      <c r="G90" s="12">
        <f t="shared" si="16"/>
        <v>2</v>
      </c>
      <c r="H90" s="12">
        <f t="shared" si="17"/>
        <v>20</v>
      </c>
      <c r="I90" s="14">
        <f t="shared" si="18"/>
        <v>12</v>
      </c>
    </row>
    <row r="91">
      <c r="A91" s="11" t="s">
        <v>14</v>
      </c>
      <c r="B91" s="12">
        <f t="shared" si="15"/>
        <v>14</v>
      </c>
      <c r="C91" s="11"/>
      <c r="D91" s="11"/>
      <c r="E91" s="13">
        <v>4.0</v>
      </c>
      <c r="F91" s="13">
        <v>4.0</v>
      </c>
      <c r="G91" s="12">
        <f t="shared" si="16"/>
        <v>0</v>
      </c>
      <c r="H91" s="12">
        <f t="shared" si="17"/>
        <v>14</v>
      </c>
      <c r="I91" s="14">
        <f t="shared" si="18"/>
        <v>0</v>
      </c>
    </row>
    <row r="92">
      <c r="A92" s="11" t="s">
        <v>15</v>
      </c>
      <c r="B92" s="12">
        <f t="shared" si="15"/>
        <v>40</v>
      </c>
      <c r="C92" s="11"/>
      <c r="D92" s="11"/>
      <c r="E92" s="13">
        <v>6.0</v>
      </c>
      <c r="F92" s="13">
        <v>5.0</v>
      </c>
      <c r="G92" s="12">
        <f t="shared" si="16"/>
        <v>1</v>
      </c>
      <c r="H92" s="12">
        <f t="shared" si="17"/>
        <v>39</v>
      </c>
      <c r="I92" s="14">
        <f t="shared" si="18"/>
        <v>6</v>
      </c>
    </row>
    <row r="93">
      <c r="A93" s="11" t="s">
        <v>16</v>
      </c>
      <c r="B93" s="12">
        <f t="shared" si="15"/>
        <v>12</v>
      </c>
      <c r="C93" s="11"/>
      <c r="D93" s="11"/>
      <c r="E93" s="13">
        <v>5.0</v>
      </c>
      <c r="F93" s="13">
        <v>5.0</v>
      </c>
      <c r="G93" s="12">
        <f t="shared" si="16"/>
        <v>0</v>
      </c>
      <c r="H93" s="12">
        <f t="shared" si="17"/>
        <v>12</v>
      </c>
      <c r="I93" s="14">
        <f t="shared" si="18"/>
        <v>0</v>
      </c>
    </row>
    <row r="94">
      <c r="A94" s="11" t="s">
        <v>17</v>
      </c>
      <c r="B94" s="12">
        <f t="shared" si="15"/>
        <v>8</v>
      </c>
      <c r="C94" s="11"/>
      <c r="D94" s="11"/>
      <c r="E94" s="13">
        <v>3.0</v>
      </c>
      <c r="F94" s="13">
        <v>3.0</v>
      </c>
      <c r="G94" s="12">
        <f t="shared" si="16"/>
        <v>0</v>
      </c>
      <c r="H94" s="12">
        <f t="shared" si="17"/>
        <v>8</v>
      </c>
      <c r="I94" s="14">
        <f t="shared" si="18"/>
        <v>0</v>
      </c>
    </row>
    <row r="95">
      <c r="A95" s="11" t="s">
        <v>18</v>
      </c>
      <c r="B95" s="12">
        <f t="shared" si="15"/>
        <v>18</v>
      </c>
      <c r="C95" s="11"/>
      <c r="D95" s="11"/>
      <c r="E95" s="13">
        <v>6.0</v>
      </c>
      <c r="F95" s="13">
        <v>6.0</v>
      </c>
      <c r="G95" s="12">
        <f t="shared" si="16"/>
        <v>0</v>
      </c>
      <c r="H95" s="12">
        <f t="shared" si="17"/>
        <v>18</v>
      </c>
      <c r="I95" s="14">
        <f t="shared" si="18"/>
        <v>0</v>
      </c>
    </row>
    <row r="96">
      <c r="A96" s="11" t="s">
        <v>19</v>
      </c>
      <c r="B96" s="12">
        <f t="shared" si="15"/>
        <v>25</v>
      </c>
      <c r="C96" s="11"/>
      <c r="D96" s="11"/>
      <c r="E96" s="13">
        <v>5.0</v>
      </c>
      <c r="F96" s="13">
        <v>4.0</v>
      </c>
      <c r="G96" s="12">
        <f t="shared" si="16"/>
        <v>1</v>
      </c>
      <c r="H96" s="12">
        <f t="shared" si="17"/>
        <v>24</v>
      </c>
      <c r="I96" s="14">
        <f t="shared" si="18"/>
        <v>6</v>
      </c>
    </row>
    <row r="97">
      <c r="A97" s="11" t="s">
        <v>20</v>
      </c>
      <c r="B97" s="12">
        <f t="shared" si="15"/>
        <v>6</v>
      </c>
      <c r="C97" s="11"/>
      <c r="D97" s="13">
        <v>30.0</v>
      </c>
      <c r="E97" s="13">
        <v>5.0</v>
      </c>
      <c r="F97" s="13">
        <v>1.0</v>
      </c>
      <c r="G97" s="12">
        <f t="shared" si="16"/>
        <v>4</v>
      </c>
      <c r="H97" s="12">
        <f t="shared" si="17"/>
        <v>32</v>
      </c>
      <c r="I97" s="14">
        <f t="shared" si="18"/>
        <v>24</v>
      </c>
    </row>
    <row r="98">
      <c r="A98" s="11" t="s">
        <v>21</v>
      </c>
      <c r="B98" s="12">
        <f t="shared" si="15"/>
        <v>1</v>
      </c>
      <c r="C98" s="11"/>
      <c r="D98" s="11"/>
      <c r="E98" s="13">
        <v>1.0</v>
      </c>
      <c r="F98" s="13">
        <v>0.0</v>
      </c>
      <c r="G98" s="12">
        <f t="shared" si="16"/>
        <v>1</v>
      </c>
      <c r="H98" s="12">
        <f t="shared" si="17"/>
        <v>0</v>
      </c>
      <c r="I98" s="14">
        <f t="shared" si="18"/>
        <v>6</v>
      </c>
    </row>
    <row r="99">
      <c r="A99" s="11" t="s">
        <v>22</v>
      </c>
      <c r="B99" s="12">
        <f t="shared" si="15"/>
        <v>28</v>
      </c>
      <c r="C99" s="11"/>
      <c r="D99" s="11"/>
      <c r="E99" s="13">
        <v>4.0</v>
      </c>
      <c r="F99" s="13">
        <v>4.0</v>
      </c>
      <c r="G99" s="12">
        <f t="shared" si="16"/>
        <v>0</v>
      </c>
      <c r="H99" s="12">
        <f t="shared" si="17"/>
        <v>28</v>
      </c>
      <c r="I99" s="14">
        <f t="shared" si="18"/>
        <v>0</v>
      </c>
    </row>
    <row r="100">
      <c r="A100" s="11" t="s">
        <v>23</v>
      </c>
      <c r="B100" s="12">
        <f t="shared" si="15"/>
        <v>17</v>
      </c>
      <c r="C100" s="17"/>
      <c r="D100" s="11"/>
      <c r="E100" s="13">
        <v>6.0</v>
      </c>
      <c r="F100" s="13">
        <v>4.0</v>
      </c>
      <c r="G100" s="12">
        <f t="shared" si="16"/>
        <v>2</v>
      </c>
      <c r="H100" s="12">
        <f t="shared" si="17"/>
        <v>15</v>
      </c>
      <c r="I100" s="14">
        <f t="shared" si="18"/>
        <v>12</v>
      </c>
    </row>
    <row r="101">
      <c r="A101" s="11" t="s">
        <v>24</v>
      </c>
      <c r="B101" s="12">
        <f t="shared" si="15"/>
        <v>14</v>
      </c>
      <c r="C101" s="11"/>
      <c r="D101" s="11"/>
      <c r="E101" s="13">
        <v>3.0</v>
      </c>
      <c r="F101" s="13">
        <v>3.0</v>
      </c>
      <c r="G101" s="12">
        <f t="shared" si="16"/>
        <v>0</v>
      </c>
      <c r="H101" s="12">
        <f t="shared" si="17"/>
        <v>14</v>
      </c>
      <c r="I101" s="14">
        <f t="shared" si="18"/>
        <v>0</v>
      </c>
    </row>
    <row r="102">
      <c r="A102" s="11" t="s">
        <v>25</v>
      </c>
      <c r="B102" s="12">
        <f t="shared" si="15"/>
        <v>37</v>
      </c>
      <c r="C102" s="11"/>
      <c r="D102" s="13"/>
      <c r="E102" s="13">
        <v>8.0</v>
      </c>
      <c r="F102" s="13">
        <v>2.0</v>
      </c>
      <c r="G102" s="12">
        <f t="shared" si="16"/>
        <v>6</v>
      </c>
      <c r="H102" s="12">
        <f t="shared" si="17"/>
        <v>31</v>
      </c>
      <c r="I102" s="14">
        <f t="shared" si="18"/>
        <v>36</v>
      </c>
    </row>
    <row r="103">
      <c r="A103" s="11" t="s">
        <v>26</v>
      </c>
      <c r="B103" s="12">
        <f t="shared" si="15"/>
        <v>12</v>
      </c>
      <c r="C103" s="11"/>
      <c r="D103" s="11"/>
      <c r="E103" s="13">
        <v>4.0</v>
      </c>
      <c r="F103" s="13">
        <v>4.0</v>
      </c>
      <c r="G103" s="12">
        <f t="shared" si="16"/>
        <v>0</v>
      </c>
      <c r="H103" s="12">
        <f t="shared" si="17"/>
        <v>12</v>
      </c>
      <c r="I103" s="14">
        <f t="shared" si="18"/>
        <v>0</v>
      </c>
    </row>
    <row r="104">
      <c r="A104" s="11" t="s">
        <v>27</v>
      </c>
      <c r="B104" s="12">
        <f t="shared" si="15"/>
        <v>9</v>
      </c>
      <c r="C104" s="11"/>
      <c r="D104" s="11"/>
      <c r="E104" s="13">
        <v>4.0</v>
      </c>
      <c r="F104" s="13">
        <v>3.0</v>
      </c>
      <c r="G104" s="12">
        <f t="shared" si="16"/>
        <v>1</v>
      </c>
      <c r="H104" s="12">
        <f t="shared" si="17"/>
        <v>8</v>
      </c>
      <c r="I104" s="14">
        <f t="shared" si="18"/>
        <v>6</v>
      </c>
    </row>
    <row r="105">
      <c r="A105" s="11" t="s">
        <v>28</v>
      </c>
      <c r="B105" s="12">
        <f t="shared" si="15"/>
        <v>34</v>
      </c>
      <c r="C105" s="11"/>
      <c r="D105" s="11"/>
      <c r="E105" s="13">
        <v>8.0</v>
      </c>
      <c r="F105" s="13">
        <v>5.0</v>
      </c>
      <c r="G105" s="12">
        <f t="shared" si="16"/>
        <v>3</v>
      </c>
      <c r="H105" s="12">
        <f t="shared" si="17"/>
        <v>31</v>
      </c>
      <c r="I105" s="14">
        <f t="shared" si="18"/>
        <v>18</v>
      </c>
    </row>
    <row r="106">
      <c r="A106" s="13" t="s">
        <v>29</v>
      </c>
      <c r="B106" s="12">
        <f t="shared" si="15"/>
        <v>38</v>
      </c>
      <c r="C106" s="11"/>
      <c r="D106" s="13">
        <v>32.0</v>
      </c>
      <c r="E106" s="13">
        <v>28.0</v>
      </c>
      <c r="F106" s="13">
        <v>13.0</v>
      </c>
      <c r="G106" s="12">
        <f t="shared" si="16"/>
        <v>15</v>
      </c>
      <c r="H106" s="12">
        <f t="shared" si="17"/>
        <v>55</v>
      </c>
      <c r="I106" s="14">
        <f t="shared" si="18"/>
        <v>90</v>
      </c>
    </row>
    <row r="107">
      <c r="A107" s="11" t="s">
        <v>30</v>
      </c>
      <c r="B107" s="12">
        <f t="shared" si="15"/>
        <v>12</v>
      </c>
      <c r="C107" s="11"/>
      <c r="D107" s="11"/>
      <c r="E107" s="13">
        <v>2.0</v>
      </c>
      <c r="F107" s="13">
        <v>2.0</v>
      </c>
      <c r="G107" s="12">
        <f t="shared" si="16"/>
        <v>0</v>
      </c>
      <c r="H107" s="12">
        <f t="shared" si="17"/>
        <v>12</v>
      </c>
      <c r="I107" s="14">
        <f t="shared" si="18"/>
        <v>0</v>
      </c>
    </row>
    <row r="108">
      <c r="A108" s="18" t="s">
        <v>31</v>
      </c>
      <c r="B108" s="12">
        <f t="shared" si="15"/>
        <v>15</v>
      </c>
      <c r="C108" s="11"/>
      <c r="D108" s="11"/>
      <c r="E108" s="13">
        <v>2.0</v>
      </c>
      <c r="F108" s="13">
        <v>2.0</v>
      </c>
      <c r="G108" s="12">
        <f t="shared" si="16"/>
        <v>0</v>
      </c>
      <c r="H108" s="12">
        <f t="shared" si="17"/>
        <v>15</v>
      </c>
      <c r="I108" s="14">
        <f t="shared" si="18"/>
        <v>0</v>
      </c>
    </row>
    <row r="109">
      <c r="A109" s="18" t="s">
        <v>32</v>
      </c>
      <c r="B109" s="12">
        <f t="shared" si="15"/>
        <v>17</v>
      </c>
      <c r="C109" s="11"/>
      <c r="D109" s="11"/>
      <c r="E109" s="13">
        <v>2.0</v>
      </c>
      <c r="F109" s="13">
        <v>2.0</v>
      </c>
      <c r="G109" s="12">
        <f t="shared" si="16"/>
        <v>0</v>
      </c>
      <c r="H109" s="12">
        <f t="shared" si="17"/>
        <v>17</v>
      </c>
      <c r="I109" s="14">
        <f t="shared" si="18"/>
        <v>0</v>
      </c>
    </row>
    <row r="110">
      <c r="A110" s="19" t="s">
        <v>33</v>
      </c>
      <c r="B110" s="20">
        <f>SUM(B87:B109)</f>
        <v>443</v>
      </c>
      <c r="C110" s="19"/>
      <c r="D110" s="19"/>
      <c r="E110" s="20">
        <f t="shared" ref="E110:G110" si="19">SUM(E86:E109)</f>
        <v>125</v>
      </c>
      <c r="F110" s="20">
        <f t="shared" si="19"/>
        <v>85</v>
      </c>
      <c r="G110" s="20">
        <f t="shared" si="19"/>
        <v>40</v>
      </c>
      <c r="H110" s="20">
        <f>SUM(H87:H109)</f>
        <v>465</v>
      </c>
      <c r="I110" s="21">
        <f>SUM(I86:I109)</f>
        <v>240</v>
      </c>
    </row>
    <row r="111">
      <c r="A111" s="22"/>
      <c r="B111" s="22"/>
      <c r="C111" s="22"/>
      <c r="D111" s="22"/>
      <c r="E111" s="22"/>
      <c r="F111" s="23" t="s">
        <v>34</v>
      </c>
      <c r="G111" s="4"/>
      <c r="H111" s="24"/>
      <c r="I111" s="25"/>
    </row>
    <row r="113">
      <c r="A113" s="1"/>
      <c r="B113" s="2" t="s">
        <v>48</v>
      </c>
      <c r="C113" s="3"/>
      <c r="D113" s="3"/>
      <c r="E113" s="3"/>
      <c r="F113" s="3"/>
      <c r="G113" s="3"/>
      <c r="H113" s="3"/>
      <c r="I113" s="4"/>
    </row>
    <row r="114">
      <c r="A114" s="5" t="s">
        <v>1</v>
      </c>
      <c r="B114" s="9" t="s">
        <v>2</v>
      </c>
      <c r="C114" s="7" t="s">
        <v>3</v>
      </c>
      <c r="D114" s="8" t="s">
        <v>4</v>
      </c>
      <c r="E114" s="5" t="s">
        <v>5</v>
      </c>
      <c r="F114" s="5" t="s">
        <v>6</v>
      </c>
      <c r="G114" s="5" t="s">
        <v>7</v>
      </c>
      <c r="H114" s="9" t="s">
        <v>8</v>
      </c>
      <c r="I114" s="10" t="s">
        <v>9</v>
      </c>
    </row>
    <row r="115">
      <c r="A115" s="11" t="s">
        <v>10</v>
      </c>
      <c r="B115" s="12">
        <f t="shared" ref="B115:B137" si="20">H87</f>
        <v>19</v>
      </c>
      <c r="C115" s="11"/>
      <c r="D115" s="11"/>
      <c r="E115" s="13">
        <v>6.0</v>
      </c>
      <c r="F115" s="13">
        <v>5.0</v>
      </c>
      <c r="G115" s="12">
        <f t="shared" ref="G115:G137" si="21">E115-F115</f>
        <v>1</v>
      </c>
      <c r="H115" s="12">
        <f t="shared" ref="H115:H131" si="22">B115-C115+D115-G115</f>
        <v>18</v>
      </c>
      <c r="I115" s="14">
        <f t="shared" ref="I115:I137" si="23">G115*6</f>
        <v>6</v>
      </c>
    </row>
    <row r="116">
      <c r="A116" s="11" t="s">
        <v>11</v>
      </c>
      <c r="B116" s="12">
        <f t="shared" si="20"/>
        <v>20</v>
      </c>
      <c r="C116" s="17"/>
      <c r="D116" s="11"/>
      <c r="E116" s="13">
        <v>3.0</v>
      </c>
      <c r="F116" s="13">
        <v>1.0</v>
      </c>
      <c r="G116" s="12">
        <f t="shared" si="21"/>
        <v>2</v>
      </c>
      <c r="H116" s="12">
        <f t="shared" si="22"/>
        <v>18</v>
      </c>
      <c r="I116" s="14">
        <f t="shared" si="23"/>
        <v>12</v>
      </c>
    </row>
    <row r="117">
      <c r="A117" s="11" t="s">
        <v>12</v>
      </c>
      <c r="B117" s="12">
        <f t="shared" si="20"/>
        <v>21</v>
      </c>
      <c r="C117" s="11"/>
      <c r="D117" s="11"/>
      <c r="E117" s="13">
        <v>4.0</v>
      </c>
      <c r="F117" s="13">
        <v>1.0</v>
      </c>
      <c r="G117" s="12">
        <f t="shared" si="21"/>
        <v>3</v>
      </c>
      <c r="H117" s="12">
        <f t="shared" si="22"/>
        <v>18</v>
      </c>
      <c r="I117" s="14">
        <f t="shared" si="23"/>
        <v>18</v>
      </c>
    </row>
    <row r="118">
      <c r="A118" s="11" t="s">
        <v>13</v>
      </c>
      <c r="B118" s="12">
        <f t="shared" si="20"/>
        <v>20</v>
      </c>
      <c r="C118" s="13"/>
      <c r="D118" s="13"/>
      <c r="E118" s="13">
        <v>6.0</v>
      </c>
      <c r="F118" s="13">
        <v>3.0</v>
      </c>
      <c r="G118" s="12">
        <f t="shared" si="21"/>
        <v>3</v>
      </c>
      <c r="H118" s="12">
        <f t="shared" si="22"/>
        <v>17</v>
      </c>
      <c r="I118" s="14">
        <f t="shared" si="23"/>
        <v>18</v>
      </c>
    </row>
    <row r="119">
      <c r="A119" s="11" t="s">
        <v>14</v>
      </c>
      <c r="B119" s="12">
        <f t="shared" si="20"/>
        <v>14</v>
      </c>
      <c r="C119" s="11"/>
      <c r="D119" s="11"/>
      <c r="E119" s="13">
        <v>4.0</v>
      </c>
      <c r="F119" s="13">
        <v>4.0</v>
      </c>
      <c r="G119" s="12">
        <f t="shared" si="21"/>
        <v>0</v>
      </c>
      <c r="H119" s="12">
        <f t="shared" si="22"/>
        <v>14</v>
      </c>
      <c r="I119" s="14">
        <f t="shared" si="23"/>
        <v>0</v>
      </c>
    </row>
    <row r="120">
      <c r="A120" s="11" t="s">
        <v>15</v>
      </c>
      <c r="B120" s="12">
        <f t="shared" si="20"/>
        <v>39</v>
      </c>
      <c r="C120" s="11"/>
      <c r="D120" s="11"/>
      <c r="E120" s="13">
        <v>5.0</v>
      </c>
      <c r="F120" s="13">
        <v>3.0</v>
      </c>
      <c r="G120" s="12">
        <f t="shared" si="21"/>
        <v>2</v>
      </c>
      <c r="H120" s="12">
        <f t="shared" si="22"/>
        <v>37</v>
      </c>
      <c r="I120" s="14">
        <f t="shared" si="23"/>
        <v>12</v>
      </c>
    </row>
    <row r="121">
      <c r="A121" s="11" t="s">
        <v>16</v>
      </c>
      <c r="B121" s="12">
        <f t="shared" si="20"/>
        <v>12</v>
      </c>
      <c r="C121" s="11"/>
      <c r="D121" s="11"/>
      <c r="E121" s="13">
        <v>4.0</v>
      </c>
      <c r="F121" s="13">
        <v>3.0</v>
      </c>
      <c r="G121" s="12">
        <f t="shared" si="21"/>
        <v>1</v>
      </c>
      <c r="H121" s="12">
        <f t="shared" si="22"/>
        <v>11</v>
      </c>
      <c r="I121" s="14">
        <f t="shared" si="23"/>
        <v>6</v>
      </c>
    </row>
    <row r="122">
      <c r="A122" s="11" t="s">
        <v>17</v>
      </c>
      <c r="B122" s="12">
        <f t="shared" si="20"/>
        <v>8</v>
      </c>
      <c r="C122" s="11"/>
      <c r="D122" s="11"/>
      <c r="E122" s="13">
        <v>3.0</v>
      </c>
      <c r="F122" s="13">
        <v>1.0</v>
      </c>
      <c r="G122" s="12">
        <f t="shared" si="21"/>
        <v>2</v>
      </c>
      <c r="H122" s="12">
        <f t="shared" si="22"/>
        <v>6</v>
      </c>
      <c r="I122" s="14">
        <f t="shared" si="23"/>
        <v>12</v>
      </c>
    </row>
    <row r="123">
      <c r="A123" s="11" t="s">
        <v>18</v>
      </c>
      <c r="B123" s="12">
        <f t="shared" si="20"/>
        <v>18</v>
      </c>
      <c r="C123" s="11"/>
      <c r="D123" s="11"/>
      <c r="E123" s="13">
        <v>4.0</v>
      </c>
      <c r="F123" s="13">
        <v>3.0</v>
      </c>
      <c r="G123" s="12">
        <f t="shared" si="21"/>
        <v>1</v>
      </c>
      <c r="H123" s="12">
        <f t="shared" si="22"/>
        <v>17</v>
      </c>
      <c r="I123" s="14">
        <f t="shared" si="23"/>
        <v>6</v>
      </c>
    </row>
    <row r="124">
      <c r="A124" s="11" t="s">
        <v>19</v>
      </c>
      <c r="B124" s="12">
        <f t="shared" si="20"/>
        <v>24</v>
      </c>
      <c r="C124" s="11"/>
      <c r="D124" s="11"/>
      <c r="E124" s="13">
        <v>5.0</v>
      </c>
      <c r="F124" s="13">
        <v>4.0</v>
      </c>
      <c r="G124" s="12">
        <f t="shared" si="21"/>
        <v>1</v>
      </c>
      <c r="H124" s="12">
        <f t="shared" si="22"/>
        <v>23</v>
      </c>
      <c r="I124" s="14">
        <f t="shared" si="23"/>
        <v>6</v>
      </c>
    </row>
    <row r="125">
      <c r="A125" s="11" t="s">
        <v>20</v>
      </c>
      <c r="B125" s="12">
        <f t="shared" si="20"/>
        <v>32</v>
      </c>
      <c r="C125" s="11"/>
      <c r="D125" s="11"/>
      <c r="E125" s="13">
        <v>5.0</v>
      </c>
      <c r="F125" s="13">
        <v>4.0</v>
      </c>
      <c r="G125" s="12">
        <f t="shared" si="21"/>
        <v>1</v>
      </c>
      <c r="H125" s="12">
        <f t="shared" si="22"/>
        <v>31</v>
      </c>
      <c r="I125" s="14">
        <f t="shared" si="23"/>
        <v>6</v>
      </c>
    </row>
    <row r="126">
      <c r="A126" s="11" t="s">
        <v>21</v>
      </c>
      <c r="B126" s="12">
        <f t="shared" si="20"/>
        <v>0</v>
      </c>
      <c r="C126" s="11"/>
      <c r="D126" s="11"/>
      <c r="E126" s="13">
        <v>0.0</v>
      </c>
      <c r="F126" s="13">
        <v>0.0</v>
      </c>
      <c r="G126" s="12">
        <f t="shared" si="21"/>
        <v>0</v>
      </c>
      <c r="H126" s="12">
        <f t="shared" si="22"/>
        <v>0</v>
      </c>
      <c r="I126" s="14">
        <f t="shared" si="23"/>
        <v>0</v>
      </c>
    </row>
    <row r="127">
      <c r="A127" s="11" t="s">
        <v>22</v>
      </c>
      <c r="B127" s="12">
        <f t="shared" si="20"/>
        <v>28</v>
      </c>
      <c r="C127" s="11"/>
      <c r="D127" s="11"/>
      <c r="E127" s="13">
        <v>4.0</v>
      </c>
      <c r="F127" s="13">
        <v>3.0</v>
      </c>
      <c r="G127" s="12">
        <f t="shared" si="21"/>
        <v>1</v>
      </c>
      <c r="H127" s="12">
        <f t="shared" si="22"/>
        <v>27</v>
      </c>
      <c r="I127" s="14">
        <f t="shared" si="23"/>
        <v>6</v>
      </c>
    </row>
    <row r="128">
      <c r="A128" s="11" t="s">
        <v>23</v>
      </c>
      <c r="B128" s="12">
        <f t="shared" si="20"/>
        <v>15</v>
      </c>
      <c r="C128" s="17"/>
      <c r="D128" s="11"/>
      <c r="E128" s="13">
        <v>6.0</v>
      </c>
      <c r="F128" s="13">
        <v>4.0</v>
      </c>
      <c r="G128" s="12">
        <f t="shared" si="21"/>
        <v>2</v>
      </c>
      <c r="H128" s="12">
        <f t="shared" si="22"/>
        <v>13</v>
      </c>
      <c r="I128" s="14">
        <f t="shared" si="23"/>
        <v>12</v>
      </c>
    </row>
    <row r="129">
      <c r="A129" s="11" t="s">
        <v>24</v>
      </c>
      <c r="B129" s="12">
        <f t="shared" si="20"/>
        <v>14</v>
      </c>
      <c r="C129" s="11"/>
      <c r="D129" s="11"/>
      <c r="E129" s="13">
        <v>3.0</v>
      </c>
      <c r="F129" s="13">
        <v>3.0</v>
      </c>
      <c r="G129" s="12">
        <f t="shared" si="21"/>
        <v>0</v>
      </c>
      <c r="H129" s="12">
        <f t="shared" si="22"/>
        <v>14</v>
      </c>
      <c r="I129" s="14">
        <f t="shared" si="23"/>
        <v>0</v>
      </c>
    </row>
    <row r="130">
      <c r="A130" s="11" t="s">
        <v>25</v>
      </c>
      <c r="B130" s="12">
        <f t="shared" si="20"/>
        <v>31</v>
      </c>
      <c r="C130" s="11"/>
      <c r="D130" s="13"/>
      <c r="E130" s="13">
        <v>8.0</v>
      </c>
      <c r="F130" s="13">
        <v>0.0</v>
      </c>
      <c r="G130" s="12">
        <f t="shared" si="21"/>
        <v>8</v>
      </c>
      <c r="H130" s="12">
        <f t="shared" si="22"/>
        <v>23</v>
      </c>
      <c r="I130" s="14">
        <f t="shared" si="23"/>
        <v>48</v>
      </c>
    </row>
    <row r="131">
      <c r="A131" s="11" t="s">
        <v>26</v>
      </c>
      <c r="B131" s="12">
        <f t="shared" si="20"/>
        <v>12</v>
      </c>
      <c r="C131" s="11"/>
      <c r="D131" s="11"/>
      <c r="E131" s="13">
        <v>4.0</v>
      </c>
      <c r="F131" s="13">
        <v>4.0</v>
      </c>
      <c r="G131" s="12">
        <f t="shared" si="21"/>
        <v>0</v>
      </c>
      <c r="H131" s="12">
        <f t="shared" si="22"/>
        <v>12</v>
      </c>
      <c r="I131" s="14">
        <f t="shared" si="23"/>
        <v>0</v>
      </c>
    </row>
    <row r="132">
      <c r="A132" s="11" t="s">
        <v>27</v>
      </c>
      <c r="B132" s="12">
        <f t="shared" si="20"/>
        <v>8</v>
      </c>
      <c r="C132" s="11"/>
      <c r="E132" s="13">
        <v>3.0</v>
      </c>
      <c r="F132" s="13">
        <v>2.0</v>
      </c>
      <c r="G132" s="12">
        <f t="shared" si="21"/>
        <v>1</v>
      </c>
      <c r="H132" s="12">
        <f>B132-C132+D134-G132</f>
        <v>7</v>
      </c>
      <c r="I132" s="14">
        <f t="shared" si="23"/>
        <v>6</v>
      </c>
    </row>
    <row r="133">
      <c r="A133" s="11" t="s">
        <v>28</v>
      </c>
      <c r="B133" s="12">
        <f t="shared" si="20"/>
        <v>31</v>
      </c>
      <c r="C133" s="11"/>
      <c r="D133" s="11"/>
      <c r="E133" s="13">
        <v>8.0</v>
      </c>
      <c r="F133" s="13">
        <v>5.0</v>
      </c>
      <c r="G133" s="12">
        <f t="shared" si="21"/>
        <v>3</v>
      </c>
      <c r="H133" s="12">
        <f t="shared" ref="H133:H137" si="24">B133-C133+D133-G133</f>
        <v>28</v>
      </c>
      <c r="I133" s="14">
        <f t="shared" si="23"/>
        <v>18</v>
      </c>
    </row>
    <row r="134">
      <c r="A134" s="13" t="s">
        <v>29</v>
      </c>
      <c r="B134" s="12">
        <f t="shared" si="20"/>
        <v>55</v>
      </c>
      <c r="C134" s="11"/>
      <c r="D134" s="11"/>
      <c r="E134" s="13">
        <v>28.0</v>
      </c>
      <c r="F134" s="13">
        <v>6.0</v>
      </c>
      <c r="G134" s="12">
        <f t="shared" si="21"/>
        <v>22</v>
      </c>
      <c r="H134" s="12">
        <f t="shared" si="24"/>
        <v>33</v>
      </c>
      <c r="I134" s="14">
        <f t="shared" si="23"/>
        <v>132</v>
      </c>
    </row>
    <row r="135">
      <c r="A135" s="11" t="s">
        <v>30</v>
      </c>
      <c r="B135" s="12">
        <f t="shared" si="20"/>
        <v>12</v>
      </c>
      <c r="C135" s="11"/>
      <c r="D135" s="11"/>
      <c r="E135" s="13">
        <v>2.0</v>
      </c>
      <c r="F135" s="13">
        <v>1.0</v>
      </c>
      <c r="G135" s="12">
        <f t="shared" si="21"/>
        <v>1</v>
      </c>
      <c r="H135" s="12">
        <f t="shared" si="24"/>
        <v>11</v>
      </c>
      <c r="I135" s="14">
        <f t="shared" si="23"/>
        <v>6</v>
      </c>
    </row>
    <row r="136">
      <c r="A136" s="18" t="s">
        <v>31</v>
      </c>
      <c r="B136" s="12">
        <f t="shared" si="20"/>
        <v>15</v>
      </c>
      <c r="C136" s="11"/>
      <c r="D136" s="11"/>
      <c r="E136" s="13">
        <v>2.0</v>
      </c>
      <c r="F136" s="13">
        <v>1.0</v>
      </c>
      <c r="G136" s="12">
        <f t="shared" si="21"/>
        <v>1</v>
      </c>
      <c r="H136" s="12">
        <f t="shared" si="24"/>
        <v>14</v>
      </c>
      <c r="I136" s="14">
        <f t="shared" si="23"/>
        <v>6</v>
      </c>
    </row>
    <row r="137">
      <c r="A137" s="18" t="s">
        <v>32</v>
      </c>
      <c r="B137" s="12">
        <f t="shared" si="20"/>
        <v>17</v>
      </c>
      <c r="C137" s="11"/>
      <c r="D137" s="11"/>
      <c r="E137" s="13">
        <v>2.0</v>
      </c>
      <c r="F137" s="13">
        <v>2.0</v>
      </c>
      <c r="G137" s="12">
        <f t="shared" si="21"/>
        <v>0</v>
      </c>
      <c r="H137" s="12">
        <f t="shared" si="24"/>
        <v>17</v>
      </c>
      <c r="I137" s="14">
        <f t="shared" si="23"/>
        <v>0</v>
      </c>
    </row>
    <row r="138">
      <c r="A138" s="19" t="s">
        <v>33</v>
      </c>
      <c r="B138" s="20">
        <f>SUM(B115:B137)</f>
        <v>465</v>
      </c>
      <c r="C138" s="19"/>
      <c r="D138" s="19"/>
      <c r="E138" s="20">
        <f t="shared" ref="E138:G138" si="25">SUM(E114:E137)</f>
        <v>119</v>
      </c>
      <c r="F138" s="20">
        <f t="shared" si="25"/>
        <v>63</v>
      </c>
      <c r="G138" s="20">
        <f t="shared" si="25"/>
        <v>56</v>
      </c>
      <c r="H138" s="20">
        <f>SUM(H115:H137)</f>
        <v>409</v>
      </c>
      <c r="I138" s="21">
        <f>SUM(I114:I137)</f>
        <v>336</v>
      </c>
    </row>
    <row r="139">
      <c r="A139" s="22"/>
      <c r="B139" s="22"/>
      <c r="C139" s="22"/>
      <c r="D139" s="22"/>
      <c r="E139" s="22"/>
      <c r="F139" s="23" t="s">
        <v>34</v>
      </c>
      <c r="G139" s="4"/>
      <c r="H139" s="24"/>
      <c r="I139" s="25"/>
    </row>
    <row r="141">
      <c r="A141" s="1"/>
      <c r="B141" s="2" t="s">
        <v>49</v>
      </c>
      <c r="C141" s="3"/>
      <c r="D141" s="3"/>
      <c r="E141" s="3"/>
      <c r="F141" s="3"/>
      <c r="G141" s="3"/>
      <c r="H141" s="3"/>
      <c r="I141" s="4"/>
    </row>
    <row r="142">
      <c r="A142" s="5" t="s">
        <v>1</v>
      </c>
      <c r="B142" s="9" t="s">
        <v>2</v>
      </c>
      <c r="C142" s="7" t="s">
        <v>3</v>
      </c>
      <c r="D142" s="8" t="s">
        <v>4</v>
      </c>
      <c r="E142" s="5" t="s">
        <v>5</v>
      </c>
      <c r="F142" s="5" t="s">
        <v>6</v>
      </c>
      <c r="G142" s="5" t="s">
        <v>7</v>
      </c>
      <c r="H142" s="9" t="s">
        <v>8</v>
      </c>
      <c r="I142" s="10" t="s">
        <v>9</v>
      </c>
    </row>
    <row r="143">
      <c r="A143" s="11" t="s">
        <v>10</v>
      </c>
      <c r="B143" s="12">
        <f t="shared" ref="B143:B165" si="26">H115</f>
        <v>18</v>
      </c>
      <c r="C143" s="13">
        <v>1.0</v>
      </c>
      <c r="D143" s="11"/>
      <c r="E143" s="13">
        <v>6.0</v>
      </c>
      <c r="F143" s="13">
        <v>4.0</v>
      </c>
      <c r="G143" s="12">
        <f t="shared" ref="G143:G165" si="27">E143-F143</f>
        <v>2</v>
      </c>
      <c r="H143" s="12">
        <f t="shared" ref="H143:H165" si="28">B143-C143+D143-G143</f>
        <v>15</v>
      </c>
      <c r="I143" s="14">
        <f t="shared" ref="I143:I165" si="29">G143*6</f>
        <v>12</v>
      </c>
    </row>
    <row r="144">
      <c r="A144" s="11" t="s">
        <v>11</v>
      </c>
      <c r="B144" s="12">
        <f t="shared" si="26"/>
        <v>18</v>
      </c>
      <c r="C144" s="17"/>
      <c r="D144" s="11"/>
      <c r="E144" s="13">
        <v>3.0</v>
      </c>
      <c r="F144" s="13">
        <v>1.0</v>
      </c>
      <c r="G144" s="12">
        <f t="shared" si="27"/>
        <v>2</v>
      </c>
      <c r="H144" s="12">
        <f t="shared" si="28"/>
        <v>16</v>
      </c>
      <c r="I144" s="14">
        <f t="shared" si="29"/>
        <v>12</v>
      </c>
    </row>
    <row r="145">
      <c r="A145" s="11" t="s">
        <v>12</v>
      </c>
      <c r="B145" s="12">
        <f t="shared" si="26"/>
        <v>18</v>
      </c>
      <c r="C145" s="11"/>
      <c r="D145" s="11"/>
      <c r="E145" s="13">
        <v>5.0</v>
      </c>
      <c r="F145" s="13">
        <v>1.0</v>
      </c>
      <c r="G145" s="12">
        <f t="shared" si="27"/>
        <v>4</v>
      </c>
      <c r="H145" s="12">
        <f t="shared" si="28"/>
        <v>14</v>
      </c>
      <c r="I145" s="14">
        <f t="shared" si="29"/>
        <v>24</v>
      </c>
    </row>
    <row r="146">
      <c r="A146" s="11" t="s">
        <v>13</v>
      </c>
      <c r="B146" s="12">
        <f t="shared" si="26"/>
        <v>17</v>
      </c>
      <c r="C146" s="13">
        <v>2.0</v>
      </c>
      <c r="D146" s="13"/>
      <c r="E146" s="13">
        <v>6.0</v>
      </c>
      <c r="F146" s="13">
        <v>5.0</v>
      </c>
      <c r="G146" s="12">
        <f t="shared" si="27"/>
        <v>1</v>
      </c>
      <c r="H146" s="12">
        <f t="shared" si="28"/>
        <v>14</v>
      </c>
      <c r="I146" s="14">
        <f t="shared" si="29"/>
        <v>6</v>
      </c>
    </row>
    <row r="147">
      <c r="A147" s="11" t="s">
        <v>14</v>
      </c>
      <c r="B147" s="12">
        <f t="shared" si="26"/>
        <v>14</v>
      </c>
      <c r="C147" s="11"/>
      <c r="D147" s="11"/>
      <c r="E147" s="13">
        <v>4.0</v>
      </c>
      <c r="F147" s="13">
        <v>1.0</v>
      </c>
      <c r="G147" s="12">
        <f t="shared" si="27"/>
        <v>3</v>
      </c>
      <c r="H147" s="12">
        <f t="shared" si="28"/>
        <v>11</v>
      </c>
      <c r="I147" s="14">
        <f t="shared" si="29"/>
        <v>18</v>
      </c>
    </row>
    <row r="148">
      <c r="A148" s="11" t="s">
        <v>15</v>
      </c>
      <c r="B148" s="12">
        <f t="shared" si="26"/>
        <v>37</v>
      </c>
      <c r="C148" s="13">
        <v>2.0</v>
      </c>
      <c r="D148" s="11"/>
      <c r="E148" s="13">
        <v>6.0</v>
      </c>
      <c r="F148" s="13">
        <v>3.0</v>
      </c>
      <c r="G148" s="12">
        <f t="shared" si="27"/>
        <v>3</v>
      </c>
      <c r="H148" s="12">
        <f t="shared" si="28"/>
        <v>32</v>
      </c>
      <c r="I148" s="14">
        <f t="shared" si="29"/>
        <v>18</v>
      </c>
    </row>
    <row r="149">
      <c r="A149" s="11" t="s">
        <v>16</v>
      </c>
      <c r="B149" s="12">
        <f t="shared" si="26"/>
        <v>11</v>
      </c>
      <c r="C149" s="13"/>
      <c r="D149" s="13">
        <v>3.0</v>
      </c>
      <c r="E149" s="13">
        <v>4.0</v>
      </c>
      <c r="F149" s="13">
        <v>3.0</v>
      </c>
      <c r="G149" s="12">
        <f t="shared" si="27"/>
        <v>1</v>
      </c>
      <c r="H149" s="12">
        <f t="shared" si="28"/>
        <v>13</v>
      </c>
      <c r="I149" s="14">
        <f t="shared" si="29"/>
        <v>6</v>
      </c>
    </row>
    <row r="150">
      <c r="A150" s="11" t="s">
        <v>17</v>
      </c>
      <c r="B150" s="12">
        <f t="shared" si="26"/>
        <v>6</v>
      </c>
      <c r="C150" s="11"/>
      <c r="D150" s="11"/>
      <c r="E150" s="13">
        <v>3.0</v>
      </c>
      <c r="F150" s="13">
        <v>2.0</v>
      </c>
      <c r="G150" s="12">
        <f t="shared" si="27"/>
        <v>1</v>
      </c>
      <c r="H150" s="12">
        <f t="shared" si="28"/>
        <v>5</v>
      </c>
      <c r="I150" s="14">
        <f t="shared" si="29"/>
        <v>6</v>
      </c>
    </row>
    <row r="151">
      <c r="A151" s="11" t="s">
        <v>18</v>
      </c>
      <c r="B151" s="12">
        <f t="shared" si="26"/>
        <v>17</v>
      </c>
      <c r="C151" s="13">
        <v>4.0</v>
      </c>
      <c r="D151" s="13">
        <v>31.0</v>
      </c>
      <c r="E151" s="13">
        <v>5.0</v>
      </c>
      <c r="F151" s="13">
        <v>2.0</v>
      </c>
      <c r="G151" s="12">
        <f t="shared" si="27"/>
        <v>3</v>
      </c>
      <c r="H151" s="12">
        <f t="shared" si="28"/>
        <v>41</v>
      </c>
      <c r="I151" s="14">
        <f t="shared" si="29"/>
        <v>18</v>
      </c>
    </row>
    <row r="152">
      <c r="A152" s="11" t="s">
        <v>19</v>
      </c>
      <c r="B152" s="12">
        <f t="shared" si="26"/>
        <v>23</v>
      </c>
      <c r="C152" s="11"/>
      <c r="D152" s="11"/>
      <c r="E152" s="13">
        <v>5.0</v>
      </c>
      <c r="F152" s="13">
        <v>2.0</v>
      </c>
      <c r="G152" s="12">
        <f t="shared" si="27"/>
        <v>3</v>
      </c>
      <c r="H152" s="12">
        <f t="shared" si="28"/>
        <v>20</v>
      </c>
      <c r="I152" s="14">
        <f t="shared" si="29"/>
        <v>18</v>
      </c>
    </row>
    <row r="153">
      <c r="A153" s="11" t="s">
        <v>20</v>
      </c>
      <c r="B153" s="12">
        <f t="shared" si="26"/>
        <v>31</v>
      </c>
      <c r="C153" s="11"/>
      <c r="D153" s="11"/>
      <c r="E153" s="13">
        <v>5.0</v>
      </c>
      <c r="F153" s="13">
        <v>4.0</v>
      </c>
      <c r="G153" s="12">
        <f t="shared" si="27"/>
        <v>1</v>
      </c>
      <c r="H153" s="12">
        <f t="shared" si="28"/>
        <v>30</v>
      </c>
      <c r="I153" s="14">
        <f t="shared" si="29"/>
        <v>6</v>
      </c>
    </row>
    <row r="154">
      <c r="A154" s="11" t="s">
        <v>21</v>
      </c>
      <c r="B154" s="12">
        <f t="shared" si="26"/>
        <v>0</v>
      </c>
      <c r="C154" s="11"/>
      <c r="D154" s="13">
        <v>18.0</v>
      </c>
      <c r="E154" s="13">
        <v>0.0</v>
      </c>
      <c r="F154" s="13">
        <v>0.0</v>
      </c>
      <c r="G154" s="12">
        <f t="shared" si="27"/>
        <v>0</v>
      </c>
      <c r="H154" s="12">
        <f t="shared" si="28"/>
        <v>18</v>
      </c>
      <c r="I154" s="14">
        <f t="shared" si="29"/>
        <v>0</v>
      </c>
    </row>
    <row r="155">
      <c r="A155" s="11" t="s">
        <v>22</v>
      </c>
      <c r="B155" s="12">
        <f t="shared" si="26"/>
        <v>27</v>
      </c>
      <c r="C155" s="11"/>
      <c r="D155" s="11"/>
      <c r="E155" s="13">
        <v>4.0</v>
      </c>
      <c r="F155" s="13">
        <v>4.0</v>
      </c>
      <c r="G155" s="12">
        <f t="shared" si="27"/>
        <v>0</v>
      </c>
      <c r="H155" s="12">
        <f t="shared" si="28"/>
        <v>27</v>
      </c>
      <c r="I155" s="14">
        <f t="shared" si="29"/>
        <v>0</v>
      </c>
    </row>
    <row r="156">
      <c r="A156" s="11" t="s">
        <v>23</v>
      </c>
      <c r="B156" s="12">
        <f t="shared" si="26"/>
        <v>13</v>
      </c>
      <c r="C156" s="15">
        <v>6.0</v>
      </c>
      <c r="D156" s="13">
        <v>29.0</v>
      </c>
      <c r="E156" s="13">
        <v>6.0</v>
      </c>
      <c r="F156" s="13">
        <v>3.0</v>
      </c>
      <c r="G156" s="12">
        <f t="shared" si="27"/>
        <v>3</v>
      </c>
      <c r="H156" s="12">
        <f t="shared" si="28"/>
        <v>33</v>
      </c>
      <c r="I156" s="14">
        <f t="shared" si="29"/>
        <v>18</v>
      </c>
    </row>
    <row r="157">
      <c r="A157" s="11" t="s">
        <v>24</v>
      </c>
      <c r="B157" s="12">
        <f t="shared" si="26"/>
        <v>14</v>
      </c>
      <c r="C157" s="11"/>
      <c r="D157" s="13">
        <v>1.0</v>
      </c>
      <c r="E157" s="13">
        <v>3.0</v>
      </c>
      <c r="F157" s="13">
        <v>3.0</v>
      </c>
      <c r="G157" s="12">
        <f t="shared" si="27"/>
        <v>0</v>
      </c>
      <c r="H157" s="12">
        <f t="shared" si="28"/>
        <v>15</v>
      </c>
      <c r="I157" s="14">
        <f t="shared" si="29"/>
        <v>0</v>
      </c>
    </row>
    <row r="158">
      <c r="A158" s="11" t="s">
        <v>25</v>
      </c>
      <c r="B158" s="12">
        <f t="shared" si="26"/>
        <v>23</v>
      </c>
      <c r="C158" s="11"/>
      <c r="D158" s="13"/>
      <c r="E158" s="13">
        <v>8.0</v>
      </c>
      <c r="F158" s="13">
        <v>5.0</v>
      </c>
      <c r="G158" s="12">
        <f t="shared" si="27"/>
        <v>3</v>
      </c>
      <c r="H158" s="12">
        <f t="shared" si="28"/>
        <v>20</v>
      </c>
      <c r="I158" s="14">
        <f t="shared" si="29"/>
        <v>18</v>
      </c>
    </row>
    <row r="159">
      <c r="A159" s="11" t="s">
        <v>26</v>
      </c>
      <c r="B159" s="12">
        <f t="shared" si="26"/>
        <v>12</v>
      </c>
      <c r="C159" s="11"/>
      <c r="D159" s="11"/>
      <c r="E159" s="13">
        <v>4.0</v>
      </c>
      <c r="F159" s="13">
        <v>4.0</v>
      </c>
      <c r="G159" s="12">
        <f t="shared" si="27"/>
        <v>0</v>
      </c>
      <c r="H159" s="12">
        <f t="shared" si="28"/>
        <v>12</v>
      </c>
      <c r="I159" s="14">
        <f t="shared" si="29"/>
        <v>0</v>
      </c>
    </row>
    <row r="160">
      <c r="A160" s="11" t="s">
        <v>27</v>
      </c>
      <c r="B160" s="12">
        <f t="shared" si="26"/>
        <v>7</v>
      </c>
      <c r="C160" s="13">
        <v>4.0</v>
      </c>
      <c r="D160" s="11"/>
      <c r="E160" s="13">
        <v>3.0</v>
      </c>
      <c r="F160" s="13">
        <v>3.0</v>
      </c>
      <c r="G160" s="12">
        <f t="shared" si="27"/>
        <v>0</v>
      </c>
      <c r="H160" s="12">
        <f t="shared" si="28"/>
        <v>3</v>
      </c>
      <c r="I160" s="14">
        <f t="shared" si="29"/>
        <v>0</v>
      </c>
    </row>
    <row r="161">
      <c r="A161" s="11" t="s">
        <v>28</v>
      </c>
      <c r="B161" s="12">
        <f t="shared" si="26"/>
        <v>28</v>
      </c>
      <c r="C161" s="13">
        <v>4.0</v>
      </c>
      <c r="D161" s="11"/>
      <c r="E161" s="13">
        <v>8.0</v>
      </c>
      <c r="F161" s="13">
        <v>3.0</v>
      </c>
      <c r="G161" s="12">
        <f t="shared" si="27"/>
        <v>5</v>
      </c>
      <c r="H161" s="12">
        <f t="shared" si="28"/>
        <v>19</v>
      </c>
      <c r="I161" s="14">
        <f t="shared" si="29"/>
        <v>30</v>
      </c>
    </row>
    <row r="162">
      <c r="A162" s="13" t="s">
        <v>29</v>
      </c>
      <c r="B162" s="12">
        <f t="shared" si="26"/>
        <v>33</v>
      </c>
      <c r="C162" s="13">
        <v>4.0</v>
      </c>
      <c r="D162" s="13">
        <v>72.0</v>
      </c>
      <c r="E162" s="13">
        <v>29.0</v>
      </c>
      <c r="F162" s="13">
        <v>17.0</v>
      </c>
      <c r="G162" s="12">
        <f t="shared" si="27"/>
        <v>12</v>
      </c>
      <c r="H162" s="12">
        <f t="shared" si="28"/>
        <v>89</v>
      </c>
      <c r="I162" s="14">
        <f t="shared" si="29"/>
        <v>72</v>
      </c>
    </row>
    <row r="163">
      <c r="A163" s="11" t="s">
        <v>30</v>
      </c>
      <c r="B163" s="12">
        <f t="shared" si="26"/>
        <v>11</v>
      </c>
      <c r="C163" s="11"/>
      <c r="D163" s="11"/>
      <c r="E163" s="13">
        <v>2.0</v>
      </c>
      <c r="F163" s="13">
        <v>1.0</v>
      </c>
      <c r="G163" s="12">
        <f t="shared" si="27"/>
        <v>1</v>
      </c>
      <c r="H163" s="12">
        <f t="shared" si="28"/>
        <v>10</v>
      </c>
      <c r="I163" s="14">
        <f t="shared" si="29"/>
        <v>6</v>
      </c>
    </row>
    <row r="164">
      <c r="A164" s="18" t="s">
        <v>31</v>
      </c>
      <c r="B164" s="12">
        <f t="shared" si="26"/>
        <v>14</v>
      </c>
      <c r="C164" s="11"/>
      <c r="D164" s="13">
        <v>5.0</v>
      </c>
      <c r="E164" s="13">
        <v>2.0</v>
      </c>
      <c r="F164" s="13">
        <v>2.0</v>
      </c>
      <c r="G164" s="12">
        <f t="shared" si="27"/>
        <v>0</v>
      </c>
      <c r="H164" s="12">
        <f t="shared" si="28"/>
        <v>19</v>
      </c>
      <c r="I164" s="14">
        <f t="shared" si="29"/>
        <v>0</v>
      </c>
    </row>
    <row r="165">
      <c r="A165" s="18" t="s">
        <v>32</v>
      </c>
      <c r="B165" s="12">
        <f t="shared" si="26"/>
        <v>17</v>
      </c>
      <c r="C165" s="11"/>
      <c r="D165" s="11"/>
      <c r="E165" s="13">
        <v>2.0</v>
      </c>
      <c r="F165" s="13">
        <v>2.0</v>
      </c>
      <c r="G165" s="12">
        <f t="shared" si="27"/>
        <v>0</v>
      </c>
      <c r="H165" s="12">
        <f t="shared" si="28"/>
        <v>17</v>
      </c>
      <c r="I165" s="14">
        <f t="shared" si="29"/>
        <v>0</v>
      </c>
    </row>
    <row r="166">
      <c r="A166" s="19" t="s">
        <v>33</v>
      </c>
      <c r="B166" s="20">
        <f>SUM(B143:B165)</f>
        <v>409</v>
      </c>
      <c r="C166" s="19"/>
      <c r="D166" s="19"/>
      <c r="E166" s="20">
        <f t="shared" ref="E166:G166" si="30">SUM(E142:E165)</f>
        <v>123</v>
      </c>
      <c r="F166" s="20">
        <f t="shared" si="30"/>
        <v>75</v>
      </c>
      <c r="G166" s="20">
        <f t="shared" si="30"/>
        <v>48</v>
      </c>
      <c r="H166" s="20">
        <f>SUM(H143:H165)</f>
        <v>493</v>
      </c>
      <c r="I166" s="21">
        <f>SUM(I142:I165)</f>
        <v>288</v>
      </c>
    </row>
    <row r="167">
      <c r="A167" s="22"/>
      <c r="B167" s="22"/>
      <c r="C167" s="22"/>
      <c r="D167" s="22"/>
      <c r="E167" s="22"/>
      <c r="F167" s="23" t="s">
        <v>34</v>
      </c>
      <c r="G167" s="4"/>
      <c r="H167" s="24"/>
      <c r="I167" s="25"/>
    </row>
    <row r="169">
      <c r="A169" s="1"/>
      <c r="B169" s="2" t="s">
        <v>50</v>
      </c>
      <c r="C169" s="3"/>
      <c r="D169" s="3"/>
      <c r="E169" s="3"/>
      <c r="F169" s="3"/>
      <c r="G169" s="3"/>
      <c r="H169" s="3"/>
      <c r="I169" s="4"/>
    </row>
    <row r="170">
      <c r="A170" s="5" t="s">
        <v>1</v>
      </c>
      <c r="B170" s="9" t="s">
        <v>2</v>
      </c>
      <c r="C170" s="7" t="s">
        <v>3</v>
      </c>
      <c r="D170" s="8" t="s">
        <v>4</v>
      </c>
      <c r="E170" s="5" t="s">
        <v>5</v>
      </c>
      <c r="F170" s="5" t="s">
        <v>6</v>
      </c>
      <c r="G170" s="5" t="s">
        <v>7</v>
      </c>
      <c r="H170" s="9" t="s">
        <v>8</v>
      </c>
      <c r="I170" s="10" t="s">
        <v>9</v>
      </c>
    </row>
    <row r="171">
      <c r="A171" s="11" t="s">
        <v>10</v>
      </c>
      <c r="B171" s="12">
        <f t="shared" ref="B171:B193" si="31">H143</f>
        <v>15</v>
      </c>
      <c r="C171" s="11"/>
      <c r="D171" s="13">
        <v>37.0</v>
      </c>
      <c r="E171" s="13">
        <v>6.0</v>
      </c>
      <c r="F171" s="13">
        <v>5.0</v>
      </c>
      <c r="G171" s="12">
        <f t="shared" ref="G171:G193" si="32">E171-F171</f>
        <v>1</v>
      </c>
      <c r="H171" s="12">
        <f t="shared" ref="H171:H193" si="33">B171-C171+D171-G171</f>
        <v>51</v>
      </c>
      <c r="I171" s="14">
        <f t="shared" ref="I171:I193" si="34">G171*6</f>
        <v>6</v>
      </c>
    </row>
    <row r="172">
      <c r="A172" s="11" t="s">
        <v>11</v>
      </c>
      <c r="B172" s="12">
        <f t="shared" si="31"/>
        <v>16</v>
      </c>
      <c r="C172" s="17"/>
      <c r="D172" s="11"/>
      <c r="E172" s="13">
        <v>3.0</v>
      </c>
      <c r="F172" s="13">
        <v>1.0</v>
      </c>
      <c r="G172" s="12">
        <f t="shared" si="32"/>
        <v>2</v>
      </c>
      <c r="H172" s="12">
        <f t="shared" si="33"/>
        <v>14</v>
      </c>
      <c r="I172" s="14">
        <f t="shared" si="34"/>
        <v>12</v>
      </c>
    </row>
    <row r="173">
      <c r="A173" s="11" t="s">
        <v>12</v>
      </c>
      <c r="B173" s="12">
        <f t="shared" si="31"/>
        <v>14</v>
      </c>
      <c r="C173" s="11"/>
      <c r="D173" s="11"/>
      <c r="E173" s="13">
        <v>4.0</v>
      </c>
      <c r="F173" s="13">
        <v>1.0</v>
      </c>
      <c r="G173" s="12">
        <f t="shared" si="32"/>
        <v>3</v>
      </c>
      <c r="H173" s="12">
        <f t="shared" si="33"/>
        <v>11</v>
      </c>
      <c r="I173" s="14">
        <f t="shared" si="34"/>
        <v>18</v>
      </c>
    </row>
    <row r="174">
      <c r="A174" s="11" t="s">
        <v>13</v>
      </c>
      <c r="B174" s="12">
        <f t="shared" si="31"/>
        <v>14</v>
      </c>
      <c r="C174" s="13"/>
      <c r="D174" s="13"/>
      <c r="E174" s="13">
        <v>6.0</v>
      </c>
      <c r="F174" s="13">
        <v>5.0</v>
      </c>
      <c r="G174" s="12">
        <f t="shared" si="32"/>
        <v>1</v>
      </c>
      <c r="H174" s="12">
        <f t="shared" si="33"/>
        <v>13</v>
      </c>
      <c r="I174" s="14">
        <f t="shared" si="34"/>
        <v>6</v>
      </c>
    </row>
    <row r="175">
      <c r="A175" s="11" t="s">
        <v>14</v>
      </c>
      <c r="B175" s="12">
        <f t="shared" si="31"/>
        <v>11</v>
      </c>
      <c r="C175" s="11"/>
      <c r="D175" s="11"/>
      <c r="E175" s="13">
        <v>4.0</v>
      </c>
      <c r="F175" s="13">
        <v>2.0</v>
      </c>
      <c r="G175" s="12">
        <f t="shared" si="32"/>
        <v>2</v>
      </c>
      <c r="H175" s="12">
        <f t="shared" si="33"/>
        <v>9</v>
      </c>
      <c r="I175" s="14">
        <f t="shared" si="34"/>
        <v>12</v>
      </c>
    </row>
    <row r="176">
      <c r="A176" s="11" t="s">
        <v>15</v>
      </c>
      <c r="B176" s="12">
        <f t="shared" si="31"/>
        <v>32</v>
      </c>
      <c r="C176" s="11"/>
      <c r="D176" s="11"/>
      <c r="E176" s="13">
        <v>5.0</v>
      </c>
      <c r="F176" s="13">
        <v>4.0</v>
      </c>
      <c r="G176" s="12">
        <f t="shared" si="32"/>
        <v>1</v>
      </c>
      <c r="H176" s="12">
        <f t="shared" si="33"/>
        <v>31</v>
      </c>
      <c r="I176" s="14">
        <f t="shared" si="34"/>
        <v>6</v>
      </c>
    </row>
    <row r="177">
      <c r="A177" s="11" t="s">
        <v>16</v>
      </c>
      <c r="B177" s="12">
        <f t="shared" si="31"/>
        <v>13</v>
      </c>
      <c r="C177" s="11"/>
      <c r="D177" s="11"/>
      <c r="E177" s="13">
        <v>4.0</v>
      </c>
      <c r="F177" s="13">
        <v>0.0</v>
      </c>
      <c r="G177" s="12">
        <f t="shared" si="32"/>
        <v>4</v>
      </c>
      <c r="H177" s="12">
        <f t="shared" si="33"/>
        <v>9</v>
      </c>
      <c r="I177" s="14">
        <f t="shared" si="34"/>
        <v>24</v>
      </c>
    </row>
    <row r="178">
      <c r="A178" s="11" t="s">
        <v>17</v>
      </c>
      <c r="B178" s="12">
        <f t="shared" si="31"/>
        <v>5</v>
      </c>
      <c r="C178" s="11"/>
      <c r="D178" s="11"/>
      <c r="E178" s="13">
        <v>3.0</v>
      </c>
      <c r="F178" s="13">
        <v>3.0</v>
      </c>
      <c r="G178" s="12">
        <f t="shared" si="32"/>
        <v>0</v>
      </c>
      <c r="H178" s="12">
        <f t="shared" si="33"/>
        <v>5</v>
      </c>
      <c r="I178" s="14">
        <f t="shared" si="34"/>
        <v>0</v>
      </c>
    </row>
    <row r="179">
      <c r="A179" s="11" t="s">
        <v>18</v>
      </c>
      <c r="B179" s="12">
        <f t="shared" si="31"/>
        <v>41</v>
      </c>
      <c r="C179" s="11"/>
      <c r="D179" s="11"/>
      <c r="E179" s="13">
        <v>6.0</v>
      </c>
      <c r="F179" s="13">
        <v>3.0</v>
      </c>
      <c r="G179" s="12">
        <f t="shared" si="32"/>
        <v>3</v>
      </c>
      <c r="H179" s="12">
        <f t="shared" si="33"/>
        <v>38</v>
      </c>
      <c r="I179" s="14">
        <f t="shared" si="34"/>
        <v>18</v>
      </c>
    </row>
    <row r="180">
      <c r="A180" s="11" t="s">
        <v>19</v>
      </c>
      <c r="B180" s="12">
        <f t="shared" si="31"/>
        <v>20</v>
      </c>
      <c r="C180" s="11"/>
      <c r="D180" s="11"/>
      <c r="E180" s="13">
        <v>5.0</v>
      </c>
      <c r="F180" s="13">
        <v>4.0</v>
      </c>
      <c r="G180" s="12">
        <f t="shared" si="32"/>
        <v>1</v>
      </c>
      <c r="H180" s="12">
        <f t="shared" si="33"/>
        <v>19</v>
      </c>
      <c r="I180" s="14">
        <f t="shared" si="34"/>
        <v>6</v>
      </c>
    </row>
    <row r="181">
      <c r="A181" s="11" t="s">
        <v>20</v>
      </c>
      <c r="B181" s="12">
        <f t="shared" si="31"/>
        <v>30</v>
      </c>
      <c r="C181" s="11"/>
      <c r="D181" s="11"/>
      <c r="E181" s="13">
        <v>5.0</v>
      </c>
      <c r="F181" s="13">
        <v>4.0</v>
      </c>
      <c r="G181" s="12">
        <f t="shared" si="32"/>
        <v>1</v>
      </c>
      <c r="H181" s="12">
        <f t="shared" si="33"/>
        <v>29</v>
      </c>
      <c r="I181" s="14">
        <f t="shared" si="34"/>
        <v>6</v>
      </c>
    </row>
    <row r="182">
      <c r="A182" s="11" t="s">
        <v>21</v>
      </c>
      <c r="B182" s="12">
        <f t="shared" si="31"/>
        <v>18</v>
      </c>
      <c r="C182" s="13">
        <v>1.0</v>
      </c>
      <c r="D182" s="11"/>
      <c r="E182" s="13">
        <v>2.0</v>
      </c>
      <c r="F182" s="13">
        <v>2.0</v>
      </c>
      <c r="G182" s="12">
        <f t="shared" si="32"/>
        <v>0</v>
      </c>
      <c r="H182" s="12">
        <f t="shared" si="33"/>
        <v>17</v>
      </c>
      <c r="I182" s="14">
        <f t="shared" si="34"/>
        <v>0</v>
      </c>
    </row>
    <row r="183">
      <c r="A183" s="11" t="s">
        <v>22</v>
      </c>
      <c r="B183" s="12">
        <f t="shared" si="31"/>
        <v>27</v>
      </c>
      <c r="C183" s="11"/>
      <c r="D183" s="11"/>
      <c r="E183" s="13">
        <v>4.0</v>
      </c>
      <c r="F183" s="13">
        <v>1.0</v>
      </c>
      <c r="G183" s="12">
        <f t="shared" si="32"/>
        <v>3</v>
      </c>
      <c r="H183" s="12">
        <f t="shared" si="33"/>
        <v>24</v>
      </c>
      <c r="I183" s="14">
        <f t="shared" si="34"/>
        <v>18</v>
      </c>
    </row>
    <row r="184">
      <c r="A184" s="11" t="s">
        <v>23</v>
      </c>
      <c r="B184" s="12">
        <f t="shared" si="31"/>
        <v>33</v>
      </c>
      <c r="C184" s="17"/>
      <c r="D184" s="11"/>
      <c r="E184" s="13">
        <v>6.0</v>
      </c>
      <c r="F184" s="13">
        <v>5.0</v>
      </c>
      <c r="G184" s="12">
        <f t="shared" si="32"/>
        <v>1</v>
      </c>
      <c r="H184" s="12">
        <f t="shared" si="33"/>
        <v>32</v>
      </c>
      <c r="I184" s="14">
        <f t="shared" si="34"/>
        <v>6</v>
      </c>
    </row>
    <row r="185">
      <c r="A185" s="11" t="s">
        <v>24</v>
      </c>
      <c r="B185" s="12">
        <f t="shared" si="31"/>
        <v>15</v>
      </c>
      <c r="C185" s="13">
        <v>2.0</v>
      </c>
      <c r="D185" s="11"/>
      <c r="E185" s="13">
        <v>3.0</v>
      </c>
      <c r="F185" s="13">
        <v>3.0</v>
      </c>
      <c r="G185" s="12">
        <f t="shared" si="32"/>
        <v>0</v>
      </c>
      <c r="H185" s="12">
        <f t="shared" si="33"/>
        <v>13</v>
      </c>
      <c r="I185" s="14">
        <f t="shared" si="34"/>
        <v>0</v>
      </c>
    </row>
    <row r="186">
      <c r="A186" s="11" t="s">
        <v>25</v>
      </c>
      <c r="B186" s="12">
        <f t="shared" si="31"/>
        <v>20</v>
      </c>
      <c r="C186" s="11"/>
      <c r="D186" s="13">
        <v>29.0</v>
      </c>
      <c r="E186" s="13">
        <v>8.0</v>
      </c>
      <c r="F186" s="13">
        <v>2.0</v>
      </c>
      <c r="G186" s="12">
        <f t="shared" si="32"/>
        <v>6</v>
      </c>
      <c r="H186" s="12">
        <f t="shared" si="33"/>
        <v>43</v>
      </c>
      <c r="I186" s="14">
        <f t="shared" si="34"/>
        <v>36</v>
      </c>
    </row>
    <row r="187">
      <c r="A187" s="11" t="s">
        <v>26</v>
      </c>
      <c r="B187" s="12">
        <f t="shared" si="31"/>
        <v>12</v>
      </c>
      <c r="C187" s="11"/>
      <c r="D187" s="11"/>
      <c r="E187" s="13">
        <v>4.0</v>
      </c>
      <c r="F187" s="13">
        <v>1.0</v>
      </c>
      <c r="G187" s="12">
        <f t="shared" si="32"/>
        <v>3</v>
      </c>
      <c r="H187" s="12">
        <f t="shared" si="33"/>
        <v>9</v>
      </c>
      <c r="I187" s="14">
        <f t="shared" si="34"/>
        <v>18</v>
      </c>
    </row>
    <row r="188">
      <c r="A188" s="11" t="s">
        <v>27</v>
      </c>
      <c r="B188" s="12">
        <f t="shared" si="31"/>
        <v>3</v>
      </c>
      <c r="C188" s="11"/>
      <c r="D188" s="11"/>
      <c r="E188" s="13">
        <v>3.0</v>
      </c>
      <c r="F188" s="13">
        <v>2.0</v>
      </c>
      <c r="G188" s="12">
        <f t="shared" si="32"/>
        <v>1</v>
      </c>
      <c r="H188" s="12">
        <f t="shared" si="33"/>
        <v>2</v>
      </c>
      <c r="I188" s="14">
        <f t="shared" si="34"/>
        <v>6</v>
      </c>
    </row>
    <row r="189">
      <c r="A189" s="11" t="s">
        <v>28</v>
      </c>
      <c r="B189" s="12">
        <f t="shared" si="31"/>
        <v>19</v>
      </c>
      <c r="C189" s="11"/>
      <c r="D189" s="11"/>
      <c r="E189" s="13">
        <v>8.0</v>
      </c>
      <c r="F189" s="13">
        <v>8.0</v>
      </c>
      <c r="G189" s="12">
        <f t="shared" si="32"/>
        <v>0</v>
      </c>
      <c r="H189" s="12">
        <f t="shared" si="33"/>
        <v>19</v>
      </c>
      <c r="I189" s="14">
        <f t="shared" si="34"/>
        <v>0</v>
      </c>
    </row>
    <row r="190">
      <c r="A190" s="13" t="s">
        <v>29</v>
      </c>
      <c r="B190" s="12">
        <f t="shared" si="31"/>
        <v>89</v>
      </c>
      <c r="C190" s="11"/>
      <c r="D190" s="11"/>
      <c r="E190" s="13">
        <v>30.0</v>
      </c>
      <c r="F190" s="13">
        <v>13.0</v>
      </c>
      <c r="G190" s="12">
        <f t="shared" si="32"/>
        <v>17</v>
      </c>
      <c r="H190" s="12">
        <f t="shared" si="33"/>
        <v>72</v>
      </c>
      <c r="I190" s="14">
        <f t="shared" si="34"/>
        <v>102</v>
      </c>
    </row>
    <row r="191">
      <c r="A191" s="11" t="s">
        <v>30</v>
      </c>
      <c r="B191" s="12">
        <f t="shared" si="31"/>
        <v>10</v>
      </c>
      <c r="C191" s="11"/>
      <c r="D191" s="11"/>
      <c r="E191" s="13">
        <v>2.0</v>
      </c>
      <c r="F191" s="13">
        <v>2.0</v>
      </c>
      <c r="G191" s="12">
        <f t="shared" si="32"/>
        <v>0</v>
      </c>
      <c r="H191" s="12">
        <f t="shared" si="33"/>
        <v>10</v>
      </c>
      <c r="I191" s="14">
        <f t="shared" si="34"/>
        <v>0</v>
      </c>
    </row>
    <row r="192">
      <c r="A192" s="18" t="s">
        <v>31</v>
      </c>
      <c r="B192" s="12">
        <f t="shared" si="31"/>
        <v>19</v>
      </c>
      <c r="C192" s="11"/>
      <c r="D192" s="11"/>
      <c r="E192" s="13">
        <v>2.0</v>
      </c>
      <c r="F192" s="13">
        <v>1.0</v>
      </c>
      <c r="G192" s="12">
        <f t="shared" si="32"/>
        <v>1</v>
      </c>
      <c r="H192" s="12">
        <f t="shared" si="33"/>
        <v>18</v>
      </c>
      <c r="I192" s="14">
        <f t="shared" si="34"/>
        <v>6</v>
      </c>
    </row>
    <row r="193">
      <c r="A193" s="18" t="s">
        <v>32</v>
      </c>
      <c r="B193" s="12">
        <f t="shared" si="31"/>
        <v>17</v>
      </c>
      <c r="C193" s="11"/>
      <c r="D193" s="11"/>
      <c r="E193" s="13">
        <v>2.0</v>
      </c>
      <c r="F193" s="13">
        <v>1.0</v>
      </c>
      <c r="G193" s="12">
        <f t="shared" si="32"/>
        <v>1</v>
      </c>
      <c r="H193" s="12">
        <f t="shared" si="33"/>
        <v>16</v>
      </c>
      <c r="I193" s="14">
        <f t="shared" si="34"/>
        <v>6</v>
      </c>
    </row>
    <row r="194">
      <c r="A194" s="19" t="s">
        <v>33</v>
      </c>
      <c r="B194" s="20">
        <f>SUM(B171:B193)</f>
        <v>493</v>
      </c>
      <c r="C194" s="19"/>
      <c r="D194" s="19"/>
      <c r="E194" s="20">
        <f t="shared" ref="E194:G194" si="35">SUM(E170:E193)</f>
        <v>125</v>
      </c>
      <c r="F194" s="20">
        <f t="shared" si="35"/>
        <v>73</v>
      </c>
      <c r="G194" s="20">
        <f t="shared" si="35"/>
        <v>52</v>
      </c>
      <c r="H194" s="20">
        <f>SUM(H171:H193)</f>
        <v>504</v>
      </c>
      <c r="I194" s="21">
        <f>SUM(I170:I193)</f>
        <v>312</v>
      </c>
    </row>
    <row r="195">
      <c r="A195" s="22"/>
      <c r="B195" s="22"/>
      <c r="C195" s="22"/>
      <c r="D195" s="22"/>
      <c r="E195" s="22"/>
      <c r="F195" s="23" t="s">
        <v>34</v>
      </c>
      <c r="G195" s="4"/>
      <c r="H195" s="24"/>
      <c r="I195" s="25"/>
    </row>
    <row r="197">
      <c r="A197" s="1"/>
      <c r="B197" s="2" t="s">
        <v>51</v>
      </c>
      <c r="C197" s="3"/>
      <c r="D197" s="3"/>
      <c r="E197" s="3"/>
      <c r="F197" s="3"/>
      <c r="G197" s="3"/>
      <c r="H197" s="3"/>
      <c r="I197" s="4"/>
    </row>
    <row r="198">
      <c r="A198" s="5" t="s">
        <v>1</v>
      </c>
      <c r="B198" s="9" t="s">
        <v>2</v>
      </c>
      <c r="C198" s="7" t="s">
        <v>3</v>
      </c>
      <c r="D198" s="8" t="s">
        <v>4</v>
      </c>
      <c r="E198" s="5" t="s">
        <v>5</v>
      </c>
      <c r="F198" s="5" t="s">
        <v>6</v>
      </c>
      <c r="G198" s="5" t="s">
        <v>7</v>
      </c>
      <c r="H198" s="9" t="s">
        <v>8</v>
      </c>
      <c r="I198" s="10" t="s">
        <v>9</v>
      </c>
    </row>
    <row r="199">
      <c r="A199" s="11" t="s">
        <v>10</v>
      </c>
      <c r="B199" s="12">
        <f t="shared" ref="B199:B221" si="36">H171</f>
        <v>51</v>
      </c>
      <c r="C199" s="11"/>
      <c r="D199" s="11"/>
      <c r="E199" s="13">
        <v>6.0</v>
      </c>
      <c r="F199" s="13">
        <v>3.0</v>
      </c>
      <c r="G199" s="12">
        <f t="shared" ref="G199:G221" si="37">E199-F199</f>
        <v>3</v>
      </c>
      <c r="H199" s="12">
        <f t="shared" ref="H199:H221" si="38">B199-C199+D199-G199</f>
        <v>48</v>
      </c>
      <c r="I199" s="14">
        <f t="shared" ref="I199:I221" si="39">G199*6</f>
        <v>18</v>
      </c>
    </row>
    <row r="200">
      <c r="A200" s="11" t="s">
        <v>11</v>
      </c>
      <c r="B200" s="12">
        <f t="shared" si="36"/>
        <v>14</v>
      </c>
      <c r="C200" s="17"/>
      <c r="D200" s="11"/>
      <c r="E200" s="13">
        <v>4.0</v>
      </c>
      <c r="F200" s="13">
        <v>2.0</v>
      </c>
      <c r="G200" s="12">
        <f t="shared" si="37"/>
        <v>2</v>
      </c>
      <c r="H200" s="12">
        <f t="shared" si="38"/>
        <v>12</v>
      </c>
      <c r="I200" s="14">
        <f t="shared" si="39"/>
        <v>12</v>
      </c>
    </row>
    <row r="201">
      <c r="A201" s="11" t="s">
        <v>12</v>
      </c>
      <c r="B201" s="12">
        <f t="shared" si="36"/>
        <v>11</v>
      </c>
      <c r="C201" s="13"/>
      <c r="D201" s="11"/>
      <c r="E201" s="13">
        <v>4.0</v>
      </c>
      <c r="F201" s="13">
        <v>3.0</v>
      </c>
      <c r="G201" s="12">
        <f t="shared" si="37"/>
        <v>1</v>
      </c>
      <c r="H201" s="12">
        <f t="shared" si="38"/>
        <v>10</v>
      </c>
      <c r="I201" s="14">
        <f t="shared" si="39"/>
        <v>6</v>
      </c>
    </row>
    <row r="202">
      <c r="A202" s="11" t="s">
        <v>13</v>
      </c>
      <c r="B202" s="12">
        <f t="shared" si="36"/>
        <v>13</v>
      </c>
      <c r="C202" s="13"/>
      <c r="D202" s="13"/>
      <c r="E202" s="13">
        <v>6.0</v>
      </c>
      <c r="F202" s="13">
        <v>3.0</v>
      </c>
      <c r="G202" s="12">
        <f t="shared" si="37"/>
        <v>3</v>
      </c>
      <c r="H202" s="12">
        <f t="shared" si="38"/>
        <v>10</v>
      </c>
      <c r="I202" s="14">
        <f t="shared" si="39"/>
        <v>18</v>
      </c>
    </row>
    <row r="203">
      <c r="A203" s="11" t="s">
        <v>14</v>
      </c>
      <c r="B203" s="12">
        <f t="shared" si="36"/>
        <v>9</v>
      </c>
      <c r="C203" s="13"/>
      <c r="D203" s="11"/>
      <c r="E203" s="13">
        <v>4.0</v>
      </c>
      <c r="F203" s="13">
        <v>2.0</v>
      </c>
      <c r="G203" s="12">
        <f t="shared" si="37"/>
        <v>2</v>
      </c>
      <c r="H203" s="12">
        <f t="shared" si="38"/>
        <v>7</v>
      </c>
      <c r="I203" s="14">
        <f t="shared" si="39"/>
        <v>12</v>
      </c>
    </row>
    <row r="204">
      <c r="A204" s="11" t="s">
        <v>15</v>
      </c>
      <c r="B204" s="12">
        <f t="shared" si="36"/>
        <v>31</v>
      </c>
      <c r="C204" s="11"/>
      <c r="D204" s="11"/>
      <c r="E204" s="13">
        <v>5.0</v>
      </c>
      <c r="F204" s="13">
        <v>3.0</v>
      </c>
      <c r="G204" s="12">
        <f t="shared" si="37"/>
        <v>2</v>
      </c>
      <c r="H204" s="12">
        <f t="shared" si="38"/>
        <v>29</v>
      </c>
      <c r="I204" s="14">
        <f t="shared" si="39"/>
        <v>12</v>
      </c>
    </row>
    <row r="205">
      <c r="A205" s="11" t="s">
        <v>16</v>
      </c>
      <c r="B205" s="12">
        <f t="shared" si="36"/>
        <v>9</v>
      </c>
      <c r="C205" s="11"/>
      <c r="D205" s="13"/>
      <c r="E205" s="13">
        <v>5.0</v>
      </c>
      <c r="F205" s="13">
        <v>4.0</v>
      </c>
      <c r="G205" s="12">
        <f t="shared" si="37"/>
        <v>1</v>
      </c>
      <c r="H205" s="12">
        <f t="shared" si="38"/>
        <v>8</v>
      </c>
      <c r="I205" s="14">
        <f t="shared" si="39"/>
        <v>6</v>
      </c>
    </row>
    <row r="206">
      <c r="A206" s="11" t="s">
        <v>17</v>
      </c>
      <c r="B206" s="12">
        <f t="shared" si="36"/>
        <v>5</v>
      </c>
      <c r="C206" s="11"/>
      <c r="D206" s="13"/>
      <c r="E206" s="13">
        <v>3.0</v>
      </c>
      <c r="F206" s="13">
        <v>0.0</v>
      </c>
      <c r="G206" s="12">
        <f t="shared" si="37"/>
        <v>3</v>
      </c>
      <c r="H206" s="12">
        <f t="shared" si="38"/>
        <v>2</v>
      </c>
      <c r="I206" s="14">
        <f t="shared" si="39"/>
        <v>18</v>
      </c>
    </row>
    <row r="207">
      <c r="A207" s="11" t="s">
        <v>18</v>
      </c>
      <c r="B207" s="12">
        <f t="shared" si="36"/>
        <v>38</v>
      </c>
      <c r="C207" s="11"/>
      <c r="D207" s="11"/>
      <c r="E207" s="13">
        <v>5.0</v>
      </c>
      <c r="F207" s="13">
        <v>3.0</v>
      </c>
      <c r="G207" s="12">
        <f t="shared" si="37"/>
        <v>2</v>
      </c>
      <c r="H207" s="12">
        <f t="shared" si="38"/>
        <v>36</v>
      </c>
      <c r="I207" s="14">
        <f t="shared" si="39"/>
        <v>12</v>
      </c>
    </row>
    <row r="208">
      <c r="A208" s="11" t="s">
        <v>19</v>
      </c>
      <c r="B208" s="12">
        <f t="shared" si="36"/>
        <v>19</v>
      </c>
      <c r="C208" s="11"/>
      <c r="D208" s="11"/>
      <c r="E208" s="13">
        <v>5.0</v>
      </c>
      <c r="F208" s="13">
        <v>1.0</v>
      </c>
      <c r="G208" s="12">
        <f t="shared" si="37"/>
        <v>4</v>
      </c>
      <c r="H208" s="12">
        <f t="shared" si="38"/>
        <v>15</v>
      </c>
      <c r="I208" s="14">
        <f t="shared" si="39"/>
        <v>24</v>
      </c>
    </row>
    <row r="209">
      <c r="A209" s="11" t="s">
        <v>20</v>
      </c>
      <c r="B209" s="12">
        <f t="shared" si="36"/>
        <v>29</v>
      </c>
      <c r="C209" s="11"/>
      <c r="D209" s="11"/>
      <c r="E209" s="13">
        <v>6.0</v>
      </c>
      <c r="F209" s="13">
        <v>1.0</v>
      </c>
      <c r="G209" s="12">
        <f t="shared" si="37"/>
        <v>5</v>
      </c>
      <c r="H209" s="12">
        <f t="shared" si="38"/>
        <v>24</v>
      </c>
      <c r="I209" s="14">
        <f t="shared" si="39"/>
        <v>30</v>
      </c>
    </row>
    <row r="210">
      <c r="A210" s="11" t="s">
        <v>21</v>
      </c>
      <c r="B210" s="12">
        <f t="shared" si="36"/>
        <v>17</v>
      </c>
      <c r="C210" s="11"/>
      <c r="D210" s="11"/>
      <c r="E210" s="13">
        <v>2.0</v>
      </c>
      <c r="F210" s="13">
        <v>2.0</v>
      </c>
      <c r="G210" s="12">
        <f t="shared" si="37"/>
        <v>0</v>
      </c>
      <c r="H210" s="12">
        <f t="shared" si="38"/>
        <v>17</v>
      </c>
      <c r="I210" s="14">
        <f t="shared" si="39"/>
        <v>0</v>
      </c>
    </row>
    <row r="211">
      <c r="A211" s="11" t="s">
        <v>22</v>
      </c>
      <c r="B211" s="12">
        <f t="shared" si="36"/>
        <v>24</v>
      </c>
      <c r="C211" s="11"/>
      <c r="D211" s="11"/>
      <c r="E211" s="13">
        <v>4.0</v>
      </c>
      <c r="F211" s="13">
        <v>0.0</v>
      </c>
      <c r="G211" s="12">
        <f t="shared" si="37"/>
        <v>4</v>
      </c>
      <c r="H211" s="12">
        <f t="shared" si="38"/>
        <v>20</v>
      </c>
      <c r="I211" s="14">
        <f t="shared" si="39"/>
        <v>24</v>
      </c>
    </row>
    <row r="212">
      <c r="A212" s="11" t="s">
        <v>23</v>
      </c>
      <c r="B212" s="12">
        <f t="shared" si="36"/>
        <v>32</v>
      </c>
      <c r="C212" s="17"/>
      <c r="D212" s="11"/>
      <c r="E212" s="13">
        <v>8.0</v>
      </c>
      <c r="F212" s="13">
        <v>2.0</v>
      </c>
      <c r="G212" s="12">
        <f t="shared" si="37"/>
        <v>6</v>
      </c>
      <c r="H212" s="12">
        <f t="shared" si="38"/>
        <v>26</v>
      </c>
      <c r="I212" s="14">
        <f t="shared" si="39"/>
        <v>36</v>
      </c>
    </row>
    <row r="213">
      <c r="A213" s="11" t="s">
        <v>24</v>
      </c>
      <c r="B213" s="12">
        <f t="shared" si="36"/>
        <v>13</v>
      </c>
      <c r="C213" s="11"/>
      <c r="D213" s="11"/>
      <c r="E213" s="13">
        <v>3.0</v>
      </c>
      <c r="F213" s="13">
        <v>2.0</v>
      </c>
      <c r="G213" s="12">
        <f t="shared" si="37"/>
        <v>1</v>
      </c>
      <c r="H213" s="12">
        <f t="shared" si="38"/>
        <v>12</v>
      </c>
      <c r="I213" s="14">
        <f t="shared" si="39"/>
        <v>6</v>
      </c>
    </row>
    <row r="214">
      <c r="A214" s="11" t="s">
        <v>25</v>
      </c>
      <c r="B214" s="12">
        <f t="shared" si="36"/>
        <v>43</v>
      </c>
      <c r="C214" s="11"/>
      <c r="D214" s="13"/>
      <c r="E214" s="13">
        <v>13.0</v>
      </c>
      <c r="F214" s="13">
        <v>4.0</v>
      </c>
      <c r="G214" s="12">
        <f t="shared" si="37"/>
        <v>9</v>
      </c>
      <c r="H214" s="12">
        <f t="shared" si="38"/>
        <v>34</v>
      </c>
      <c r="I214" s="14">
        <f t="shared" si="39"/>
        <v>54</v>
      </c>
    </row>
    <row r="215">
      <c r="A215" s="11" t="s">
        <v>26</v>
      </c>
      <c r="B215" s="12">
        <f t="shared" si="36"/>
        <v>9</v>
      </c>
      <c r="C215" s="11"/>
      <c r="D215" s="11"/>
      <c r="E215" s="13">
        <v>4.0</v>
      </c>
      <c r="F215" s="13">
        <v>1.0</v>
      </c>
      <c r="G215" s="12">
        <f t="shared" si="37"/>
        <v>3</v>
      </c>
      <c r="H215" s="12">
        <f t="shared" si="38"/>
        <v>6</v>
      </c>
      <c r="I215" s="14">
        <f t="shared" si="39"/>
        <v>18</v>
      </c>
    </row>
    <row r="216">
      <c r="A216" s="11" t="s">
        <v>27</v>
      </c>
      <c r="B216" s="12">
        <f t="shared" si="36"/>
        <v>2</v>
      </c>
      <c r="C216" s="11"/>
      <c r="D216" s="13">
        <v>29.0</v>
      </c>
      <c r="E216" s="13">
        <v>2.0</v>
      </c>
      <c r="F216" s="13">
        <v>0.0</v>
      </c>
      <c r="G216" s="12">
        <f t="shared" si="37"/>
        <v>2</v>
      </c>
      <c r="H216" s="12">
        <f t="shared" si="38"/>
        <v>29</v>
      </c>
      <c r="I216" s="14">
        <f t="shared" si="39"/>
        <v>12</v>
      </c>
    </row>
    <row r="217">
      <c r="A217" s="11" t="s">
        <v>28</v>
      </c>
      <c r="B217" s="12">
        <f t="shared" si="36"/>
        <v>19</v>
      </c>
      <c r="C217" s="11"/>
      <c r="D217" s="11"/>
      <c r="E217" s="13">
        <v>8.0</v>
      </c>
      <c r="F217" s="13">
        <v>6.0</v>
      </c>
      <c r="G217" s="12">
        <f t="shared" si="37"/>
        <v>2</v>
      </c>
      <c r="H217" s="12">
        <f t="shared" si="38"/>
        <v>17</v>
      </c>
      <c r="I217" s="14">
        <f t="shared" si="39"/>
        <v>12</v>
      </c>
    </row>
    <row r="218">
      <c r="A218" s="13" t="s">
        <v>29</v>
      </c>
      <c r="B218" s="12">
        <f t="shared" si="36"/>
        <v>72</v>
      </c>
      <c r="C218" s="11"/>
      <c r="D218" s="13">
        <v>36.0</v>
      </c>
      <c r="E218" s="13">
        <v>28.0</v>
      </c>
      <c r="F218" s="13">
        <v>11.0</v>
      </c>
      <c r="G218" s="12">
        <f t="shared" si="37"/>
        <v>17</v>
      </c>
      <c r="H218" s="12">
        <f t="shared" si="38"/>
        <v>91</v>
      </c>
      <c r="I218" s="14">
        <f t="shared" si="39"/>
        <v>102</v>
      </c>
    </row>
    <row r="219">
      <c r="A219" s="11" t="s">
        <v>30</v>
      </c>
      <c r="B219" s="12">
        <f t="shared" si="36"/>
        <v>10</v>
      </c>
      <c r="C219" s="11"/>
      <c r="D219" s="11"/>
      <c r="E219" s="13">
        <v>3.0</v>
      </c>
      <c r="F219" s="13">
        <v>3.0</v>
      </c>
      <c r="G219" s="12">
        <f t="shared" si="37"/>
        <v>0</v>
      </c>
      <c r="H219" s="12">
        <f t="shared" si="38"/>
        <v>10</v>
      </c>
      <c r="I219" s="14">
        <f t="shared" si="39"/>
        <v>0</v>
      </c>
    </row>
    <row r="220">
      <c r="A220" s="18" t="s">
        <v>31</v>
      </c>
      <c r="B220" s="12">
        <f t="shared" si="36"/>
        <v>18</v>
      </c>
      <c r="C220" s="11"/>
      <c r="D220" s="11"/>
      <c r="E220" s="13">
        <v>2.0</v>
      </c>
      <c r="F220" s="13">
        <v>1.0</v>
      </c>
      <c r="G220" s="12">
        <f t="shared" si="37"/>
        <v>1</v>
      </c>
      <c r="H220" s="12">
        <f t="shared" si="38"/>
        <v>17</v>
      </c>
      <c r="I220" s="14">
        <f t="shared" si="39"/>
        <v>6</v>
      </c>
    </row>
    <row r="221">
      <c r="A221" s="18" t="s">
        <v>32</v>
      </c>
      <c r="B221" s="12">
        <f t="shared" si="36"/>
        <v>16</v>
      </c>
      <c r="C221" s="11"/>
      <c r="D221" s="11"/>
      <c r="E221" s="13">
        <v>2.0</v>
      </c>
      <c r="F221" s="13">
        <v>2.0</v>
      </c>
      <c r="G221" s="12">
        <f t="shared" si="37"/>
        <v>0</v>
      </c>
      <c r="H221" s="12">
        <f t="shared" si="38"/>
        <v>16</v>
      </c>
      <c r="I221" s="14">
        <f t="shared" si="39"/>
        <v>0</v>
      </c>
    </row>
    <row r="222">
      <c r="A222" s="19" t="s">
        <v>33</v>
      </c>
      <c r="B222" s="20">
        <f>SUM(B199:B221)</f>
        <v>504</v>
      </c>
      <c r="C222" s="19"/>
      <c r="D222" s="19"/>
      <c r="E222" s="20">
        <f t="shared" ref="E222:G222" si="40">SUM(E198:E221)</f>
        <v>132</v>
      </c>
      <c r="F222" s="20">
        <f t="shared" si="40"/>
        <v>59</v>
      </c>
      <c r="G222" s="20">
        <f t="shared" si="40"/>
        <v>73</v>
      </c>
      <c r="H222" s="20">
        <f>SUM(H199:H221)</f>
        <v>496</v>
      </c>
      <c r="I222" s="21">
        <f>SUM(I198:I221)</f>
        <v>438</v>
      </c>
    </row>
    <row r="223">
      <c r="A223" s="22"/>
      <c r="B223" s="22"/>
      <c r="C223" s="22"/>
      <c r="D223" s="22"/>
      <c r="E223" s="22"/>
      <c r="F223" s="23" t="s">
        <v>34</v>
      </c>
      <c r="G223" s="4"/>
      <c r="H223" s="24"/>
      <c r="I223" s="25"/>
    </row>
    <row r="225">
      <c r="A225" s="1"/>
      <c r="B225" s="2" t="s">
        <v>52</v>
      </c>
      <c r="C225" s="3"/>
      <c r="D225" s="3"/>
      <c r="E225" s="3"/>
      <c r="F225" s="3"/>
      <c r="G225" s="3"/>
      <c r="H225" s="3"/>
      <c r="I225" s="4"/>
    </row>
    <row r="226">
      <c r="A226" s="5" t="s">
        <v>1</v>
      </c>
      <c r="B226" s="9" t="s">
        <v>2</v>
      </c>
      <c r="C226" s="7" t="s">
        <v>3</v>
      </c>
      <c r="D226" s="8" t="s">
        <v>4</v>
      </c>
      <c r="E226" s="5" t="s">
        <v>5</v>
      </c>
      <c r="F226" s="5" t="s">
        <v>6</v>
      </c>
      <c r="G226" s="5" t="s">
        <v>7</v>
      </c>
      <c r="H226" s="9" t="s">
        <v>8</v>
      </c>
      <c r="I226" s="10" t="s">
        <v>9</v>
      </c>
    </row>
    <row r="227">
      <c r="A227" s="11" t="s">
        <v>10</v>
      </c>
      <c r="B227" s="12">
        <f t="shared" ref="B227:B249" si="41">H199</f>
        <v>48</v>
      </c>
      <c r="C227" s="11"/>
      <c r="D227" s="11"/>
      <c r="E227" s="13">
        <v>6.0</v>
      </c>
      <c r="F227" s="13">
        <v>3.0</v>
      </c>
      <c r="G227" s="12">
        <f t="shared" ref="G227:G249" si="42">E227-F227</f>
        <v>3</v>
      </c>
      <c r="H227" s="12">
        <f t="shared" ref="H227:H249" si="43">B227-C227+D227-G227</f>
        <v>45</v>
      </c>
      <c r="I227" s="14">
        <f t="shared" ref="I227:I249" si="44">G227*6</f>
        <v>18</v>
      </c>
    </row>
    <row r="228">
      <c r="A228" s="11" t="s">
        <v>11</v>
      </c>
      <c r="B228" s="12">
        <f t="shared" si="41"/>
        <v>12</v>
      </c>
      <c r="C228" s="17"/>
      <c r="D228" s="11"/>
      <c r="E228" s="13">
        <v>3.0</v>
      </c>
      <c r="F228" s="13">
        <v>2.0</v>
      </c>
      <c r="G228" s="12">
        <f t="shared" si="42"/>
        <v>1</v>
      </c>
      <c r="H228" s="12">
        <f t="shared" si="43"/>
        <v>11</v>
      </c>
      <c r="I228" s="14">
        <f t="shared" si="44"/>
        <v>6</v>
      </c>
    </row>
    <row r="229">
      <c r="A229" s="11" t="s">
        <v>12</v>
      </c>
      <c r="B229" s="12">
        <f t="shared" si="41"/>
        <v>10</v>
      </c>
      <c r="C229" s="13">
        <v>4.0</v>
      </c>
      <c r="D229" s="13">
        <v>40.0</v>
      </c>
      <c r="E229" s="13">
        <v>5.0</v>
      </c>
      <c r="F229" s="13">
        <v>4.0</v>
      </c>
      <c r="G229" s="12">
        <f t="shared" si="42"/>
        <v>1</v>
      </c>
      <c r="H229" s="12">
        <f t="shared" si="43"/>
        <v>45</v>
      </c>
      <c r="I229" s="14">
        <f t="shared" si="44"/>
        <v>6</v>
      </c>
    </row>
    <row r="230">
      <c r="A230" s="11" t="s">
        <v>13</v>
      </c>
      <c r="B230" s="12">
        <f t="shared" si="41"/>
        <v>10</v>
      </c>
      <c r="C230" s="13"/>
      <c r="D230" s="13"/>
      <c r="E230" s="13">
        <v>6.0</v>
      </c>
      <c r="F230" s="13">
        <v>4.0</v>
      </c>
      <c r="G230" s="12">
        <f t="shared" si="42"/>
        <v>2</v>
      </c>
      <c r="H230" s="12">
        <f t="shared" si="43"/>
        <v>8</v>
      </c>
      <c r="I230" s="14">
        <f t="shared" si="44"/>
        <v>12</v>
      </c>
    </row>
    <row r="231">
      <c r="A231" s="11" t="s">
        <v>14</v>
      </c>
      <c r="B231" s="12">
        <f t="shared" si="41"/>
        <v>7</v>
      </c>
      <c r="C231" s="11"/>
      <c r="D231" s="13">
        <v>29.0</v>
      </c>
      <c r="E231" s="13">
        <v>4.0</v>
      </c>
      <c r="F231" s="13">
        <v>1.0</v>
      </c>
      <c r="G231" s="12">
        <f t="shared" si="42"/>
        <v>3</v>
      </c>
      <c r="H231" s="12">
        <f t="shared" si="43"/>
        <v>33</v>
      </c>
      <c r="I231" s="14">
        <f t="shared" si="44"/>
        <v>18</v>
      </c>
    </row>
    <row r="232">
      <c r="A232" s="11" t="s">
        <v>15</v>
      </c>
      <c r="B232" s="12">
        <f t="shared" si="41"/>
        <v>29</v>
      </c>
      <c r="C232" s="11"/>
      <c r="D232" s="11"/>
      <c r="E232" s="13">
        <v>5.0</v>
      </c>
      <c r="F232" s="13">
        <v>2.0</v>
      </c>
      <c r="G232" s="12">
        <f t="shared" si="42"/>
        <v>3</v>
      </c>
      <c r="H232" s="12">
        <f t="shared" si="43"/>
        <v>26</v>
      </c>
      <c r="I232" s="14">
        <f t="shared" si="44"/>
        <v>18</v>
      </c>
    </row>
    <row r="233">
      <c r="A233" s="11" t="s">
        <v>16</v>
      </c>
      <c r="B233" s="12">
        <f t="shared" si="41"/>
        <v>8</v>
      </c>
      <c r="C233" s="11"/>
      <c r="D233" s="13">
        <v>3.0</v>
      </c>
      <c r="E233" s="13">
        <v>4.0</v>
      </c>
      <c r="F233" s="13">
        <v>2.0</v>
      </c>
      <c r="G233" s="12">
        <f t="shared" si="42"/>
        <v>2</v>
      </c>
      <c r="H233" s="12">
        <f t="shared" si="43"/>
        <v>9</v>
      </c>
      <c r="I233" s="14">
        <f t="shared" si="44"/>
        <v>12</v>
      </c>
    </row>
    <row r="234">
      <c r="A234" s="11" t="s">
        <v>17</v>
      </c>
      <c r="B234" s="12">
        <f t="shared" si="41"/>
        <v>2</v>
      </c>
      <c r="C234" s="11"/>
      <c r="D234" s="13">
        <v>2.0</v>
      </c>
      <c r="E234" s="13">
        <v>3.0</v>
      </c>
      <c r="F234" s="13">
        <v>2.0</v>
      </c>
      <c r="G234" s="12">
        <f t="shared" si="42"/>
        <v>1</v>
      </c>
      <c r="H234" s="12">
        <f t="shared" si="43"/>
        <v>3</v>
      </c>
      <c r="I234" s="14">
        <f t="shared" si="44"/>
        <v>6</v>
      </c>
    </row>
    <row r="235">
      <c r="A235" s="11" t="s">
        <v>18</v>
      </c>
      <c r="B235" s="12">
        <f t="shared" si="41"/>
        <v>36</v>
      </c>
      <c r="C235" s="11"/>
      <c r="D235" s="11"/>
      <c r="E235" s="13">
        <v>5.0</v>
      </c>
      <c r="F235" s="13">
        <v>0.0</v>
      </c>
      <c r="G235" s="12">
        <f t="shared" si="42"/>
        <v>5</v>
      </c>
      <c r="H235" s="12">
        <f t="shared" si="43"/>
        <v>31</v>
      </c>
      <c r="I235" s="14">
        <f t="shared" si="44"/>
        <v>30</v>
      </c>
    </row>
    <row r="236">
      <c r="A236" s="11" t="s">
        <v>19</v>
      </c>
      <c r="B236" s="12">
        <f t="shared" si="41"/>
        <v>15</v>
      </c>
      <c r="C236" s="11"/>
      <c r="D236" s="11"/>
      <c r="E236" s="13">
        <v>5.0</v>
      </c>
      <c r="F236" s="13">
        <v>3.0</v>
      </c>
      <c r="G236" s="12">
        <f t="shared" si="42"/>
        <v>2</v>
      </c>
      <c r="H236" s="12">
        <f t="shared" si="43"/>
        <v>13</v>
      </c>
      <c r="I236" s="14">
        <f t="shared" si="44"/>
        <v>12</v>
      </c>
    </row>
    <row r="237">
      <c r="A237" s="11" t="s">
        <v>20</v>
      </c>
      <c r="B237" s="12">
        <f t="shared" si="41"/>
        <v>24</v>
      </c>
      <c r="C237" s="11"/>
      <c r="D237" s="11"/>
      <c r="E237" s="13">
        <v>5.0</v>
      </c>
      <c r="F237" s="13">
        <v>4.0</v>
      </c>
      <c r="G237" s="12">
        <f t="shared" si="42"/>
        <v>1</v>
      </c>
      <c r="H237" s="12">
        <f t="shared" si="43"/>
        <v>23</v>
      </c>
      <c r="I237" s="14">
        <f t="shared" si="44"/>
        <v>6</v>
      </c>
    </row>
    <row r="238">
      <c r="A238" s="11" t="s">
        <v>21</v>
      </c>
      <c r="B238" s="12">
        <f t="shared" si="41"/>
        <v>17</v>
      </c>
      <c r="C238" s="11"/>
      <c r="D238" s="11"/>
      <c r="E238" s="13">
        <v>2.0</v>
      </c>
      <c r="F238" s="13">
        <v>1.0</v>
      </c>
      <c r="G238" s="12">
        <f t="shared" si="42"/>
        <v>1</v>
      </c>
      <c r="H238" s="12">
        <f t="shared" si="43"/>
        <v>16</v>
      </c>
      <c r="I238" s="14">
        <f t="shared" si="44"/>
        <v>6</v>
      </c>
    </row>
    <row r="239">
      <c r="A239" s="11" t="s">
        <v>22</v>
      </c>
      <c r="B239" s="12">
        <f t="shared" si="41"/>
        <v>20</v>
      </c>
      <c r="C239" s="11"/>
      <c r="D239" s="11"/>
      <c r="E239" s="13">
        <v>5.0</v>
      </c>
      <c r="F239" s="13">
        <v>4.0</v>
      </c>
      <c r="G239" s="12">
        <f t="shared" si="42"/>
        <v>1</v>
      </c>
      <c r="H239" s="12">
        <f t="shared" si="43"/>
        <v>19</v>
      </c>
      <c r="I239" s="14">
        <f t="shared" si="44"/>
        <v>6</v>
      </c>
    </row>
    <row r="240">
      <c r="A240" s="11" t="s">
        <v>23</v>
      </c>
      <c r="B240" s="12">
        <f t="shared" si="41"/>
        <v>26</v>
      </c>
      <c r="C240" s="17"/>
      <c r="D240" s="11"/>
      <c r="E240" s="13">
        <v>6.0</v>
      </c>
      <c r="F240" s="13">
        <v>5.0</v>
      </c>
      <c r="G240" s="12">
        <f t="shared" si="42"/>
        <v>1</v>
      </c>
      <c r="H240" s="12">
        <f t="shared" si="43"/>
        <v>25</v>
      </c>
      <c r="I240" s="14">
        <f t="shared" si="44"/>
        <v>6</v>
      </c>
    </row>
    <row r="241">
      <c r="A241" s="11" t="s">
        <v>24</v>
      </c>
      <c r="B241" s="12">
        <f t="shared" si="41"/>
        <v>12</v>
      </c>
      <c r="C241" s="11"/>
      <c r="D241" s="11"/>
      <c r="E241" s="13">
        <v>3.0</v>
      </c>
      <c r="F241" s="13">
        <v>2.0</v>
      </c>
      <c r="G241" s="12">
        <f t="shared" si="42"/>
        <v>1</v>
      </c>
      <c r="H241" s="12">
        <f t="shared" si="43"/>
        <v>11</v>
      </c>
      <c r="I241" s="14">
        <f t="shared" si="44"/>
        <v>6</v>
      </c>
    </row>
    <row r="242">
      <c r="A242" s="11" t="s">
        <v>25</v>
      </c>
      <c r="B242" s="12">
        <f t="shared" si="41"/>
        <v>34</v>
      </c>
      <c r="C242" s="13">
        <v>1.0</v>
      </c>
      <c r="D242" s="13"/>
      <c r="E242" s="13">
        <v>10.0</v>
      </c>
      <c r="F242" s="13">
        <v>1.0</v>
      </c>
      <c r="G242" s="12">
        <f t="shared" si="42"/>
        <v>9</v>
      </c>
      <c r="H242" s="12">
        <f t="shared" si="43"/>
        <v>24</v>
      </c>
      <c r="I242" s="14">
        <f t="shared" si="44"/>
        <v>54</v>
      </c>
    </row>
    <row r="243">
      <c r="A243" s="11" t="s">
        <v>26</v>
      </c>
      <c r="B243" s="12">
        <f t="shared" si="41"/>
        <v>6</v>
      </c>
      <c r="C243" s="13">
        <v>1.0</v>
      </c>
      <c r="D243" s="13">
        <v>29.0</v>
      </c>
      <c r="E243" s="13">
        <v>5.0</v>
      </c>
      <c r="F243" s="13">
        <v>4.0</v>
      </c>
      <c r="G243" s="12">
        <f t="shared" si="42"/>
        <v>1</v>
      </c>
      <c r="H243" s="12">
        <f t="shared" si="43"/>
        <v>33</v>
      </c>
      <c r="I243" s="14">
        <f t="shared" si="44"/>
        <v>6</v>
      </c>
    </row>
    <row r="244">
      <c r="A244" s="11" t="s">
        <v>27</v>
      </c>
      <c r="B244" s="12">
        <f t="shared" si="41"/>
        <v>29</v>
      </c>
      <c r="C244" s="11"/>
      <c r="D244" s="11"/>
      <c r="E244" s="13">
        <v>4.0</v>
      </c>
      <c r="F244" s="13">
        <v>4.0</v>
      </c>
      <c r="G244" s="12">
        <f t="shared" si="42"/>
        <v>0</v>
      </c>
      <c r="H244" s="12">
        <f t="shared" si="43"/>
        <v>29</v>
      </c>
      <c r="I244" s="14">
        <f t="shared" si="44"/>
        <v>0</v>
      </c>
    </row>
    <row r="245">
      <c r="A245" s="11" t="s">
        <v>28</v>
      </c>
      <c r="B245" s="12">
        <f t="shared" si="41"/>
        <v>17</v>
      </c>
      <c r="C245" s="11"/>
      <c r="D245" s="11"/>
      <c r="E245" s="13">
        <v>8.0</v>
      </c>
      <c r="F245" s="13">
        <v>2.0</v>
      </c>
      <c r="G245" s="12">
        <f t="shared" si="42"/>
        <v>6</v>
      </c>
      <c r="H245" s="12">
        <f t="shared" si="43"/>
        <v>11</v>
      </c>
      <c r="I245" s="14">
        <f t="shared" si="44"/>
        <v>36</v>
      </c>
    </row>
    <row r="246">
      <c r="A246" s="13" t="s">
        <v>29</v>
      </c>
      <c r="B246" s="12">
        <f t="shared" si="41"/>
        <v>91</v>
      </c>
      <c r="C246" s="11"/>
      <c r="D246" s="11"/>
      <c r="E246" s="13">
        <v>25.0</v>
      </c>
      <c r="F246" s="13">
        <v>1.0</v>
      </c>
      <c r="G246" s="12">
        <f t="shared" si="42"/>
        <v>24</v>
      </c>
      <c r="H246" s="12">
        <f t="shared" si="43"/>
        <v>67</v>
      </c>
      <c r="I246" s="14">
        <f t="shared" si="44"/>
        <v>144</v>
      </c>
    </row>
    <row r="247">
      <c r="A247" s="11" t="s">
        <v>30</v>
      </c>
      <c r="B247" s="12">
        <f t="shared" si="41"/>
        <v>10</v>
      </c>
      <c r="C247" s="11"/>
      <c r="D247" s="11"/>
      <c r="E247" s="13">
        <v>2.0</v>
      </c>
      <c r="F247" s="13">
        <v>2.0</v>
      </c>
      <c r="G247" s="12">
        <f t="shared" si="42"/>
        <v>0</v>
      </c>
      <c r="H247" s="12">
        <f t="shared" si="43"/>
        <v>10</v>
      </c>
      <c r="I247" s="14">
        <f t="shared" si="44"/>
        <v>0</v>
      </c>
    </row>
    <row r="248">
      <c r="A248" s="18" t="s">
        <v>31</v>
      </c>
      <c r="B248" s="12">
        <f t="shared" si="41"/>
        <v>17</v>
      </c>
      <c r="C248" s="11"/>
      <c r="D248" s="11"/>
      <c r="E248" s="13">
        <v>2.0</v>
      </c>
      <c r="F248" s="13">
        <v>2.0</v>
      </c>
      <c r="G248" s="12">
        <f t="shared" si="42"/>
        <v>0</v>
      </c>
      <c r="H248" s="12">
        <f t="shared" si="43"/>
        <v>17</v>
      </c>
      <c r="I248" s="14">
        <f t="shared" si="44"/>
        <v>0</v>
      </c>
    </row>
    <row r="249">
      <c r="A249" s="18" t="s">
        <v>32</v>
      </c>
      <c r="B249" s="12">
        <f t="shared" si="41"/>
        <v>16</v>
      </c>
      <c r="C249" s="11"/>
      <c r="D249" s="11"/>
      <c r="E249" s="13">
        <v>2.0</v>
      </c>
      <c r="F249" s="13">
        <v>2.0</v>
      </c>
      <c r="G249" s="12">
        <f t="shared" si="42"/>
        <v>0</v>
      </c>
      <c r="H249" s="12">
        <f t="shared" si="43"/>
        <v>16</v>
      </c>
      <c r="I249" s="14">
        <f t="shared" si="44"/>
        <v>0</v>
      </c>
    </row>
    <row r="250">
      <c r="A250" s="19" t="s">
        <v>33</v>
      </c>
      <c r="B250" s="20">
        <f>SUM(B227:B249)</f>
        <v>496</v>
      </c>
      <c r="C250" s="19"/>
      <c r="D250" s="19"/>
      <c r="E250" s="20">
        <f t="shared" ref="E250:G250" si="45">SUM(E226:E249)</f>
        <v>125</v>
      </c>
      <c r="F250" s="20">
        <f t="shared" si="45"/>
        <v>57</v>
      </c>
      <c r="G250" s="20">
        <f t="shared" si="45"/>
        <v>68</v>
      </c>
      <c r="H250" s="20">
        <f>SUM(H227:H249)</f>
        <v>525</v>
      </c>
      <c r="I250" s="21">
        <f>SUM(I226:I249)</f>
        <v>408</v>
      </c>
    </row>
    <row r="251">
      <c r="A251" s="22"/>
      <c r="B251" s="22"/>
      <c r="C251" s="22"/>
      <c r="D251" s="22"/>
      <c r="E251" s="22"/>
      <c r="F251" s="23" t="s">
        <v>34</v>
      </c>
      <c r="G251" s="4"/>
      <c r="H251" s="24"/>
      <c r="I251" s="25"/>
    </row>
    <row r="253">
      <c r="A253" s="1"/>
      <c r="B253" s="2" t="s">
        <v>53</v>
      </c>
      <c r="C253" s="3"/>
      <c r="D253" s="3"/>
      <c r="E253" s="3"/>
      <c r="F253" s="3"/>
      <c r="G253" s="3"/>
      <c r="H253" s="3"/>
      <c r="I253" s="4"/>
    </row>
    <row r="254">
      <c r="A254" s="5" t="s">
        <v>1</v>
      </c>
      <c r="B254" s="9" t="s">
        <v>2</v>
      </c>
      <c r="C254" s="7" t="s">
        <v>3</v>
      </c>
      <c r="D254" s="8" t="s">
        <v>4</v>
      </c>
      <c r="E254" s="5" t="s">
        <v>5</v>
      </c>
      <c r="F254" s="5" t="s">
        <v>6</v>
      </c>
      <c r="G254" s="5" t="s">
        <v>7</v>
      </c>
      <c r="H254" s="9" t="s">
        <v>8</v>
      </c>
      <c r="I254" s="10" t="s">
        <v>9</v>
      </c>
    </row>
    <row r="255">
      <c r="A255" s="11" t="s">
        <v>10</v>
      </c>
      <c r="B255" s="12">
        <f t="shared" ref="B255:B277" si="46">H227</f>
        <v>45</v>
      </c>
      <c r="C255" s="11"/>
      <c r="D255" s="11"/>
      <c r="E255" s="13">
        <v>6.0</v>
      </c>
      <c r="F255" s="13">
        <v>5.0</v>
      </c>
      <c r="G255" s="12">
        <f t="shared" ref="G255:G277" si="47">E255-F255</f>
        <v>1</v>
      </c>
      <c r="H255" s="12">
        <f t="shared" ref="H255:H277" si="48">B255-C255+D255-G255</f>
        <v>44</v>
      </c>
      <c r="I255" s="14">
        <f t="shared" ref="I255:I277" si="49">G255*6</f>
        <v>6</v>
      </c>
    </row>
    <row r="256">
      <c r="A256" s="11" t="s">
        <v>11</v>
      </c>
      <c r="B256" s="12">
        <f t="shared" si="46"/>
        <v>11</v>
      </c>
      <c r="C256" s="17"/>
      <c r="D256" s="11"/>
      <c r="E256" s="13">
        <v>3.0</v>
      </c>
      <c r="F256" s="13">
        <v>3.0</v>
      </c>
      <c r="G256" s="12">
        <f t="shared" si="47"/>
        <v>0</v>
      </c>
      <c r="H256" s="12">
        <f t="shared" si="48"/>
        <v>11</v>
      </c>
      <c r="I256" s="14">
        <f t="shared" si="49"/>
        <v>0</v>
      </c>
    </row>
    <row r="257">
      <c r="A257" s="11" t="s">
        <v>12</v>
      </c>
      <c r="B257" s="12">
        <f t="shared" si="46"/>
        <v>45</v>
      </c>
      <c r="C257" s="11"/>
      <c r="D257" s="11"/>
      <c r="E257" s="13">
        <v>5.0</v>
      </c>
      <c r="F257" s="13">
        <v>4.0</v>
      </c>
      <c r="G257" s="12">
        <f t="shared" si="47"/>
        <v>1</v>
      </c>
      <c r="H257" s="12">
        <f t="shared" si="48"/>
        <v>44</v>
      </c>
      <c r="I257" s="14">
        <f t="shared" si="49"/>
        <v>6</v>
      </c>
    </row>
    <row r="258">
      <c r="A258" s="11" t="s">
        <v>13</v>
      </c>
      <c r="B258" s="12">
        <f t="shared" si="46"/>
        <v>8</v>
      </c>
      <c r="C258" s="13"/>
      <c r="D258" s="13"/>
      <c r="E258" s="13">
        <v>6.0</v>
      </c>
      <c r="F258" s="13">
        <v>4.0</v>
      </c>
      <c r="G258" s="12">
        <f t="shared" si="47"/>
        <v>2</v>
      </c>
      <c r="H258" s="12">
        <f t="shared" si="48"/>
        <v>6</v>
      </c>
      <c r="I258" s="14">
        <f t="shared" si="49"/>
        <v>12</v>
      </c>
    </row>
    <row r="259">
      <c r="A259" s="11" t="s">
        <v>14</v>
      </c>
      <c r="B259" s="12">
        <f t="shared" si="46"/>
        <v>33</v>
      </c>
      <c r="C259" s="11"/>
      <c r="D259" s="11"/>
      <c r="E259" s="13">
        <v>4.0</v>
      </c>
      <c r="F259" s="13">
        <v>1.0</v>
      </c>
      <c r="G259" s="12">
        <f t="shared" si="47"/>
        <v>3</v>
      </c>
      <c r="H259" s="12">
        <f t="shared" si="48"/>
        <v>30</v>
      </c>
      <c r="I259" s="14">
        <f t="shared" si="49"/>
        <v>18</v>
      </c>
    </row>
    <row r="260">
      <c r="A260" s="11" t="s">
        <v>15</v>
      </c>
      <c r="B260" s="12">
        <f t="shared" si="46"/>
        <v>26</v>
      </c>
      <c r="C260" s="11"/>
      <c r="D260" s="11"/>
      <c r="E260" s="13">
        <v>6.0</v>
      </c>
      <c r="F260" s="13">
        <v>3.0</v>
      </c>
      <c r="G260" s="12">
        <f t="shared" si="47"/>
        <v>3</v>
      </c>
      <c r="H260" s="12">
        <f t="shared" si="48"/>
        <v>23</v>
      </c>
      <c r="I260" s="14">
        <f t="shared" si="49"/>
        <v>18</v>
      </c>
    </row>
    <row r="261">
      <c r="A261" s="11" t="s">
        <v>16</v>
      </c>
      <c r="B261" s="12">
        <f t="shared" si="46"/>
        <v>9</v>
      </c>
      <c r="C261" s="11"/>
      <c r="D261" s="11"/>
      <c r="E261" s="13">
        <v>4.0</v>
      </c>
      <c r="F261" s="13">
        <v>1.0</v>
      </c>
      <c r="G261" s="12">
        <f t="shared" si="47"/>
        <v>3</v>
      </c>
      <c r="H261" s="12">
        <f t="shared" si="48"/>
        <v>6</v>
      </c>
      <c r="I261" s="14">
        <f t="shared" si="49"/>
        <v>18</v>
      </c>
    </row>
    <row r="262">
      <c r="A262" s="11" t="s">
        <v>17</v>
      </c>
      <c r="B262" s="12">
        <f t="shared" si="46"/>
        <v>3</v>
      </c>
      <c r="C262" s="11"/>
      <c r="D262" s="13">
        <v>30.0</v>
      </c>
      <c r="E262" s="13">
        <v>3.0</v>
      </c>
      <c r="F262" s="13">
        <v>0.0</v>
      </c>
      <c r="G262" s="12">
        <f t="shared" si="47"/>
        <v>3</v>
      </c>
      <c r="H262" s="12">
        <f t="shared" si="48"/>
        <v>30</v>
      </c>
      <c r="I262" s="14">
        <f t="shared" si="49"/>
        <v>18</v>
      </c>
    </row>
    <row r="263">
      <c r="A263" s="11" t="s">
        <v>18</v>
      </c>
      <c r="B263" s="12">
        <f t="shared" si="46"/>
        <v>31</v>
      </c>
      <c r="C263" s="11"/>
      <c r="D263" s="11"/>
      <c r="E263" s="13">
        <v>5.0</v>
      </c>
      <c r="F263" s="13">
        <v>5.0</v>
      </c>
      <c r="G263" s="12">
        <f t="shared" si="47"/>
        <v>0</v>
      </c>
      <c r="H263" s="12">
        <f t="shared" si="48"/>
        <v>31</v>
      </c>
      <c r="I263" s="14">
        <f t="shared" si="49"/>
        <v>0</v>
      </c>
    </row>
    <row r="264">
      <c r="A264" s="11" t="s">
        <v>19</v>
      </c>
      <c r="B264" s="12">
        <f t="shared" si="46"/>
        <v>13</v>
      </c>
      <c r="C264" s="11"/>
      <c r="D264" s="11"/>
      <c r="E264" s="13">
        <v>5.0</v>
      </c>
      <c r="F264" s="13">
        <v>2.0</v>
      </c>
      <c r="G264" s="12">
        <f t="shared" si="47"/>
        <v>3</v>
      </c>
      <c r="H264" s="12">
        <f t="shared" si="48"/>
        <v>10</v>
      </c>
      <c r="I264" s="14">
        <f t="shared" si="49"/>
        <v>18</v>
      </c>
    </row>
    <row r="265">
      <c r="A265" s="11" t="s">
        <v>20</v>
      </c>
      <c r="B265" s="12">
        <f t="shared" si="46"/>
        <v>23</v>
      </c>
      <c r="C265" s="11"/>
      <c r="D265" s="11"/>
      <c r="E265" s="13">
        <v>5.0</v>
      </c>
      <c r="F265" s="13">
        <v>2.0</v>
      </c>
      <c r="G265" s="12">
        <f t="shared" si="47"/>
        <v>3</v>
      </c>
      <c r="H265" s="12">
        <f t="shared" si="48"/>
        <v>20</v>
      </c>
      <c r="I265" s="14">
        <f t="shared" si="49"/>
        <v>18</v>
      </c>
    </row>
    <row r="266">
      <c r="A266" s="11" t="s">
        <v>21</v>
      </c>
      <c r="B266" s="12">
        <f t="shared" si="46"/>
        <v>16</v>
      </c>
      <c r="C266" s="11"/>
      <c r="D266" s="11"/>
      <c r="E266" s="13">
        <v>2.0</v>
      </c>
      <c r="F266" s="13">
        <v>1.0</v>
      </c>
      <c r="G266" s="12">
        <f t="shared" si="47"/>
        <v>1</v>
      </c>
      <c r="H266" s="12">
        <f t="shared" si="48"/>
        <v>15</v>
      </c>
      <c r="I266" s="14">
        <f t="shared" si="49"/>
        <v>6</v>
      </c>
    </row>
    <row r="267">
      <c r="A267" s="11" t="s">
        <v>22</v>
      </c>
      <c r="B267" s="12">
        <f t="shared" si="46"/>
        <v>19</v>
      </c>
      <c r="C267" s="11"/>
      <c r="D267" s="11"/>
      <c r="E267" s="13">
        <v>5.0</v>
      </c>
      <c r="F267" s="13">
        <v>4.0</v>
      </c>
      <c r="G267" s="12">
        <f t="shared" si="47"/>
        <v>1</v>
      </c>
      <c r="H267" s="12">
        <f t="shared" si="48"/>
        <v>18</v>
      </c>
      <c r="I267" s="14">
        <f t="shared" si="49"/>
        <v>6</v>
      </c>
    </row>
    <row r="268">
      <c r="A268" s="11" t="s">
        <v>23</v>
      </c>
      <c r="B268" s="12">
        <f t="shared" si="46"/>
        <v>25</v>
      </c>
      <c r="C268" s="17"/>
      <c r="D268" s="11"/>
      <c r="E268" s="13">
        <v>6.0</v>
      </c>
      <c r="F268" s="13">
        <v>1.0</v>
      </c>
      <c r="G268" s="12">
        <f t="shared" si="47"/>
        <v>5</v>
      </c>
      <c r="H268" s="12">
        <f t="shared" si="48"/>
        <v>20</v>
      </c>
      <c r="I268" s="14">
        <f t="shared" si="49"/>
        <v>30</v>
      </c>
    </row>
    <row r="269">
      <c r="A269" s="11" t="s">
        <v>24</v>
      </c>
      <c r="B269" s="12">
        <f t="shared" si="46"/>
        <v>11</v>
      </c>
      <c r="C269" s="11"/>
      <c r="D269" s="11"/>
      <c r="E269" s="13">
        <v>3.0</v>
      </c>
      <c r="F269" s="13">
        <v>1.0</v>
      </c>
      <c r="G269" s="12">
        <f t="shared" si="47"/>
        <v>2</v>
      </c>
      <c r="H269" s="12">
        <f t="shared" si="48"/>
        <v>9</v>
      </c>
      <c r="I269" s="14">
        <f t="shared" si="49"/>
        <v>12</v>
      </c>
    </row>
    <row r="270">
      <c r="A270" s="11" t="s">
        <v>25</v>
      </c>
      <c r="B270" s="12">
        <f t="shared" si="46"/>
        <v>24</v>
      </c>
      <c r="C270" s="11"/>
      <c r="D270" s="13"/>
      <c r="E270" s="13">
        <v>8.0</v>
      </c>
      <c r="F270" s="13">
        <v>0.0</v>
      </c>
      <c r="G270" s="12">
        <f t="shared" si="47"/>
        <v>8</v>
      </c>
      <c r="H270" s="12">
        <f t="shared" si="48"/>
        <v>16</v>
      </c>
      <c r="I270" s="14">
        <f t="shared" si="49"/>
        <v>48</v>
      </c>
    </row>
    <row r="271">
      <c r="A271" s="11" t="s">
        <v>26</v>
      </c>
      <c r="B271" s="12">
        <f t="shared" si="46"/>
        <v>33</v>
      </c>
      <c r="C271" s="11"/>
      <c r="D271" s="11"/>
      <c r="E271" s="13">
        <v>4.0</v>
      </c>
      <c r="F271" s="13">
        <v>4.0</v>
      </c>
      <c r="G271" s="12">
        <f t="shared" si="47"/>
        <v>0</v>
      </c>
      <c r="H271" s="12">
        <f t="shared" si="48"/>
        <v>33</v>
      </c>
      <c r="I271" s="14">
        <f t="shared" si="49"/>
        <v>0</v>
      </c>
    </row>
    <row r="272">
      <c r="A272" s="11" t="s">
        <v>27</v>
      </c>
      <c r="B272" s="12">
        <f t="shared" si="46"/>
        <v>29</v>
      </c>
      <c r="C272" s="11"/>
      <c r="D272" s="11"/>
      <c r="E272" s="13">
        <v>4.0</v>
      </c>
      <c r="F272" s="13">
        <v>3.0</v>
      </c>
      <c r="G272" s="12">
        <f t="shared" si="47"/>
        <v>1</v>
      </c>
      <c r="H272" s="12">
        <f t="shared" si="48"/>
        <v>28</v>
      </c>
      <c r="I272" s="14">
        <f t="shared" si="49"/>
        <v>6</v>
      </c>
    </row>
    <row r="273">
      <c r="A273" s="11" t="s">
        <v>28</v>
      </c>
      <c r="B273" s="12">
        <f t="shared" si="46"/>
        <v>11</v>
      </c>
      <c r="C273" s="11"/>
      <c r="D273" s="11"/>
      <c r="E273" s="13">
        <v>8.0</v>
      </c>
      <c r="F273" s="13">
        <v>6.0</v>
      </c>
      <c r="G273" s="12">
        <f t="shared" si="47"/>
        <v>2</v>
      </c>
      <c r="H273" s="12">
        <f t="shared" si="48"/>
        <v>9</v>
      </c>
      <c r="I273" s="14">
        <f t="shared" si="49"/>
        <v>12</v>
      </c>
    </row>
    <row r="274">
      <c r="A274" s="13" t="s">
        <v>29</v>
      </c>
      <c r="B274" s="12">
        <f t="shared" si="46"/>
        <v>67</v>
      </c>
      <c r="C274" s="13"/>
      <c r="D274" s="13">
        <v>26.0</v>
      </c>
      <c r="E274" s="13">
        <v>28.0</v>
      </c>
      <c r="F274" s="13">
        <v>13.0</v>
      </c>
      <c r="G274" s="12">
        <f t="shared" si="47"/>
        <v>15</v>
      </c>
      <c r="H274" s="12">
        <f t="shared" si="48"/>
        <v>78</v>
      </c>
      <c r="I274" s="14">
        <f t="shared" si="49"/>
        <v>90</v>
      </c>
    </row>
    <row r="275">
      <c r="A275" s="11" t="s">
        <v>30</v>
      </c>
      <c r="B275" s="12">
        <f t="shared" si="46"/>
        <v>10</v>
      </c>
      <c r="C275" s="11"/>
      <c r="D275" s="11"/>
      <c r="E275" s="13">
        <v>2.0</v>
      </c>
      <c r="F275" s="13">
        <v>2.0</v>
      </c>
      <c r="G275" s="12">
        <f t="shared" si="47"/>
        <v>0</v>
      </c>
      <c r="H275" s="12">
        <f t="shared" si="48"/>
        <v>10</v>
      </c>
      <c r="I275" s="14">
        <f t="shared" si="49"/>
        <v>0</v>
      </c>
    </row>
    <row r="276">
      <c r="A276" s="18" t="s">
        <v>31</v>
      </c>
      <c r="B276" s="12">
        <f t="shared" si="46"/>
        <v>17</v>
      </c>
      <c r="C276" s="11"/>
      <c r="D276" s="11"/>
      <c r="E276" s="13">
        <v>2.0</v>
      </c>
      <c r="F276" s="13">
        <v>1.0</v>
      </c>
      <c r="G276" s="12">
        <f t="shared" si="47"/>
        <v>1</v>
      </c>
      <c r="H276" s="12">
        <f t="shared" si="48"/>
        <v>16</v>
      </c>
      <c r="I276" s="14">
        <f t="shared" si="49"/>
        <v>6</v>
      </c>
    </row>
    <row r="277">
      <c r="A277" s="18" t="s">
        <v>32</v>
      </c>
      <c r="B277" s="12">
        <f t="shared" si="46"/>
        <v>16</v>
      </c>
      <c r="C277" s="11"/>
      <c r="D277" s="11"/>
      <c r="E277" s="13">
        <v>2.0</v>
      </c>
      <c r="F277" s="13">
        <v>2.0</v>
      </c>
      <c r="G277" s="12">
        <f t="shared" si="47"/>
        <v>0</v>
      </c>
      <c r="H277" s="12">
        <f t="shared" si="48"/>
        <v>16</v>
      </c>
      <c r="I277" s="14">
        <f t="shared" si="49"/>
        <v>0</v>
      </c>
    </row>
    <row r="278">
      <c r="A278" s="19" t="s">
        <v>33</v>
      </c>
      <c r="B278" s="20">
        <f>SUM(B255:B277)</f>
        <v>525</v>
      </c>
      <c r="C278" s="19"/>
      <c r="D278" s="19"/>
      <c r="E278" s="20">
        <f t="shared" ref="E278:G278" si="50">SUM(E254:E277)</f>
        <v>126</v>
      </c>
      <c r="F278" s="20">
        <f t="shared" si="50"/>
        <v>68</v>
      </c>
      <c r="G278" s="20">
        <f t="shared" si="50"/>
        <v>58</v>
      </c>
      <c r="H278" s="20">
        <f>SUM(H255:H277)</f>
        <v>523</v>
      </c>
      <c r="I278" s="21">
        <f>SUM(I254:I277)</f>
        <v>348</v>
      </c>
    </row>
    <row r="279">
      <c r="A279" s="22"/>
      <c r="B279" s="22"/>
      <c r="C279" s="22"/>
      <c r="D279" s="22"/>
      <c r="E279" s="22"/>
      <c r="F279" s="23" t="s">
        <v>34</v>
      </c>
      <c r="G279" s="4"/>
      <c r="H279" s="24"/>
      <c r="I279" s="25"/>
    </row>
    <row r="281">
      <c r="A281" s="1"/>
      <c r="B281" s="2" t="s">
        <v>54</v>
      </c>
      <c r="C281" s="3"/>
      <c r="D281" s="3"/>
      <c r="E281" s="3"/>
      <c r="F281" s="3"/>
      <c r="G281" s="3"/>
      <c r="H281" s="3"/>
      <c r="I281" s="4"/>
    </row>
    <row r="282">
      <c r="A282" s="5" t="s">
        <v>1</v>
      </c>
      <c r="B282" s="6" t="s">
        <v>2</v>
      </c>
      <c r="C282" s="7" t="s">
        <v>3</v>
      </c>
      <c r="D282" s="8" t="s">
        <v>4</v>
      </c>
      <c r="E282" s="5" t="s">
        <v>5</v>
      </c>
      <c r="F282" s="5" t="s">
        <v>6</v>
      </c>
      <c r="G282" s="5" t="s">
        <v>7</v>
      </c>
      <c r="H282" s="9" t="s">
        <v>8</v>
      </c>
      <c r="I282" s="10" t="s">
        <v>9</v>
      </c>
    </row>
    <row r="283">
      <c r="A283" s="11" t="s">
        <v>10</v>
      </c>
      <c r="B283" s="12">
        <f t="shared" ref="B283:B305" si="51">H255</f>
        <v>44</v>
      </c>
      <c r="C283" s="11"/>
      <c r="D283" s="11"/>
      <c r="E283" s="13">
        <v>6.0</v>
      </c>
      <c r="F283" s="13">
        <v>4.0</v>
      </c>
      <c r="G283" s="12">
        <f t="shared" ref="G283:G305" si="52">E283-F283</f>
        <v>2</v>
      </c>
      <c r="H283" s="12">
        <f t="shared" ref="H283:H305" si="53">B283-C283+D283-G283</f>
        <v>42</v>
      </c>
      <c r="I283" s="14">
        <f t="shared" ref="I283:I305" si="54">G283*6</f>
        <v>12</v>
      </c>
    </row>
    <row r="284">
      <c r="A284" s="11" t="s">
        <v>11</v>
      </c>
      <c r="B284" s="12">
        <f t="shared" si="51"/>
        <v>11</v>
      </c>
      <c r="C284" s="15">
        <v>1.0</v>
      </c>
      <c r="D284" s="11"/>
      <c r="E284" s="13">
        <v>3.0</v>
      </c>
      <c r="F284" s="13">
        <v>3.0</v>
      </c>
      <c r="G284" s="12">
        <f t="shared" si="52"/>
        <v>0</v>
      </c>
      <c r="H284" s="12">
        <f t="shared" si="53"/>
        <v>10</v>
      </c>
      <c r="I284" s="14">
        <f t="shared" si="54"/>
        <v>0</v>
      </c>
    </row>
    <row r="285">
      <c r="A285" s="11" t="s">
        <v>12</v>
      </c>
      <c r="B285" s="12">
        <f t="shared" si="51"/>
        <v>44</v>
      </c>
      <c r="C285" s="13">
        <v>5.0</v>
      </c>
      <c r="D285" s="11"/>
      <c r="E285" s="13">
        <v>5.0</v>
      </c>
      <c r="F285" s="13">
        <v>2.0</v>
      </c>
      <c r="G285" s="12">
        <f t="shared" si="52"/>
        <v>3</v>
      </c>
      <c r="H285" s="12">
        <f t="shared" si="53"/>
        <v>36</v>
      </c>
      <c r="I285" s="14">
        <f t="shared" si="54"/>
        <v>18</v>
      </c>
    </row>
    <row r="286">
      <c r="A286" s="11" t="s">
        <v>13</v>
      </c>
      <c r="B286" s="12">
        <f t="shared" si="51"/>
        <v>6</v>
      </c>
      <c r="C286" s="13">
        <v>2.0</v>
      </c>
      <c r="D286" s="13">
        <v>30.0</v>
      </c>
      <c r="E286" s="13">
        <v>8.0</v>
      </c>
      <c r="F286" s="13">
        <v>3.0</v>
      </c>
      <c r="G286" s="12">
        <f t="shared" si="52"/>
        <v>5</v>
      </c>
      <c r="H286" s="12">
        <f t="shared" si="53"/>
        <v>29</v>
      </c>
      <c r="I286" s="14">
        <f t="shared" si="54"/>
        <v>30</v>
      </c>
    </row>
    <row r="287">
      <c r="A287" s="11" t="s">
        <v>14</v>
      </c>
      <c r="B287" s="12">
        <f t="shared" si="51"/>
        <v>30</v>
      </c>
      <c r="C287" s="11"/>
      <c r="D287" s="11"/>
      <c r="E287" s="13">
        <v>4.0</v>
      </c>
      <c r="F287" s="13">
        <v>4.0</v>
      </c>
      <c r="G287" s="12">
        <f t="shared" si="52"/>
        <v>0</v>
      </c>
      <c r="H287" s="12">
        <f t="shared" si="53"/>
        <v>30</v>
      </c>
      <c r="I287" s="14">
        <f t="shared" si="54"/>
        <v>0</v>
      </c>
    </row>
    <row r="288">
      <c r="A288" s="11" t="s">
        <v>15</v>
      </c>
      <c r="B288" s="12">
        <f t="shared" si="51"/>
        <v>23</v>
      </c>
      <c r="C288" s="13">
        <v>2.0</v>
      </c>
      <c r="D288" s="11"/>
      <c r="E288" s="13">
        <v>5.0</v>
      </c>
      <c r="F288" s="13">
        <v>2.0</v>
      </c>
      <c r="G288" s="12">
        <f t="shared" si="52"/>
        <v>3</v>
      </c>
      <c r="H288" s="12">
        <f t="shared" si="53"/>
        <v>18</v>
      </c>
      <c r="I288" s="14">
        <f t="shared" si="54"/>
        <v>18</v>
      </c>
    </row>
    <row r="289">
      <c r="A289" s="11" t="s">
        <v>16</v>
      </c>
      <c r="B289" s="12">
        <f t="shared" si="51"/>
        <v>6</v>
      </c>
      <c r="C289" s="11"/>
      <c r="D289" s="13">
        <v>30.0</v>
      </c>
      <c r="E289" s="13">
        <v>3.0</v>
      </c>
      <c r="F289" s="13">
        <v>2.0</v>
      </c>
      <c r="G289" s="12">
        <f t="shared" si="52"/>
        <v>1</v>
      </c>
      <c r="H289" s="12">
        <f t="shared" si="53"/>
        <v>35</v>
      </c>
      <c r="I289" s="14">
        <f t="shared" si="54"/>
        <v>6</v>
      </c>
    </row>
    <row r="290">
      <c r="A290" s="11" t="s">
        <v>17</v>
      </c>
      <c r="B290" s="12">
        <f t="shared" si="51"/>
        <v>30</v>
      </c>
      <c r="C290" s="11"/>
      <c r="D290" s="13"/>
      <c r="E290" s="13">
        <v>6.0</v>
      </c>
      <c r="F290" s="13">
        <v>2.0</v>
      </c>
      <c r="G290" s="12">
        <f t="shared" si="52"/>
        <v>4</v>
      </c>
      <c r="H290" s="12">
        <f t="shared" si="53"/>
        <v>26</v>
      </c>
      <c r="I290" s="14">
        <f t="shared" si="54"/>
        <v>24</v>
      </c>
    </row>
    <row r="291">
      <c r="A291" s="11" t="s">
        <v>18</v>
      </c>
      <c r="B291" s="12">
        <f t="shared" si="51"/>
        <v>31</v>
      </c>
      <c r="C291" s="11"/>
      <c r="D291" s="11"/>
      <c r="E291" s="13">
        <v>10.0</v>
      </c>
      <c r="F291" s="13">
        <v>10.0</v>
      </c>
      <c r="G291" s="12">
        <f t="shared" si="52"/>
        <v>0</v>
      </c>
      <c r="H291" s="12">
        <f t="shared" si="53"/>
        <v>31</v>
      </c>
      <c r="I291" s="14">
        <f t="shared" si="54"/>
        <v>0</v>
      </c>
    </row>
    <row r="292">
      <c r="A292" s="11" t="s">
        <v>19</v>
      </c>
      <c r="B292" s="12">
        <f t="shared" si="51"/>
        <v>10</v>
      </c>
      <c r="C292" s="11"/>
      <c r="D292" s="13">
        <v>30.0</v>
      </c>
      <c r="E292" s="13">
        <v>5.0</v>
      </c>
      <c r="F292" s="13">
        <v>5.0</v>
      </c>
      <c r="G292" s="12">
        <f t="shared" si="52"/>
        <v>0</v>
      </c>
      <c r="H292" s="12">
        <f t="shared" si="53"/>
        <v>40</v>
      </c>
      <c r="I292" s="14">
        <f t="shared" si="54"/>
        <v>0</v>
      </c>
    </row>
    <row r="293">
      <c r="A293" s="11" t="s">
        <v>20</v>
      </c>
      <c r="B293" s="12">
        <f t="shared" si="51"/>
        <v>20</v>
      </c>
      <c r="C293" s="11"/>
      <c r="D293" s="11"/>
      <c r="E293" s="13">
        <v>5.0</v>
      </c>
      <c r="F293" s="13">
        <v>4.0</v>
      </c>
      <c r="G293" s="12">
        <f t="shared" si="52"/>
        <v>1</v>
      </c>
      <c r="H293" s="12">
        <f t="shared" si="53"/>
        <v>19</v>
      </c>
      <c r="I293" s="14">
        <f t="shared" si="54"/>
        <v>6</v>
      </c>
    </row>
    <row r="294">
      <c r="A294" s="11" t="s">
        <v>21</v>
      </c>
      <c r="B294" s="12">
        <f t="shared" si="51"/>
        <v>15</v>
      </c>
      <c r="C294" s="13">
        <v>1.0</v>
      </c>
      <c r="D294" s="11"/>
      <c r="E294" s="13">
        <v>2.0</v>
      </c>
      <c r="F294" s="13">
        <v>2.0</v>
      </c>
      <c r="G294" s="12">
        <f t="shared" si="52"/>
        <v>0</v>
      </c>
      <c r="H294" s="12">
        <f t="shared" si="53"/>
        <v>14</v>
      </c>
      <c r="I294" s="14">
        <f t="shared" si="54"/>
        <v>0</v>
      </c>
    </row>
    <row r="295">
      <c r="A295" s="11" t="s">
        <v>22</v>
      </c>
      <c r="B295" s="12">
        <f t="shared" si="51"/>
        <v>18</v>
      </c>
      <c r="C295" s="11"/>
      <c r="D295" s="11"/>
      <c r="E295" s="13">
        <v>5.0</v>
      </c>
      <c r="F295" s="13">
        <v>2.0</v>
      </c>
      <c r="G295" s="12">
        <f t="shared" si="52"/>
        <v>3</v>
      </c>
      <c r="H295" s="12">
        <f t="shared" si="53"/>
        <v>15</v>
      </c>
      <c r="I295" s="14">
        <f t="shared" si="54"/>
        <v>18</v>
      </c>
    </row>
    <row r="296">
      <c r="A296" s="11" t="s">
        <v>23</v>
      </c>
      <c r="B296" s="12">
        <f t="shared" si="51"/>
        <v>20</v>
      </c>
      <c r="C296" s="17"/>
      <c r="D296" s="11"/>
      <c r="E296" s="13">
        <v>6.0</v>
      </c>
      <c r="F296" s="13">
        <v>1.0</v>
      </c>
      <c r="G296" s="12">
        <f t="shared" si="52"/>
        <v>5</v>
      </c>
      <c r="H296" s="12">
        <f t="shared" si="53"/>
        <v>15</v>
      </c>
      <c r="I296" s="14">
        <f t="shared" si="54"/>
        <v>30</v>
      </c>
    </row>
    <row r="297">
      <c r="A297" s="11" t="s">
        <v>24</v>
      </c>
      <c r="B297" s="12">
        <f t="shared" si="51"/>
        <v>9</v>
      </c>
      <c r="C297" s="13">
        <v>2.0</v>
      </c>
      <c r="D297" s="11"/>
      <c r="E297" s="13">
        <v>3.0</v>
      </c>
      <c r="F297" s="13">
        <v>2.0</v>
      </c>
      <c r="G297" s="12">
        <f t="shared" si="52"/>
        <v>1</v>
      </c>
      <c r="H297" s="12">
        <f t="shared" si="53"/>
        <v>6</v>
      </c>
      <c r="I297" s="14">
        <f t="shared" si="54"/>
        <v>6</v>
      </c>
    </row>
    <row r="298">
      <c r="A298" s="11" t="s">
        <v>25</v>
      </c>
      <c r="B298" s="12">
        <f t="shared" si="51"/>
        <v>16</v>
      </c>
      <c r="C298" s="11"/>
      <c r="D298" s="13"/>
      <c r="E298" s="13">
        <v>8.0</v>
      </c>
      <c r="F298" s="13">
        <v>6.0</v>
      </c>
      <c r="G298" s="12">
        <f t="shared" si="52"/>
        <v>2</v>
      </c>
      <c r="H298" s="12">
        <f t="shared" si="53"/>
        <v>14</v>
      </c>
      <c r="I298" s="14">
        <f t="shared" si="54"/>
        <v>12</v>
      </c>
    </row>
    <row r="299">
      <c r="A299" s="11" t="s">
        <v>26</v>
      </c>
      <c r="B299" s="12">
        <f t="shared" si="51"/>
        <v>33</v>
      </c>
      <c r="C299" s="11"/>
      <c r="D299" s="11"/>
      <c r="E299" s="13">
        <v>4.0</v>
      </c>
      <c r="F299" s="13">
        <v>3.0</v>
      </c>
      <c r="G299" s="12">
        <f t="shared" si="52"/>
        <v>1</v>
      </c>
      <c r="H299" s="12">
        <f t="shared" si="53"/>
        <v>32</v>
      </c>
      <c r="I299" s="14">
        <f t="shared" si="54"/>
        <v>6</v>
      </c>
    </row>
    <row r="300">
      <c r="A300" s="11" t="s">
        <v>27</v>
      </c>
      <c r="B300" s="12">
        <f t="shared" si="51"/>
        <v>28</v>
      </c>
      <c r="C300" s="11"/>
      <c r="D300" s="11"/>
      <c r="E300" s="13">
        <v>4.0</v>
      </c>
      <c r="F300" s="13"/>
      <c r="G300" s="12">
        <f t="shared" si="52"/>
        <v>4</v>
      </c>
      <c r="H300" s="12">
        <f t="shared" si="53"/>
        <v>24</v>
      </c>
      <c r="I300" s="14">
        <f t="shared" si="54"/>
        <v>24</v>
      </c>
    </row>
    <row r="301">
      <c r="A301" s="11" t="s">
        <v>28</v>
      </c>
      <c r="B301" s="12">
        <f t="shared" si="51"/>
        <v>9</v>
      </c>
      <c r="C301" s="11"/>
      <c r="D301" s="13">
        <v>37.0</v>
      </c>
      <c r="E301" s="13">
        <v>8.0</v>
      </c>
      <c r="F301" s="13">
        <v>6.0</v>
      </c>
      <c r="G301" s="12">
        <f t="shared" si="52"/>
        <v>2</v>
      </c>
      <c r="H301" s="12">
        <f t="shared" si="53"/>
        <v>44</v>
      </c>
      <c r="I301" s="14">
        <f t="shared" si="54"/>
        <v>12</v>
      </c>
    </row>
    <row r="302">
      <c r="A302" s="13" t="s">
        <v>29</v>
      </c>
      <c r="B302" s="12">
        <f t="shared" si="51"/>
        <v>78</v>
      </c>
      <c r="C302" s="13">
        <v>5.0</v>
      </c>
      <c r="D302" s="13">
        <v>55.0</v>
      </c>
      <c r="E302" s="13">
        <v>32.0</v>
      </c>
      <c r="F302" s="13">
        <v>7.0</v>
      </c>
      <c r="G302" s="12">
        <f t="shared" si="52"/>
        <v>25</v>
      </c>
      <c r="H302" s="12">
        <f t="shared" si="53"/>
        <v>103</v>
      </c>
      <c r="I302" s="14">
        <f t="shared" si="54"/>
        <v>150</v>
      </c>
    </row>
    <row r="303">
      <c r="A303" s="11" t="s">
        <v>30</v>
      </c>
      <c r="B303" s="12">
        <f t="shared" si="51"/>
        <v>10</v>
      </c>
      <c r="C303" s="11"/>
      <c r="D303" s="11"/>
      <c r="E303" s="13">
        <v>2.0</v>
      </c>
      <c r="F303" s="13">
        <v>2.0</v>
      </c>
      <c r="G303" s="12">
        <f t="shared" si="52"/>
        <v>0</v>
      </c>
      <c r="H303" s="12">
        <f t="shared" si="53"/>
        <v>10</v>
      </c>
      <c r="I303" s="14">
        <f t="shared" si="54"/>
        <v>0</v>
      </c>
    </row>
    <row r="304">
      <c r="A304" s="18" t="s">
        <v>31</v>
      </c>
      <c r="B304" s="12">
        <f t="shared" si="51"/>
        <v>16</v>
      </c>
      <c r="C304" s="11"/>
      <c r="D304" s="11"/>
      <c r="E304" s="13">
        <v>2.0</v>
      </c>
      <c r="F304" s="13">
        <v>2.0</v>
      </c>
      <c r="G304" s="12">
        <f t="shared" si="52"/>
        <v>0</v>
      </c>
      <c r="H304" s="12">
        <f t="shared" si="53"/>
        <v>16</v>
      </c>
      <c r="I304" s="14">
        <f t="shared" si="54"/>
        <v>0</v>
      </c>
    </row>
    <row r="305">
      <c r="A305" s="18" t="s">
        <v>32</v>
      </c>
      <c r="B305" s="12">
        <f t="shared" si="51"/>
        <v>16</v>
      </c>
      <c r="C305" s="11"/>
      <c r="D305" s="11"/>
      <c r="E305" s="13">
        <v>2.0</v>
      </c>
      <c r="F305" s="13">
        <v>2.0</v>
      </c>
      <c r="G305" s="12">
        <f t="shared" si="52"/>
        <v>0</v>
      </c>
      <c r="H305" s="12">
        <f t="shared" si="53"/>
        <v>16</v>
      </c>
      <c r="I305" s="14">
        <f t="shared" si="54"/>
        <v>0</v>
      </c>
    </row>
    <row r="306">
      <c r="A306" s="19" t="s">
        <v>33</v>
      </c>
      <c r="B306" s="20">
        <f>SUM(B283:B305)</f>
        <v>523</v>
      </c>
      <c r="C306" s="19"/>
      <c r="D306" s="19"/>
      <c r="E306" s="20">
        <f t="shared" ref="E306:G306" si="55">SUM(E282:E305)</f>
        <v>138</v>
      </c>
      <c r="F306" s="20">
        <f t="shared" si="55"/>
        <v>76</v>
      </c>
      <c r="G306" s="20">
        <f t="shared" si="55"/>
        <v>62</v>
      </c>
      <c r="H306" s="20">
        <f>SUM(H283:H305)</f>
        <v>625</v>
      </c>
      <c r="I306" s="21">
        <f>SUM(I282:I305)</f>
        <v>372</v>
      </c>
    </row>
    <row r="307">
      <c r="A307" s="22"/>
      <c r="B307" s="22"/>
      <c r="C307" s="22"/>
      <c r="D307" s="22"/>
      <c r="E307" s="22"/>
      <c r="F307" s="23" t="s">
        <v>34</v>
      </c>
      <c r="G307" s="4"/>
      <c r="H307" s="24"/>
      <c r="I307" s="25"/>
    </row>
    <row r="309">
      <c r="A309" s="1"/>
      <c r="B309" s="2" t="s">
        <v>55</v>
      </c>
      <c r="C309" s="3"/>
      <c r="D309" s="3"/>
      <c r="E309" s="3"/>
      <c r="F309" s="3"/>
      <c r="G309" s="3"/>
      <c r="H309" s="3"/>
      <c r="I309" s="4"/>
    </row>
    <row r="310">
      <c r="A310" s="5" t="s">
        <v>1</v>
      </c>
      <c r="B310" s="6" t="s">
        <v>2</v>
      </c>
      <c r="C310" s="7" t="s">
        <v>3</v>
      </c>
      <c r="D310" s="8" t="s">
        <v>4</v>
      </c>
      <c r="E310" s="5" t="s">
        <v>5</v>
      </c>
      <c r="F310" s="5" t="s">
        <v>6</v>
      </c>
      <c r="G310" s="5" t="s">
        <v>7</v>
      </c>
      <c r="H310" s="9" t="s">
        <v>8</v>
      </c>
      <c r="I310" s="10" t="s">
        <v>9</v>
      </c>
    </row>
    <row r="311">
      <c r="A311" s="11" t="s">
        <v>10</v>
      </c>
      <c r="B311" s="12">
        <f t="shared" ref="B311:B333" si="56">H283</f>
        <v>42</v>
      </c>
      <c r="C311" s="11"/>
      <c r="D311" s="11"/>
      <c r="E311" s="13">
        <v>6.0</v>
      </c>
      <c r="F311" s="13">
        <v>4.0</v>
      </c>
      <c r="G311" s="12">
        <f t="shared" ref="G311:G333" si="57">E311-F311</f>
        <v>2</v>
      </c>
      <c r="H311" s="12">
        <f t="shared" ref="H311:H333" si="58">B311-C311+D311-G311</f>
        <v>40</v>
      </c>
      <c r="I311" s="14">
        <f t="shared" ref="I311:I333" si="59">G311*6</f>
        <v>12</v>
      </c>
    </row>
    <row r="312">
      <c r="A312" s="11" t="s">
        <v>11</v>
      </c>
      <c r="B312" s="12">
        <f t="shared" si="56"/>
        <v>10</v>
      </c>
      <c r="C312" s="15"/>
      <c r="D312" s="11"/>
      <c r="E312" s="13">
        <v>3.0</v>
      </c>
      <c r="F312" s="13">
        <v>3.0</v>
      </c>
      <c r="G312" s="12">
        <f t="shared" si="57"/>
        <v>0</v>
      </c>
      <c r="H312" s="12">
        <f t="shared" si="58"/>
        <v>10</v>
      </c>
      <c r="I312" s="14">
        <f t="shared" si="59"/>
        <v>0</v>
      </c>
    </row>
    <row r="313">
      <c r="A313" s="11" t="s">
        <v>12</v>
      </c>
      <c r="B313" s="12">
        <f t="shared" si="56"/>
        <v>36</v>
      </c>
      <c r="C313" s="11"/>
      <c r="D313" s="11"/>
      <c r="E313" s="13">
        <v>5.0</v>
      </c>
      <c r="F313" s="13">
        <v>2.0</v>
      </c>
      <c r="G313" s="12">
        <f t="shared" si="57"/>
        <v>3</v>
      </c>
      <c r="H313" s="12">
        <f t="shared" si="58"/>
        <v>33</v>
      </c>
      <c r="I313" s="14">
        <f t="shared" si="59"/>
        <v>18</v>
      </c>
    </row>
    <row r="314">
      <c r="A314" s="11" t="s">
        <v>13</v>
      </c>
      <c r="B314" s="12">
        <f t="shared" si="56"/>
        <v>29</v>
      </c>
      <c r="C314" s="13"/>
      <c r="D314" s="13"/>
      <c r="E314" s="13">
        <v>6.0</v>
      </c>
      <c r="F314" s="13">
        <v>4.0</v>
      </c>
      <c r="G314" s="12">
        <f t="shared" si="57"/>
        <v>2</v>
      </c>
      <c r="H314" s="12">
        <f t="shared" si="58"/>
        <v>27</v>
      </c>
      <c r="I314" s="14">
        <f t="shared" si="59"/>
        <v>12</v>
      </c>
    </row>
    <row r="315">
      <c r="A315" s="11" t="s">
        <v>14</v>
      </c>
      <c r="B315" s="12">
        <f t="shared" si="56"/>
        <v>30</v>
      </c>
      <c r="C315" s="11"/>
      <c r="D315" s="11"/>
      <c r="E315" s="13">
        <v>4.0</v>
      </c>
      <c r="F315" s="13">
        <v>3.0</v>
      </c>
      <c r="G315" s="12">
        <f t="shared" si="57"/>
        <v>1</v>
      </c>
      <c r="H315" s="12">
        <f t="shared" si="58"/>
        <v>29</v>
      </c>
      <c r="I315" s="14">
        <f t="shared" si="59"/>
        <v>6</v>
      </c>
    </row>
    <row r="316">
      <c r="A316" s="11" t="s">
        <v>15</v>
      </c>
      <c r="B316" s="12">
        <f t="shared" si="56"/>
        <v>18</v>
      </c>
      <c r="C316" s="13"/>
      <c r="D316" s="11"/>
      <c r="E316" s="13">
        <v>5.0</v>
      </c>
      <c r="F316" s="13">
        <v>5.0</v>
      </c>
      <c r="G316" s="12">
        <f t="shared" si="57"/>
        <v>0</v>
      </c>
      <c r="H316" s="12">
        <f t="shared" si="58"/>
        <v>18</v>
      </c>
      <c r="I316" s="14">
        <f t="shared" si="59"/>
        <v>0</v>
      </c>
    </row>
    <row r="317">
      <c r="A317" s="11" t="s">
        <v>16</v>
      </c>
      <c r="B317" s="12">
        <f t="shared" si="56"/>
        <v>35</v>
      </c>
      <c r="C317" s="11"/>
      <c r="D317" s="11"/>
      <c r="E317" s="13">
        <v>5.0</v>
      </c>
      <c r="F317" s="13">
        <v>5.0</v>
      </c>
      <c r="G317" s="12">
        <f t="shared" si="57"/>
        <v>0</v>
      </c>
      <c r="H317" s="12">
        <f t="shared" si="58"/>
        <v>35</v>
      </c>
      <c r="I317" s="14">
        <f t="shared" si="59"/>
        <v>0</v>
      </c>
    </row>
    <row r="318">
      <c r="A318" s="11" t="s">
        <v>17</v>
      </c>
      <c r="B318" s="12">
        <f t="shared" si="56"/>
        <v>26</v>
      </c>
      <c r="C318" s="11"/>
      <c r="D318" s="13"/>
      <c r="E318" s="13">
        <v>3.0</v>
      </c>
      <c r="F318" s="13">
        <v>0.0</v>
      </c>
      <c r="G318" s="12">
        <f t="shared" si="57"/>
        <v>3</v>
      </c>
      <c r="H318" s="12">
        <f t="shared" si="58"/>
        <v>23</v>
      </c>
      <c r="I318" s="14">
        <f t="shared" si="59"/>
        <v>18</v>
      </c>
    </row>
    <row r="319">
      <c r="A319" s="11" t="s">
        <v>18</v>
      </c>
      <c r="B319" s="12">
        <f t="shared" si="56"/>
        <v>31</v>
      </c>
      <c r="C319" s="11"/>
      <c r="D319" s="11"/>
      <c r="E319" s="13">
        <v>5.0</v>
      </c>
      <c r="F319" s="13">
        <v>3.0</v>
      </c>
      <c r="G319" s="12">
        <f t="shared" si="57"/>
        <v>2</v>
      </c>
      <c r="H319" s="12">
        <f t="shared" si="58"/>
        <v>29</v>
      </c>
      <c r="I319" s="14">
        <f t="shared" si="59"/>
        <v>12</v>
      </c>
    </row>
    <row r="320">
      <c r="A320" s="11" t="s">
        <v>19</v>
      </c>
      <c r="B320" s="12">
        <f t="shared" si="56"/>
        <v>40</v>
      </c>
      <c r="C320" s="11"/>
      <c r="D320" s="11"/>
      <c r="E320" s="13">
        <v>5.0</v>
      </c>
      <c r="F320" s="13">
        <v>4.0</v>
      </c>
      <c r="G320" s="12">
        <f t="shared" si="57"/>
        <v>1</v>
      </c>
      <c r="H320" s="12">
        <f t="shared" si="58"/>
        <v>39</v>
      </c>
      <c r="I320" s="14">
        <f t="shared" si="59"/>
        <v>6</v>
      </c>
    </row>
    <row r="321">
      <c r="A321" s="11" t="s">
        <v>20</v>
      </c>
      <c r="B321" s="12">
        <f t="shared" si="56"/>
        <v>19</v>
      </c>
      <c r="C321" s="11"/>
      <c r="D321" s="11"/>
      <c r="E321" s="13">
        <v>5.0</v>
      </c>
      <c r="F321" s="13">
        <v>4.0</v>
      </c>
      <c r="G321" s="12">
        <f t="shared" si="57"/>
        <v>1</v>
      </c>
      <c r="H321" s="12">
        <f t="shared" si="58"/>
        <v>18</v>
      </c>
      <c r="I321" s="14">
        <f t="shared" si="59"/>
        <v>6</v>
      </c>
    </row>
    <row r="322">
      <c r="A322" s="11" t="s">
        <v>21</v>
      </c>
      <c r="B322" s="12">
        <f t="shared" si="56"/>
        <v>14</v>
      </c>
      <c r="C322" s="11"/>
      <c r="D322" s="11"/>
      <c r="E322" s="13">
        <v>2.0</v>
      </c>
      <c r="F322" s="13">
        <v>2.0</v>
      </c>
      <c r="G322" s="12">
        <f t="shared" si="57"/>
        <v>0</v>
      </c>
      <c r="H322" s="12">
        <f t="shared" si="58"/>
        <v>14</v>
      </c>
      <c r="I322" s="14">
        <f t="shared" si="59"/>
        <v>0</v>
      </c>
    </row>
    <row r="323">
      <c r="A323" s="11" t="s">
        <v>22</v>
      </c>
      <c r="B323" s="12">
        <f t="shared" si="56"/>
        <v>15</v>
      </c>
      <c r="C323" s="11"/>
      <c r="D323" s="11"/>
      <c r="E323" s="13">
        <v>5.0</v>
      </c>
      <c r="F323" s="13">
        <v>5.0</v>
      </c>
      <c r="G323" s="12">
        <f t="shared" si="57"/>
        <v>0</v>
      </c>
      <c r="H323" s="12">
        <f t="shared" si="58"/>
        <v>15</v>
      </c>
      <c r="I323" s="14">
        <f t="shared" si="59"/>
        <v>0</v>
      </c>
    </row>
    <row r="324">
      <c r="A324" s="11" t="s">
        <v>23</v>
      </c>
      <c r="B324" s="12">
        <f t="shared" si="56"/>
        <v>15</v>
      </c>
      <c r="C324" s="17"/>
      <c r="D324" s="13">
        <v>31.0</v>
      </c>
      <c r="E324" s="13">
        <v>6.0</v>
      </c>
      <c r="F324" s="13">
        <v>6.0</v>
      </c>
      <c r="G324" s="12">
        <f t="shared" si="57"/>
        <v>0</v>
      </c>
      <c r="H324" s="12">
        <f t="shared" si="58"/>
        <v>46</v>
      </c>
      <c r="I324" s="14">
        <f t="shared" si="59"/>
        <v>0</v>
      </c>
    </row>
    <row r="325">
      <c r="A325" s="11" t="s">
        <v>24</v>
      </c>
      <c r="B325" s="12">
        <f t="shared" si="56"/>
        <v>6</v>
      </c>
      <c r="C325" s="11"/>
      <c r="D325" s="11"/>
      <c r="E325" s="13">
        <v>3.0</v>
      </c>
      <c r="F325" s="13">
        <v>2.0</v>
      </c>
      <c r="G325" s="12">
        <f t="shared" si="57"/>
        <v>1</v>
      </c>
      <c r="H325" s="12">
        <f t="shared" si="58"/>
        <v>5</v>
      </c>
      <c r="I325" s="14">
        <f t="shared" si="59"/>
        <v>6</v>
      </c>
    </row>
    <row r="326">
      <c r="A326" s="11" t="s">
        <v>25</v>
      </c>
      <c r="B326" s="12">
        <f t="shared" si="56"/>
        <v>14</v>
      </c>
      <c r="C326" s="11"/>
      <c r="D326" s="13">
        <v>11.0</v>
      </c>
      <c r="E326" s="13">
        <v>8.0</v>
      </c>
      <c r="F326" s="13">
        <v>2.0</v>
      </c>
      <c r="G326" s="12">
        <f t="shared" si="57"/>
        <v>6</v>
      </c>
      <c r="H326" s="12">
        <f t="shared" si="58"/>
        <v>19</v>
      </c>
      <c r="I326" s="14">
        <f t="shared" si="59"/>
        <v>36</v>
      </c>
    </row>
    <row r="327">
      <c r="A327" s="11" t="s">
        <v>26</v>
      </c>
      <c r="B327" s="12">
        <f t="shared" si="56"/>
        <v>32</v>
      </c>
      <c r="C327" s="11"/>
      <c r="D327" s="11"/>
      <c r="E327" s="13">
        <v>4.0</v>
      </c>
      <c r="F327" s="13">
        <v>3.0</v>
      </c>
      <c r="G327" s="12">
        <f t="shared" si="57"/>
        <v>1</v>
      </c>
      <c r="H327" s="12">
        <f t="shared" si="58"/>
        <v>31</v>
      </c>
      <c r="I327" s="14">
        <f t="shared" si="59"/>
        <v>6</v>
      </c>
    </row>
    <row r="328">
      <c r="A328" s="11" t="s">
        <v>27</v>
      </c>
      <c r="B328" s="12">
        <f t="shared" si="56"/>
        <v>24</v>
      </c>
      <c r="C328" s="11"/>
      <c r="D328" s="11"/>
      <c r="E328" s="13">
        <v>4.0</v>
      </c>
      <c r="F328" s="13">
        <v>4.0</v>
      </c>
      <c r="G328" s="12">
        <f t="shared" si="57"/>
        <v>0</v>
      </c>
      <c r="H328" s="12">
        <f t="shared" si="58"/>
        <v>24</v>
      </c>
      <c r="I328" s="14">
        <f t="shared" si="59"/>
        <v>0</v>
      </c>
    </row>
    <row r="329">
      <c r="A329" s="11" t="s">
        <v>28</v>
      </c>
      <c r="B329" s="12">
        <f t="shared" si="56"/>
        <v>44</v>
      </c>
      <c r="C329" s="11"/>
      <c r="D329" s="11"/>
      <c r="E329" s="13">
        <v>8.0</v>
      </c>
      <c r="F329" s="13">
        <v>3.0</v>
      </c>
      <c r="G329" s="12">
        <f t="shared" si="57"/>
        <v>5</v>
      </c>
      <c r="H329" s="12">
        <f t="shared" si="58"/>
        <v>39</v>
      </c>
      <c r="I329" s="14">
        <f t="shared" si="59"/>
        <v>30</v>
      </c>
    </row>
    <row r="330">
      <c r="A330" s="13" t="s">
        <v>29</v>
      </c>
      <c r="B330" s="12">
        <f t="shared" si="56"/>
        <v>103</v>
      </c>
      <c r="C330" s="11"/>
      <c r="D330" s="11"/>
      <c r="E330" s="13">
        <v>30.0</v>
      </c>
      <c r="F330" s="13">
        <v>17.0</v>
      </c>
      <c r="G330" s="12">
        <f t="shared" si="57"/>
        <v>13</v>
      </c>
      <c r="H330" s="12">
        <f t="shared" si="58"/>
        <v>90</v>
      </c>
      <c r="I330" s="14">
        <f t="shared" si="59"/>
        <v>78</v>
      </c>
    </row>
    <row r="331">
      <c r="A331" s="11" t="s">
        <v>30</v>
      </c>
      <c r="B331" s="12">
        <f t="shared" si="56"/>
        <v>10</v>
      </c>
      <c r="C331" s="11"/>
      <c r="D331" s="11"/>
      <c r="E331" s="13">
        <v>2.0</v>
      </c>
      <c r="F331" s="13">
        <v>2.0</v>
      </c>
      <c r="G331" s="12">
        <f t="shared" si="57"/>
        <v>0</v>
      </c>
      <c r="H331" s="12">
        <f t="shared" si="58"/>
        <v>10</v>
      </c>
      <c r="I331" s="14">
        <f t="shared" si="59"/>
        <v>0</v>
      </c>
    </row>
    <row r="332">
      <c r="A332" s="18" t="s">
        <v>31</v>
      </c>
      <c r="B332" s="12">
        <f t="shared" si="56"/>
        <v>16</v>
      </c>
      <c r="C332" s="11"/>
      <c r="D332" s="11"/>
      <c r="E332" s="13">
        <v>2.0</v>
      </c>
      <c r="F332" s="13">
        <v>2.0</v>
      </c>
      <c r="G332" s="12">
        <f t="shared" si="57"/>
        <v>0</v>
      </c>
      <c r="H332" s="12">
        <f t="shared" si="58"/>
        <v>16</v>
      </c>
      <c r="I332" s="14">
        <f t="shared" si="59"/>
        <v>0</v>
      </c>
    </row>
    <row r="333">
      <c r="A333" s="18" t="s">
        <v>32</v>
      </c>
      <c r="B333" s="12">
        <f t="shared" si="56"/>
        <v>16</v>
      </c>
      <c r="C333" s="11"/>
      <c r="D333" s="11"/>
      <c r="E333" s="13">
        <v>2.0</v>
      </c>
      <c r="F333" s="13">
        <v>2.0</v>
      </c>
      <c r="G333" s="12">
        <f t="shared" si="57"/>
        <v>0</v>
      </c>
      <c r="H333" s="12">
        <f t="shared" si="58"/>
        <v>16</v>
      </c>
      <c r="I333" s="14">
        <f t="shared" si="59"/>
        <v>0</v>
      </c>
    </row>
    <row r="334">
      <c r="A334" s="19" t="s">
        <v>33</v>
      </c>
      <c r="B334" s="20">
        <f t="shared" ref="B334:I334" si="60">SUM(B311:B333)</f>
        <v>625</v>
      </c>
      <c r="C334" s="20">
        <f t="shared" si="60"/>
        <v>0</v>
      </c>
      <c r="D334" s="20">
        <f t="shared" si="60"/>
        <v>42</v>
      </c>
      <c r="E334" s="20">
        <f t="shared" si="60"/>
        <v>128</v>
      </c>
      <c r="F334" s="20">
        <f t="shared" si="60"/>
        <v>87</v>
      </c>
      <c r="G334" s="20">
        <f t="shared" si="60"/>
        <v>41</v>
      </c>
      <c r="H334" s="20">
        <f t="shared" si="60"/>
        <v>626</v>
      </c>
      <c r="I334" s="21">
        <f t="shared" si="60"/>
        <v>246</v>
      </c>
    </row>
    <row r="335">
      <c r="A335" s="22"/>
      <c r="B335" s="22"/>
      <c r="C335" s="22"/>
      <c r="D335" s="22"/>
      <c r="E335" s="22"/>
      <c r="F335" s="23" t="s">
        <v>34</v>
      </c>
      <c r="G335" s="4"/>
      <c r="H335" s="24"/>
      <c r="I335" s="25"/>
    </row>
    <row r="337">
      <c r="A337" s="1"/>
      <c r="B337" s="2" t="s">
        <v>56</v>
      </c>
      <c r="C337" s="3"/>
      <c r="D337" s="3"/>
      <c r="E337" s="3"/>
      <c r="F337" s="3"/>
      <c r="G337" s="3"/>
      <c r="H337" s="3"/>
      <c r="I337" s="4"/>
    </row>
    <row r="338">
      <c r="A338" s="5" t="s">
        <v>1</v>
      </c>
      <c r="B338" s="6" t="s">
        <v>2</v>
      </c>
      <c r="C338" s="7" t="s">
        <v>3</v>
      </c>
      <c r="D338" s="8" t="s">
        <v>4</v>
      </c>
      <c r="E338" s="5" t="s">
        <v>5</v>
      </c>
      <c r="F338" s="5" t="s">
        <v>6</v>
      </c>
      <c r="G338" s="5" t="s">
        <v>7</v>
      </c>
      <c r="H338" s="9" t="s">
        <v>8</v>
      </c>
      <c r="I338" s="10" t="s">
        <v>9</v>
      </c>
    </row>
    <row r="339">
      <c r="A339" s="11" t="s">
        <v>10</v>
      </c>
      <c r="B339" s="12">
        <f t="shared" ref="B339:B361" si="61">H311</f>
        <v>40</v>
      </c>
      <c r="C339" s="11"/>
      <c r="D339" s="11"/>
      <c r="E339" s="13">
        <v>6.0</v>
      </c>
      <c r="F339" s="13">
        <v>5.0</v>
      </c>
      <c r="G339" s="12">
        <f t="shared" ref="G339:G361" si="62">E339-F339</f>
        <v>1</v>
      </c>
      <c r="H339" s="12">
        <f t="shared" ref="H339:H361" si="63">B339-C339+D339-G339</f>
        <v>39</v>
      </c>
      <c r="I339" s="14">
        <f t="shared" ref="I339:I361" si="64">G339*6</f>
        <v>6</v>
      </c>
    </row>
    <row r="340">
      <c r="A340" s="11" t="s">
        <v>11</v>
      </c>
      <c r="B340" s="12">
        <f t="shared" si="61"/>
        <v>10</v>
      </c>
      <c r="C340" s="15">
        <v>1.0</v>
      </c>
      <c r="D340" s="11"/>
      <c r="E340" s="13">
        <v>3.0</v>
      </c>
      <c r="F340" s="13">
        <v>3.0</v>
      </c>
      <c r="G340" s="12">
        <f t="shared" si="62"/>
        <v>0</v>
      </c>
      <c r="H340" s="12">
        <f t="shared" si="63"/>
        <v>9</v>
      </c>
      <c r="I340" s="14">
        <f t="shared" si="64"/>
        <v>0</v>
      </c>
    </row>
    <row r="341">
      <c r="A341" s="11" t="s">
        <v>12</v>
      </c>
      <c r="B341" s="12">
        <f t="shared" si="61"/>
        <v>33</v>
      </c>
      <c r="C341" s="11"/>
      <c r="D341" s="11"/>
      <c r="E341" s="13">
        <v>5.0</v>
      </c>
      <c r="F341" s="13">
        <v>4.0</v>
      </c>
      <c r="G341" s="12">
        <f t="shared" si="62"/>
        <v>1</v>
      </c>
      <c r="H341" s="12">
        <f t="shared" si="63"/>
        <v>32</v>
      </c>
      <c r="I341" s="14">
        <f t="shared" si="64"/>
        <v>6</v>
      </c>
    </row>
    <row r="342">
      <c r="A342" s="11" t="s">
        <v>13</v>
      </c>
      <c r="B342" s="12">
        <f t="shared" si="61"/>
        <v>27</v>
      </c>
      <c r="C342" s="13"/>
      <c r="D342" s="13"/>
      <c r="E342" s="13">
        <v>6.0</v>
      </c>
      <c r="F342" s="13">
        <v>2.0</v>
      </c>
      <c r="G342" s="12">
        <f t="shared" si="62"/>
        <v>4</v>
      </c>
      <c r="H342" s="12">
        <f t="shared" si="63"/>
        <v>23</v>
      </c>
      <c r="I342" s="14">
        <f t="shared" si="64"/>
        <v>24</v>
      </c>
    </row>
    <row r="343">
      <c r="A343" s="11" t="s">
        <v>14</v>
      </c>
      <c r="B343" s="12">
        <f t="shared" si="61"/>
        <v>29</v>
      </c>
      <c r="C343" s="11"/>
      <c r="D343" s="11"/>
      <c r="E343" s="13">
        <v>4.0</v>
      </c>
      <c r="F343" s="13">
        <v>4.0</v>
      </c>
      <c r="G343" s="12">
        <f t="shared" si="62"/>
        <v>0</v>
      </c>
      <c r="H343" s="12">
        <f t="shared" si="63"/>
        <v>29</v>
      </c>
      <c r="I343" s="14">
        <f t="shared" si="64"/>
        <v>0</v>
      </c>
    </row>
    <row r="344">
      <c r="A344" s="11" t="s">
        <v>15</v>
      </c>
      <c r="B344" s="12">
        <f t="shared" si="61"/>
        <v>18</v>
      </c>
      <c r="C344" s="13"/>
      <c r="D344" s="11"/>
      <c r="E344" s="13">
        <v>5.0</v>
      </c>
      <c r="F344" s="13">
        <v>2.0</v>
      </c>
      <c r="G344" s="12">
        <f t="shared" si="62"/>
        <v>3</v>
      </c>
      <c r="H344" s="12">
        <f t="shared" si="63"/>
        <v>15</v>
      </c>
      <c r="I344" s="14">
        <f t="shared" si="64"/>
        <v>18</v>
      </c>
    </row>
    <row r="345">
      <c r="A345" s="11" t="s">
        <v>16</v>
      </c>
      <c r="B345" s="12">
        <f t="shared" si="61"/>
        <v>35</v>
      </c>
      <c r="C345" s="11"/>
      <c r="D345" s="11"/>
      <c r="E345" s="13">
        <v>5.0</v>
      </c>
      <c r="F345" s="13">
        <v>0.0</v>
      </c>
      <c r="G345" s="12">
        <f t="shared" si="62"/>
        <v>5</v>
      </c>
      <c r="H345" s="12">
        <f t="shared" si="63"/>
        <v>30</v>
      </c>
      <c r="I345" s="14">
        <f t="shared" si="64"/>
        <v>30</v>
      </c>
    </row>
    <row r="346">
      <c r="A346" s="11" t="s">
        <v>17</v>
      </c>
      <c r="B346" s="12">
        <f t="shared" si="61"/>
        <v>23</v>
      </c>
      <c r="C346" s="11"/>
      <c r="D346" s="13"/>
      <c r="E346" s="13">
        <v>4.0</v>
      </c>
      <c r="F346" s="13">
        <v>3.0</v>
      </c>
      <c r="G346" s="12">
        <f t="shared" si="62"/>
        <v>1</v>
      </c>
      <c r="H346" s="12">
        <f t="shared" si="63"/>
        <v>22</v>
      </c>
      <c r="I346" s="14">
        <f t="shared" si="64"/>
        <v>6</v>
      </c>
    </row>
    <row r="347">
      <c r="A347" s="11" t="s">
        <v>18</v>
      </c>
      <c r="B347" s="12">
        <f t="shared" si="61"/>
        <v>29</v>
      </c>
      <c r="C347" s="11"/>
      <c r="D347" s="11"/>
      <c r="E347" s="13">
        <v>5.0</v>
      </c>
      <c r="F347" s="13">
        <v>3.0</v>
      </c>
      <c r="G347" s="12">
        <f t="shared" si="62"/>
        <v>2</v>
      </c>
      <c r="H347" s="12">
        <f t="shared" si="63"/>
        <v>27</v>
      </c>
      <c r="I347" s="14">
        <f t="shared" si="64"/>
        <v>12</v>
      </c>
    </row>
    <row r="348">
      <c r="A348" s="11" t="s">
        <v>19</v>
      </c>
      <c r="B348" s="12">
        <f t="shared" si="61"/>
        <v>39</v>
      </c>
      <c r="C348" s="11"/>
      <c r="D348" s="11"/>
      <c r="E348" s="13">
        <v>5.0</v>
      </c>
      <c r="F348" s="13">
        <v>4.0</v>
      </c>
      <c r="G348" s="12">
        <f t="shared" si="62"/>
        <v>1</v>
      </c>
      <c r="H348" s="12">
        <f t="shared" si="63"/>
        <v>38</v>
      </c>
      <c r="I348" s="14">
        <f t="shared" si="64"/>
        <v>6</v>
      </c>
    </row>
    <row r="349">
      <c r="A349" s="11" t="s">
        <v>20</v>
      </c>
      <c r="B349" s="12">
        <f t="shared" si="61"/>
        <v>18</v>
      </c>
      <c r="C349" s="11"/>
      <c r="D349" s="13">
        <v>31.0</v>
      </c>
      <c r="E349" s="13">
        <v>5.0</v>
      </c>
      <c r="F349" s="13">
        <v>4.0</v>
      </c>
      <c r="G349" s="12">
        <f t="shared" si="62"/>
        <v>1</v>
      </c>
      <c r="H349" s="12">
        <f t="shared" si="63"/>
        <v>48</v>
      </c>
      <c r="I349" s="14">
        <f t="shared" si="64"/>
        <v>6</v>
      </c>
    </row>
    <row r="350">
      <c r="A350" s="11" t="s">
        <v>21</v>
      </c>
      <c r="B350" s="12">
        <f t="shared" si="61"/>
        <v>14</v>
      </c>
      <c r="C350" s="11"/>
      <c r="D350" s="11"/>
      <c r="E350" s="13">
        <v>2.0</v>
      </c>
      <c r="F350" s="13">
        <v>1.0</v>
      </c>
      <c r="G350" s="12">
        <f t="shared" si="62"/>
        <v>1</v>
      </c>
      <c r="H350" s="12">
        <f t="shared" si="63"/>
        <v>13</v>
      </c>
      <c r="I350" s="14">
        <f t="shared" si="64"/>
        <v>6</v>
      </c>
    </row>
    <row r="351">
      <c r="A351" s="11" t="s">
        <v>22</v>
      </c>
      <c r="B351" s="12">
        <f t="shared" si="61"/>
        <v>15</v>
      </c>
      <c r="C351" s="11"/>
      <c r="D351" s="11"/>
      <c r="E351" s="13">
        <v>5.0</v>
      </c>
      <c r="F351" s="13">
        <v>5.0</v>
      </c>
      <c r="G351" s="12">
        <f t="shared" si="62"/>
        <v>0</v>
      </c>
      <c r="H351" s="12">
        <f t="shared" si="63"/>
        <v>15</v>
      </c>
      <c r="I351" s="14">
        <f t="shared" si="64"/>
        <v>0</v>
      </c>
    </row>
    <row r="352">
      <c r="A352" s="11" t="s">
        <v>23</v>
      </c>
      <c r="B352" s="12">
        <f t="shared" si="61"/>
        <v>46</v>
      </c>
      <c r="C352" s="17"/>
      <c r="D352" s="11"/>
      <c r="E352" s="13">
        <v>6.0</v>
      </c>
      <c r="F352" s="13">
        <v>4.0</v>
      </c>
      <c r="G352" s="12">
        <f t="shared" si="62"/>
        <v>2</v>
      </c>
      <c r="H352" s="12">
        <f t="shared" si="63"/>
        <v>44</v>
      </c>
      <c r="I352" s="14">
        <f t="shared" si="64"/>
        <v>12</v>
      </c>
    </row>
    <row r="353">
      <c r="A353" s="11" t="s">
        <v>24</v>
      </c>
      <c r="B353" s="12">
        <f t="shared" si="61"/>
        <v>5</v>
      </c>
      <c r="C353" s="11"/>
      <c r="D353" s="11"/>
      <c r="E353" s="13">
        <v>3.0</v>
      </c>
      <c r="F353" s="13">
        <v>2.0</v>
      </c>
      <c r="G353" s="12">
        <f t="shared" si="62"/>
        <v>1</v>
      </c>
      <c r="H353" s="12">
        <f t="shared" si="63"/>
        <v>4</v>
      </c>
      <c r="I353" s="14">
        <f t="shared" si="64"/>
        <v>6</v>
      </c>
    </row>
    <row r="354">
      <c r="A354" s="11" t="s">
        <v>25</v>
      </c>
      <c r="B354" s="12">
        <f t="shared" si="61"/>
        <v>19</v>
      </c>
      <c r="C354" s="11"/>
      <c r="D354" s="13"/>
      <c r="E354" s="13">
        <v>8.0</v>
      </c>
      <c r="F354" s="13">
        <v>5.0</v>
      </c>
      <c r="G354" s="12">
        <f t="shared" si="62"/>
        <v>3</v>
      </c>
      <c r="H354" s="12">
        <f t="shared" si="63"/>
        <v>16</v>
      </c>
      <c r="I354" s="14">
        <f t="shared" si="64"/>
        <v>18</v>
      </c>
    </row>
    <row r="355">
      <c r="A355" s="11" t="s">
        <v>26</v>
      </c>
      <c r="B355" s="12">
        <f t="shared" si="61"/>
        <v>31</v>
      </c>
      <c r="C355" s="11"/>
      <c r="D355" s="11"/>
      <c r="E355" s="13">
        <v>4.0</v>
      </c>
      <c r="F355" s="13">
        <v>4.0</v>
      </c>
      <c r="G355" s="12">
        <f t="shared" si="62"/>
        <v>0</v>
      </c>
      <c r="H355" s="12">
        <f t="shared" si="63"/>
        <v>31</v>
      </c>
      <c r="I355" s="14">
        <f t="shared" si="64"/>
        <v>0</v>
      </c>
    </row>
    <row r="356">
      <c r="A356" s="11" t="s">
        <v>27</v>
      </c>
      <c r="B356" s="12">
        <f t="shared" si="61"/>
        <v>24</v>
      </c>
      <c r="C356" s="11"/>
      <c r="D356" s="11"/>
      <c r="E356" s="13">
        <v>4.0</v>
      </c>
      <c r="F356" s="13">
        <v>4.0</v>
      </c>
      <c r="G356" s="12">
        <f t="shared" si="62"/>
        <v>0</v>
      </c>
      <c r="H356" s="12">
        <f t="shared" si="63"/>
        <v>24</v>
      </c>
      <c r="I356" s="14">
        <f t="shared" si="64"/>
        <v>0</v>
      </c>
    </row>
    <row r="357">
      <c r="A357" s="11" t="s">
        <v>28</v>
      </c>
      <c r="B357" s="12">
        <f t="shared" si="61"/>
        <v>39</v>
      </c>
      <c r="C357" s="11"/>
      <c r="D357" s="11"/>
      <c r="E357" s="13">
        <v>8.0</v>
      </c>
      <c r="F357" s="13">
        <v>3.0</v>
      </c>
      <c r="G357" s="12">
        <f t="shared" si="62"/>
        <v>5</v>
      </c>
      <c r="H357" s="12">
        <f t="shared" si="63"/>
        <v>34</v>
      </c>
      <c r="I357" s="14">
        <f t="shared" si="64"/>
        <v>30</v>
      </c>
    </row>
    <row r="358">
      <c r="A358" s="13" t="s">
        <v>29</v>
      </c>
      <c r="B358" s="12">
        <f t="shared" si="61"/>
        <v>90</v>
      </c>
      <c r="C358" s="11"/>
      <c r="D358" s="13">
        <v>34.0</v>
      </c>
      <c r="E358" s="13">
        <v>25.0</v>
      </c>
      <c r="F358" s="13">
        <v>11.0</v>
      </c>
      <c r="G358" s="12">
        <f t="shared" si="62"/>
        <v>14</v>
      </c>
      <c r="H358" s="12">
        <f t="shared" si="63"/>
        <v>110</v>
      </c>
      <c r="I358" s="14">
        <f t="shared" si="64"/>
        <v>84</v>
      </c>
    </row>
    <row r="359">
      <c r="A359" s="11" t="s">
        <v>30</v>
      </c>
      <c r="B359" s="12">
        <f t="shared" si="61"/>
        <v>10</v>
      </c>
      <c r="C359" s="11"/>
      <c r="D359" s="11"/>
      <c r="E359" s="13">
        <v>2.0</v>
      </c>
      <c r="F359" s="13">
        <v>1.0</v>
      </c>
      <c r="G359" s="12">
        <f t="shared" si="62"/>
        <v>1</v>
      </c>
      <c r="H359" s="12">
        <f t="shared" si="63"/>
        <v>9</v>
      </c>
      <c r="I359" s="14">
        <f t="shared" si="64"/>
        <v>6</v>
      </c>
    </row>
    <row r="360">
      <c r="A360" s="18" t="s">
        <v>31</v>
      </c>
      <c r="B360" s="12">
        <f t="shared" si="61"/>
        <v>16</v>
      </c>
      <c r="C360" s="11"/>
      <c r="D360" s="11"/>
      <c r="E360" s="13">
        <v>2.0</v>
      </c>
      <c r="F360" s="13">
        <v>2.0</v>
      </c>
      <c r="G360" s="12">
        <f t="shared" si="62"/>
        <v>0</v>
      </c>
      <c r="H360" s="12">
        <f t="shared" si="63"/>
        <v>16</v>
      </c>
      <c r="I360" s="14">
        <f t="shared" si="64"/>
        <v>0</v>
      </c>
    </row>
    <row r="361">
      <c r="A361" s="18" t="s">
        <v>32</v>
      </c>
      <c r="B361" s="12">
        <f t="shared" si="61"/>
        <v>16</v>
      </c>
      <c r="C361" s="11"/>
      <c r="D361" s="11"/>
      <c r="E361" s="13">
        <v>2.0</v>
      </c>
      <c r="F361" s="13">
        <v>2.0</v>
      </c>
      <c r="G361" s="12">
        <f t="shared" si="62"/>
        <v>0</v>
      </c>
      <c r="H361" s="12">
        <f t="shared" si="63"/>
        <v>16</v>
      </c>
      <c r="I361" s="14">
        <f t="shared" si="64"/>
        <v>0</v>
      </c>
    </row>
    <row r="362">
      <c r="A362" s="19" t="s">
        <v>33</v>
      </c>
      <c r="B362" s="20">
        <f t="shared" ref="B362:I362" si="65">SUM(B339:B361)</f>
        <v>626</v>
      </c>
      <c r="C362" s="20">
        <f t="shared" si="65"/>
        <v>1</v>
      </c>
      <c r="D362" s="20">
        <f t="shared" si="65"/>
        <v>65</v>
      </c>
      <c r="E362" s="20">
        <f t="shared" si="65"/>
        <v>124</v>
      </c>
      <c r="F362" s="20">
        <f t="shared" si="65"/>
        <v>78</v>
      </c>
      <c r="G362" s="20">
        <f t="shared" si="65"/>
        <v>46</v>
      </c>
      <c r="H362" s="20">
        <f t="shared" si="65"/>
        <v>644</v>
      </c>
      <c r="I362" s="21">
        <f t="shared" si="65"/>
        <v>276</v>
      </c>
    </row>
    <row r="363">
      <c r="A363" s="22"/>
      <c r="B363" s="22"/>
      <c r="C363" s="22"/>
      <c r="D363" s="22"/>
      <c r="E363" s="22"/>
      <c r="F363" s="23" t="s">
        <v>34</v>
      </c>
      <c r="G363" s="4"/>
      <c r="H363" s="24"/>
      <c r="I363" s="25"/>
    </row>
    <row r="365">
      <c r="A365" s="1"/>
      <c r="B365" s="2" t="s">
        <v>57</v>
      </c>
      <c r="C365" s="3"/>
      <c r="D365" s="3"/>
      <c r="E365" s="3"/>
      <c r="F365" s="3"/>
      <c r="G365" s="3"/>
      <c r="H365" s="3"/>
      <c r="I365" s="4"/>
    </row>
    <row r="366">
      <c r="A366" s="5" t="s">
        <v>1</v>
      </c>
      <c r="B366" s="6" t="s">
        <v>2</v>
      </c>
      <c r="C366" s="7" t="s">
        <v>3</v>
      </c>
      <c r="D366" s="8" t="s">
        <v>4</v>
      </c>
      <c r="E366" s="5" t="s">
        <v>5</v>
      </c>
      <c r="F366" s="5" t="s">
        <v>6</v>
      </c>
      <c r="G366" s="5" t="s">
        <v>7</v>
      </c>
      <c r="H366" s="9" t="s">
        <v>8</v>
      </c>
      <c r="I366" s="10" t="s">
        <v>9</v>
      </c>
    </row>
    <row r="367">
      <c r="A367" s="11" t="s">
        <v>10</v>
      </c>
      <c r="B367" s="12">
        <f t="shared" ref="B367:B389" si="66">H339</f>
        <v>39</v>
      </c>
      <c r="C367" s="11"/>
      <c r="D367" s="11"/>
      <c r="E367" s="13">
        <v>6.0</v>
      </c>
      <c r="F367" s="13">
        <v>6.0</v>
      </c>
      <c r="G367" s="12">
        <f t="shared" ref="G367:G389" si="67">E367-F367</f>
        <v>0</v>
      </c>
      <c r="H367" s="12">
        <f t="shared" ref="H367:H389" si="68">B367-C367+D367-G367</f>
        <v>39</v>
      </c>
      <c r="I367" s="14">
        <f t="shared" ref="I367:I389" si="69">G367*6</f>
        <v>0</v>
      </c>
    </row>
    <row r="368">
      <c r="A368" s="11" t="s">
        <v>11</v>
      </c>
      <c r="B368" s="12">
        <f t="shared" si="66"/>
        <v>9</v>
      </c>
      <c r="C368" s="15"/>
      <c r="D368" s="11"/>
      <c r="E368" s="13">
        <v>3.0</v>
      </c>
      <c r="F368" s="13">
        <v>1.0</v>
      </c>
      <c r="G368" s="12">
        <f t="shared" si="67"/>
        <v>2</v>
      </c>
      <c r="H368" s="12">
        <f t="shared" si="68"/>
        <v>7</v>
      </c>
      <c r="I368" s="14">
        <f t="shared" si="69"/>
        <v>12</v>
      </c>
    </row>
    <row r="369">
      <c r="A369" s="11" t="s">
        <v>12</v>
      </c>
      <c r="B369" s="12">
        <f t="shared" si="66"/>
        <v>32</v>
      </c>
      <c r="C369" s="11"/>
      <c r="D369" s="11"/>
      <c r="E369" s="13">
        <v>5.0</v>
      </c>
      <c r="F369" s="13">
        <v>3.0</v>
      </c>
      <c r="G369" s="12">
        <f t="shared" si="67"/>
        <v>2</v>
      </c>
      <c r="H369" s="12">
        <f t="shared" si="68"/>
        <v>30</v>
      </c>
      <c r="I369" s="14">
        <f t="shared" si="69"/>
        <v>12</v>
      </c>
    </row>
    <row r="370">
      <c r="A370" s="11" t="s">
        <v>13</v>
      </c>
      <c r="B370" s="12">
        <f t="shared" si="66"/>
        <v>23</v>
      </c>
      <c r="C370" s="13"/>
      <c r="D370" s="13"/>
      <c r="E370" s="13">
        <v>12.0</v>
      </c>
      <c r="F370" s="13">
        <v>2.0</v>
      </c>
      <c r="G370" s="12">
        <f t="shared" si="67"/>
        <v>10</v>
      </c>
      <c r="H370" s="12">
        <f t="shared" si="68"/>
        <v>13</v>
      </c>
      <c r="I370" s="14">
        <f t="shared" si="69"/>
        <v>60</v>
      </c>
    </row>
    <row r="371">
      <c r="A371" s="11" t="s">
        <v>14</v>
      </c>
      <c r="B371" s="12">
        <f t="shared" si="66"/>
        <v>29</v>
      </c>
      <c r="C371" s="11"/>
      <c r="D371" s="11"/>
      <c r="E371" s="13">
        <v>4.0</v>
      </c>
      <c r="F371" s="13">
        <v>3.0</v>
      </c>
      <c r="G371" s="12">
        <f t="shared" si="67"/>
        <v>1</v>
      </c>
      <c r="H371" s="12">
        <f t="shared" si="68"/>
        <v>28</v>
      </c>
      <c r="I371" s="14">
        <f t="shared" si="69"/>
        <v>6</v>
      </c>
    </row>
    <row r="372">
      <c r="A372" s="11" t="s">
        <v>15</v>
      </c>
      <c r="B372" s="12">
        <f t="shared" si="66"/>
        <v>15</v>
      </c>
      <c r="C372" s="13"/>
      <c r="D372" s="11"/>
      <c r="E372" s="13">
        <v>5.0</v>
      </c>
      <c r="F372" s="13">
        <v>2.0</v>
      </c>
      <c r="G372" s="12">
        <f t="shared" si="67"/>
        <v>3</v>
      </c>
      <c r="H372" s="12">
        <f t="shared" si="68"/>
        <v>12</v>
      </c>
      <c r="I372" s="14">
        <f t="shared" si="69"/>
        <v>18</v>
      </c>
    </row>
    <row r="373">
      <c r="A373" s="11" t="s">
        <v>16</v>
      </c>
      <c r="B373" s="12">
        <f t="shared" si="66"/>
        <v>30</v>
      </c>
      <c r="C373" s="11"/>
      <c r="D373" s="11"/>
      <c r="E373" s="13">
        <v>6.0</v>
      </c>
      <c r="F373" s="13">
        <v>4.0</v>
      </c>
      <c r="G373" s="12">
        <f t="shared" si="67"/>
        <v>2</v>
      </c>
      <c r="H373" s="12">
        <f t="shared" si="68"/>
        <v>28</v>
      </c>
      <c r="I373" s="14">
        <f t="shared" si="69"/>
        <v>12</v>
      </c>
    </row>
    <row r="374">
      <c r="A374" s="11" t="s">
        <v>17</v>
      </c>
      <c r="B374" s="12">
        <f t="shared" si="66"/>
        <v>22</v>
      </c>
      <c r="C374" s="11"/>
      <c r="D374" s="13"/>
      <c r="E374" s="13">
        <v>5.0</v>
      </c>
      <c r="F374" s="13">
        <v>4.0</v>
      </c>
      <c r="G374" s="12">
        <f t="shared" si="67"/>
        <v>1</v>
      </c>
      <c r="H374" s="12">
        <f t="shared" si="68"/>
        <v>21</v>
      </c>
      <c r="I374" s="14">
        <f t="shared" si="69"/>
        <v>6</v>
      </c>
    </row>
    <row r="375">
      <c r="A375" s="11" t="s">
        <v>18</v>
      </c>
      <c r="B375" s="12">
        <f t="shared" si="66"/>
        <v>27</v>
      </c>
      <c r="C375" s="11"/>
      <c r="D375" s="11"/>
      <c r="E375" s="13">
        <v>5.0</v>
      </c>
      <c r="F375" s="13">
        <v>5.0</v>
      </c>
      <c r="G375" s="12">
        <f t="shared" si="67"/>
        <v>0</v>
      </c>
      <c r="H375" s="12">
        <f t="shared" si="68"/>
        <v>27</v>
      </c>
      <c r="I375" s="14">
        <f t="shared" si="69"/>
        <v>0</v>
      </c>
    </row>
    <row r="376">
      <c r="A376" s="11" t="s">
        <v>19</v>
      </c>
      <c r="B376" s="12">
        <f t="shared" si="66"/>
        <v>38</v>
      </c>
      <c r="C376" s="13">
        <v>1.0</v>
      </c>
      <c r="D376" s="11"/>
      <c r="E376" s="13">
        <v>5.0</v>
      </c>
      <c r="F376" s="13">
        <v>4.0</v>
      </c>
      <c r="G376" s="12">
        <f t="shared" si="67"/>
        <v>1</v>
      </c>
      <c r="H376" s="12">
        <f t="shared" si="68"/>
        <v>36</v>
      </c>
      <c r="I376" s="14">
        <f t="shared" si="69"/>
        <v>6</v>
      </c>
    </row>
    <row r="377">
      <c r="A377" s="11" t="s">
        <v>20</v>
      </c>
      <c r="B377" s="12">
        <f t="shared" si="66"/>
        <v>48</v>
      </c>
      <c r="C377" s="11"/>
      <c r="D377" s="11"/>
      <c r="E377" s="13">
        <v>6.0</v>
      </c>
      <c r="F377" s="13">
        <v>3.0</v>
      </c>
      <c r="G377" s="12">
        <f t="shared" si="67"/>
        <v>3</v>
      </c>
      <c r="H377" s="12">
        <f t="shared" si="68"/>
        <v>45</v>
      </c>
      <c r="I377" s="14">
        <f t="shared" si="69"/>
        <v>18</v>
      </c>
    </row>
    <row r="378">
      <c r="A378" s="11" t="s">
        <v>21</v>
      </c>
      <c r="B378" s="12">
        <f t="shared" si="66"/>
        <v>13</v>
      </c>
      <c r="C378" s="11"/>
      <c r="D378" s="11"/>
      <c r="E378" s="26">
        <v>2.0</v>
      </c>
      <c r="F378" s="13">
        <v>2.0</v>
      </c>
      <c r="G378" s="12">
        <f t="shared" si="67"/>
        <v>0</v>
      </c>
      <c r="H378" s="12">
        <f t="shared" si="68"/>
        <v>13</v>
      </c>
      <c r="I378" s="14">
        <f t="shared" si="69"/>
        <v>0</v>
      </c>
    </row>
    <row r="379">
      <c r="A379" s="11" t="s">
        <v>22</v>
      </c>
      <c r="B379" s="12">
        <f t="shared" si="66"/>
        <v>15</v>
      </c>
      <c r="C379" s="11"/>
      <c r="D379" s="13">
        <v>30.0</v>
      </c>
      <c r="E379" s="13">
        <v>5.0</v>
      </c>
      <c r="F379" s="13">
        <v>2.0</v>
      </c>
      <c r="G379" s="12">
        <f t="shared" si="67"/>
        <v>3</v>
      </c>
      <c r="H379" s="12">
        <f t="shared" si="68"/>
        <v>42</v>
      </c>
      <c r="I379" s="14">
        <f t="shared" si="69"/>
        <v>18</v>
      </c>
    </row>
    <row r="380">
      <c r="A380" s="11" t="s">
        <v>23</v>
      </c>
      <c r="B380" s="12">
        <f t="shared" si="66"/>
        <v>44</v>
      </c>
      <c r="C380" s="17"/>
      <c r="D380" s="11"/>
      <c r="E380" s="13">
        <v>6.0</v>
      </c>
      <c r="F380" s="13">
        <v>5.0</v>
      </c>
      <c r="G380" s="12">
        <f t="shared" si="67"/>
        <v>1</v>
      </c>
      <c r="H380" s="12">
        <f t="shared" si="68"/>
        <v>43</v>
      </c>
      <c r="I380" s="14">
        <f t="shared" si="69"/>
        <v>6</v>
      </c>
    </row>
    <row r="381">
      <c r="A381" s="11" t="s">
        <v>24</v>
      </c>
      <c r="B381" s="12">
        <f t="shared" si="66"/>
        <v>4</v>
      </c>
      <c r="C381" s="11"/>
      <c r="D381" s="11"/>
      <c r="E381" s="13">
        <v>3.0</v>
      </c>
      <c r="F381" s="13">
        <v>3.0</v>
      </c>
      <c r="G381" s="12">
        <f t="shared" si="67"/>
        <v>0</v>
      </c>
      <c r="H381" s="12">
        <f t="shared" si="68"/>
        <v>4</v>
      </c>
      <c r="I381" s="14">
        <f t="shared" si="69"/>
        <v>0</v>
      </c>
    </row>
    <row r="382">
      <c r="A382" s="11" t="s">
        <v>25</v>
      </c>
      <c r="B382" s="12">
        <f t="shared" si="66"/>
        <v>16</v>
      </c>
      <c r="C382" s="11"/>
      <c r="D382" s="13"/>
      <c r="E382" s="13">
        <v>9.0</v>
      </c>
      <c r="F382" s="13">
        <v>8.0</v>
      </c>
      <c r="G382" s="12">
        <f t="shared" si="67"/>
        <v>1</v>
      </c>
      <c r="H382" s="12">
        <f t="shared" si="68"/>
        <v>15</v>
      </c>
      <c r="I382" s="14">
        <f t="shared" si="69"/>
        <v>6</v>
      </c>
    </row>
    <row r="383">
      <c r="A383" s="11" t="s">
        <v>26</v>
      </c>
      <c r="B383" s="12">
        <f t="shared" si="66"/>
        <v>31</v>
      </c>
      <c r="C383" s="11"/>
      <c r="D383" s="11"/>
      <c r="E383" s="13">
        <v>4.0</v>
      </c>
      <c r="F383" s="13">
        <v>1.0</v>
      </c>
      <c r="G383" s="12">
        <f t="shared" si="67"/>
        <v>3</v>
      </c>
      <c r="H383" s="12">
        <f t="shared" si="68"/>
        <v>28</v>
      </c>
      <c r="I383" s="14">
        <f t="shared" si="69"/>
        <v>18</v>
      </c>
    </row>
    <row r="384">
      <c r="A384" s="11" t="s">
        <v>27</v>
      </c>
      <c r="B384" s="12">
        <f t="shared" si="66"/>
        <v>24</v>
      </c>
      <c r="C384" s="11"/>
      <c r="D384" s="11"/>
      <c r="E384" s="13">
        <v>4.0</v>
      </c>
      <c r="F384" s="13">
        <v>4.0</v>
      </c>
      <c r="G384" s="12">
        <f t="shared" si="67"/>
        <v>0</v>
      </c>
      <c r="H384" s="12">
        <f t="shared" si="68"/>
        <v>24</v>
      </c>
      <c r="I384" s="14">
        <f t="shared" si="69"/>
        <v>0</v>
      </c>
    </row>
    <row r="385">
      <c r="A385" s="11" t="s">
        <v>28</v>
      </c>
      <c r="B385" s="12">
        <f t="shared" si="66"/>
        <v>34</v>
      </c>
      <c r="C385" s="11"/>
      <c r="D385" s="11"/>
      <c r="E385" s="13">
        <v>8.0</v>
      </c>
      <c r="F385" s="13">
        <v>4.0</v>
      </c>
      <c r="G385" s="12">
        <f t="shared" si="67"/>
        <v>4</v>
      </c>
      <c r="H385" s="12">
        <f t="shared" si="68"/>
        <v>30</v>
      </c>
      <c r="I385" s="14">
        <f t="shared" si="69"/>
        <v>24</v>
      </c>
    </row>
    <row r="386">
      <c r="A386" s="13" t="s">
        <v>29</v>
      </c>
      <c r="B386" s="12">
        <f t="shared" si="66"/>
        <v>110</v>
      </c>
      <c r="C386" s="11"/>
      <c r="D386" s="11"/>
      <c r="E386" s="13">
        <v>35.0</v>
      </c>
      <c r="F386" s="13">
        <v>18.0</v>
      </c>
      <c r="G386" s="12">
        <f t="shared" si="67"/>
        <v>17</v>
      </c>
      <c r="H386" s="12">
        <f t="shared" si="68"/>
        <v>93</v>
      </c>
      <c r="I386" s="14">
        <f t="shared" si="69"/>
        <v>102</v>
      </c>
    </row>
    <row r="387">
      <c r="A387" s="11" t="s">
        <v>30</v>
      </c>
      <c r="B387" s="12">
        <f t="shared" si="66"/>
        <v>9</v>
      </c>
      <c r="C387" s="11"/>
      <c r="D387" s="11"/>
      <c r="E387" s="13">
        <v>2.0</v>
      </c>
      <c r="F387" s="13">
        <v>2.0</v>
      </c>
      <c r="G387" s="12">
        <f t="shared" si="67"/>
        <v>0</v>
      </c>
      <c r="H387" s="12">
        <f t="shared" si="68"/>
        <v>9</v>
      </c>
      <c r="I387" s="14">
        <f t="shared" si="69"/>
        <v>0</v>
      </c>
    </row>
    <row r="388">
      <c r="A388" s="18" t="s">
        <v>31</v>
      </c>
      <c r="B388" s="12">
        <f t="shared" si="66"/>
        <v>16</v>
      </c>
      <c r="C388" s="11"/>
      <c r="D388" s="11"/>
      <c r="E388" s="13">
        <v>2.0</v>
      </c>
      <c r="F388" s="13">
        <v>2.0</v>
      </c>
      <c r="G388" s="12">
        <f t="shared" si="67"/>
        <v>0</v>
      </c>
      <c r="H388" s="12">
        <f t="shared" si="68"/>
        <v>16</v>
      </c>
      <c r="I388" s="14">
        <f t="shared" si="69"/>
        <v>0</v>
      </c>
    </row>
    <row r="389">
      <c r="A389" s="18" t="s">
        <v>32</v>
      </c>
      <c r="B389" s="12">
        <f t="shared" si="66"/>
        <v>16</v>
      </c>
      <c r="C389" s="11"/>
      <c r="D389" s="11"/>
      <c r="E389" s="13">
        <v>2.0</v>
      </c>
      <c r="F389" s="13">
        <v>2.0</v>
      </c>
      <c r="G389" s="12">
        <f t="shared" si="67"/>
        <v>0</v>
      </c>
      <c r="H389" s="12">
        <f t="shared" si="68"/>
        <v>16</v>
      </c>
      <c r="I389" s="14">
        <f t="shared" si="69"/>
        <v>0</v>
      </c>
    </row>
    <row r="390">
      <c r="A390" s="19" t="s">
        <v>33</v>
      </c>
      <c r="B390" s="20">
        <f t="shared" ref="B390:I390" si="70">SUM(B367:B389)</f>
        <v>644</v>
      </c>
      <c r="C390" s="20">
        <f t="shared" si="70"/>
        <v>1</v>
      </c>
      <c r="D390" s="20">
        <f t="shared" si="70"/>
        <v>30</v>
      </c>
      <c r="E390" s="20">
        <f t="shared" si="70"/>
        <v>144</v>
      </c>
      <c r="F390" s="20">
        <f t="shared" si="70"/>
        <v>90</v>
      </c>
      <c r="G390" s="20">
        <f t="shared" si="70"/>
        <v>54</v>
      </c>
      <c r="H390" s="20">
        <f t="shared" si="70"/>
        <v>619</v>
      </c>
      <c r="I390" s="21">
        <f t="shared" si="70"/>
        <v>324</v>
      </c>
    </row>
    <row r="391">
      <c r="A391" s="22"/>
      <c r="B391" s="22"/>
      <c r="C391" s="22"/>
      <c r="D391" s="22"/>
      <c r="E391" s="22"/>
      <c r="F391" s="23" t="s">
        <v>34</v>
      </c>
      <c r="G391" s="4"/>
      <c r="H391" s="24"/>
      <c r="I391" s="25"/>
    </row>
    <row r="393">
      <c r="A393" s="1"/>
      <c r="B393" s="2" t="s">
        <v>58</v>
      </c>
      <c r="C393" s="3"/>
      <c r="D393" s="3"/>
      <c r="E393" s="3"/>
      <c r="F393" s="3"/>
      <c r="G393" s="3"/>
      <c r="H393" s="3"/>
      <c r="I393" s="4"/>
    </row>
    <row r="394">
      <c r="A394" s="5" t="s">
        <v>1</v>
      </c>
      <c r="B394" s="6" t="s">
        <v>2</v>
      </c>
      <c r="C394" s="7" t="s">
        <v>3</v>
      </c>
      <c r="D394" s="8" t="s">
        <v>4</v>
      </c>
      <c r="E394" s="5" t="s">
        <v>5</v>
      </c>
      <c r="F394" s="5" t="s">
        <v>6</v>
      </c>
      <c r="G394" s="5" t="s">
        <v>7</v>
      </c>
      <c r="H394" s="9" t="s">
        <v>8</v>
      </c>
      <c r="I394" s="10" t="s">
        <v>9</v>
      </c>
    </row>
    <row r="395">
      <c r="A395" s="11" t="s">
        <v>10</v>
      </c>
      <c r="B395" s="12">
        <f t="shared" ref="B395:B417" si="71">H367</f>
        <v>39</v>
      </c>
      <c r="C395" s="11"/>
      <c r="D395" s="11"/>
      <c r="E395" s="13">
        <v>6.0</v>
      </c>
      <c r="F395" s="13">
        <v>5.0</v>
      </c>
      <c r="G395" s="12">
        <f t="shared" ref="G395:G417" si="72">E395-F395</f>
        <v>1</v>
      </c>
      <c r="H395" s="12">
        <f t="shared" ref="H395:H417" si="73">B395-C395+D395-G395</f>
        <v>38</v>
      </c>
      <c r="I395" s="14">
        <f t="shared" ref="I395:I417" si="74">G395*6</f>
        <v>6</v>
      </c>
    </row>
    <row r="396">
      <c r="A396" s="11" t="s">
        <v>11</v>
      </c>
      <c r="B396" s="12">
        <f t="shared" si="71"/>
        <v>7</v>
      </c>
      <c r="C396" s="15"/>
      <c r="D396" s="11"/>
      <c r="E396" s="13">
        <v>3.0</v>
      </c>
      <c r="F396" s="13">
        <v>1.0</v>
      </c>
      <c r="G396" s="12">
        <f t="shared" si="72"/>
        <v>2</v>
      </c>
      <c r="H396" s="12">
        <f t="shared" si="73"/>
        <v>5</v>
      </c>
      <c r="I396" s="14">
        <f t="shared" si="74"/>
        <v>12</v>
      </c>
    </row>
    <row r="397">
      <c r="A397" s="11" t="s">
        <v>12</v>
      </c>
      <c r="B397" s="12">
        <f t="shared" si="71"/>
        <v>30</v>
      </c>
      <c r="C397" s="11"/>
      <c r="D397" s="11"/>
      <c r="E397" s="13">
        <v>5.0</v>
      </c>
      <c r="F397" s="13">
        <v>3.0</v>
      </c>
      <c r="G397" s="12">
        <f t="shared" si="72"/>
        <v>2</v>
      </c>
      <c r="H397" s="12">
        <f t="shared" si="73"/>
        <v>28</v>
      </c>
      <c r="I397" s="14">
        <f t="shared" si="74"/>
        <v>12</v>
      </c>
    </row>
    <row r="398">
      <c r="A398" s="11" t="s">
        <v>13</v>
      </c>
      <c r="B398" s="12">
        <f t="shared" si="71"/>
        <v>13</v>
      </c>
      <c r="C398" s="13"/>
      <c r="D398" s="13"/>
      <c r="E398" s="13">
        <v>6.0</v>
      </c>
      <c r="F398" s="13">
        <v>6.0</v>
      </c>
      <c r="G398" s="12">
        <f t="shared" si="72"/>
        <v>0</v>
      </c>
      <c r="H398" s="12">
        <f t="shared" si="73"/>
        <v>13</v>
      </c>
      <c r="I398" s="14">
        <f t="shared" si="74"/>
        <v>0</v>
      </c>
    </row>
    <row r="399">
      <c r="A399" s="11" t="s">
        <v>14</v>
      </c>
      <c r="B399" s="12">
        <f t="shared" si="71"/>
        <v>28</v>
      </c>
      <c r="C399" s="11"/>
      <c r="D399" s="11"/>
      <c r="E399" s="13">
        <v>4.0</v>
      </c>
      <c r="F399" s="13">
        <v>2.0</v>
      </c>
      <c r="G399" s="12">
        <f t="shared" si="72"/>
        <v>2</v>
      </c>
      <c r="H399" s="12">
        <f t="shared" si="73"/>
        <v>26</v>
      </c>
      <c r="I399" s="14">
        <f t="shared" si="74"/>
        <v>12</v>
      </c>
    </row>
    <row r="400">
      <c r="A400" s="11" t="s">
        <v>15</v>
      </c>
      <c r="B400" s="12">
        <f t="shared" si="71"/>
        <v>12</v>
      </c>
      <c r="C400" s="13"/>
      <c r="D400" s="11"/>
      <c r="E400" s="13">
        <v>5.0</v>
      </c>
      <c r="F400" s="13">
        <v>2.0</v>
      </c>
      <c r="G400" s="12">
        <f t="shared" si="72"/>
        <v>3</v>
      </c>
      <c r="H400" s="12">
        <f t="shared" si="73"/>
        <v>9</v>
      </c>
      <c r="I400" s="14">
        <f t="shared" si="74"/>
        <v>18</v>
      </c>
    </row>
    <row r="401">
      <c r="A401" s="11" t="s">
        <v>16</v>
      </c>
      <c r="B401" s="12">
        <f t="shared" si="71"/>
        <v>28</v>
      </c>
      <c r="C401" s="11"/>
      <c r="D401" s="11"/>
      <c r="E401" s="13">
        <v>6.0</v>
      </c>
      <c r="F401" s="13">
        <v>2.0</v>
      </c>
      <c r="G401" s="12">
        <f t="shared" si="72"/>
        <v>4</v>
      </c>
      <c r="H401" s="12">
        <f t="shared" si="73"/>
        <v>24</v>
      </c>
      <c r="I401" s="14">
        <f t="shared" si="74"/>
        <v>24</v>
      </c>
    </row>
    <row r="402">
      <c r="A402" s="11" t="s">
        <v>17</v>
      </c>
      <c r="B402" s="12">
        <f t="shared" si="71"/>
        <v>21</v>
      </c>
      <c r="C402" s="11"/>
      <c r="D402" s="13"/>
      <c r="E402" s="13">
        <v>4.0</v>
      </c>
      <c r="F402" s="13">
        <v>2.0</v>
      </c>
      <c r="G402" s="12">
        <f t="shared" si="72"/>
        <v>2</v>
      </c>
      <c r="H402" s="12">
        <f t="shared" si="73"/>
        <v>19</v>
      </c>
      <c r="I402" s="14">
        <f t="shared" si="74"/>
        <v>12</v>
      </c>
    </row>
    <row r="403">
      <c r="A403" s="11" t="s">
        <v>18</v>
      </c>
      <c r="B403" s="12">
        <f t="shared" si="71"/>
        <v>27</v>
      </c>
      <c r="C403" s="11"/>
      <c r="D403" s="11"/>
      <c r="E403" s="13">
        <v>5.0</v>
      </c>
      <c r="F403" s="13">
        <v>4.0</v>
      </c>
      <c r="G403" s="12">
        <f t="shared" si="72"/>
        <v>1</v>
      </c>
      <c r="H403" s="12">
        <f t="shared" si="73"/>
        <v>26</v>
      </c>
      <c r="I403" s="14">
        <f t="shared" si="74"/>
        <v>6</v>
      </c>
    </row>
    <row r="404">
      <c r="A404" s="11" t="s">
        <v>19</v>
      </c>
      <c r="B404" s="12">
        <f t="shared" si="71"/>
        <v>36</v>
      </c>
      <c r="C404" s="11"/>
      <c r="D404" s="11"/>
      <c r="E404" s="13">
        <v>5.0</v>
      </c>
      <c r="F404" s="13">
        <v>3.0</v>
      </c>
      <c r="G404" s="12">
        <f t="shared" si="72"/>
        <v>2</v>
      </c>
      <c r="H404" s="12">
        <f t="shared" si="73"/>
        <v>34</v>
      </c>
      <c r="I404" s="14">
        <f t="shared" si="74"/>
        <v>12</v>
      </c>
    </row>
    <row r="405">
      <c r="A405" s="11" t="s">
        <v>20</v>
      </c>
      <c r="B405" s="12">
        <f t="shared" si="71"/>
        <v>45</v>
      </c>
      <c r="C405" s="11"/>
      <c r="D405" s="11"/>
      <c r="E405" s="13">
        <v>5.0</v>
      </c>
      <c r="F405" s="13">
        <v>3.0</v>
      </c>
      <c r="G405" s="12">
        <f t="shared" si="72"/>
        <v>2</v>
      </c>
      <c r="H405" s="12">
        <f t="shared" si="73"/>
        <v>43</v>
      </c>
      <c r="I405" s="14">
        <f t="shared" si="74"/>
        <v>12</v>
      </c>
    </row>
    <row r="406">
      <c r="A406" s="11" t="s">
        <v>21</v>
      </c>
      <c r="B406" s="12">
        <f t="shared" si="71"/>
        <v>13</v>
      </c>
      <c r="C406" s="11"/>
      <c r="D406" s="11"/>
      <c r="E406" s="13">
        <v>2.0</v>
      </c>
      <c r="F406" s="13">
        <v>1.0</v>
      </c>
      <c r="G406" s="12">
        <f t="shared" si="72"/>
        <v>1</v>
      </c>
      <c r="H406" s="12">
        <f t="shared" si="73"/>
        <v>12</v>
      </c>
      <c r="I406" s="14">
        <f t="shared" si="74"/>
        <v>6</v>
      </c>
    </row>
    <row r="407">
      <c r="A407" s="11" t="s">
        <v>22</v>
      </c>
      <c r="B407" s="12">
        <f t="shared" si="71"/>
        <v>42</v>
      </c>
      <c r="C407" s="11"/>
      <c r="D407" s="11"/>
      <c r="E407" s="13">
        <v>5.0</v>
      </c>
      <c r="F407" s="13">
        <v>5.0</v>
      </c>
      <c r="G407" s="12">
        <f t="shared" si="72"/>
        <v>0</v>
      </c>
      <c r="H407" s="12">
        <f t="shared" si="73"/>
        <v>42</v>
      </c>
      <c r="I407" s="14">
        <f t="shared" si="74"/>
        <v>0</v>
      </c>
    </row>
    <row r="408">
      <c r="A408" s="11" t="s">
        <v>23</v>
      </c>
      <c r="B408" s="12">
        <f t="shared" si="71"/>
        <v>43</v>
      </c>
      <c r="C408" s="17"/>
      <c r="D408" s="11"/>
      <c r="E408" s="13">
        <v>6.0</v>
      </c>
      <c r="F408" s="13">
        <v>4.0</v>
      </c>
      <c r="G408" s="12">
        <f t="shared" si="72"/>
        <v>2</v>
      </c>
      <c r="H408" s="12">
        <f t="shared" si="73"/>
        <v>41</v>
      </c>
      <c r="I408" s="14">
        <f t="shared" si="74"/>
        <v>12</v>
      </c>
    </row>
    <row r="409">
      <c r="A409" s="11" t="s">
        <v>24</v>
      </c>
      <c r="B409" s="12">
        <f t="shared" si="71"/>
        <v>4</v>
      </c>
      <c r="C409" s="11"/>
      <c r="D409" s="11"/>
      <c r="E409" s="13">
        <v>3.0</v>
      </c>
      <c r="F409" s="13">
        <v>3.0</v>
      </c>
      <c r="G409" s="12">
        <f t="shared" si="72"/>
        <v>0</v>
      </c>
      <c r="H409" s="12">
        <f t="shared" si="73"/>
        <v>4</v>
      </c>
      <c r="I409" s="14">
        <f t="shared" si="74"/>
        <v>0</v>
      </c>
    </row>
    <row r="410">
      <c r="A410" s="11" t="s">
        <v>25</v>
      </c>
      <c r="B410" s="12">
        <f t="shared" si="71"/>
        <v>15</v>
      </c>
      <c r="C410" s="11"/>
      <c r="D410" s="13"/>
      <c r="E410" s="13">
        <v>8.0</v>
      </c>
      <c r="F410" s="13">
        <v>7.0</v>
      </c>
      <c r="G410" s="12">
        <f t="shared" si="72"/>
        <v>1</v>
      </c>
      <c r="H410" s="12">
        <f t="shared" si="73"/>
        <v>14</v>
      </c>
      <c r="I410" s="14">
        <f t="shared" si="74"/>
        <v>6</v>
      </c>
    </row>
    <row r="411">
      <c r="A411" s="11" t="s">
        <v>26</v>
      </c>
      <c r="B411" s="12">
        <f t="shared" si="71"/>
        <v>28</v>
      </c>
      <c r="C411" s="11"/>
      <c r="D411" s="11"/>
      <c r="E411" s="13">
        <v>4.0</v>
      </c>
      <c r="F411" s="13">
        <v>4.0</v>
      </c>
      <c r="G411" s="12">
        <f t="shared" si="72"/>
        <v>0</v>
      </c>
      <c r="H411" s="12">
        <f t="shared" si="73"/>
        <v>28</v>
      </c>
      <c r="I411" s="14">
        <f t="shared" si="74"/>
        <v>0</v>
      </c>
    </row>
    <row r="412">
      <c r="A412" s="11" t="s">
        <v>27</v>
      </c>
      <c r="B412" s="12">
        <f t="shared" si="71"/>
        <v>24</v>
      </c>
      <c r="C412" s="11"/>
      <c r="D412" s="11"/>
      <c r="E412" s="13">
        <v>3.0</v>
      </c>
      <c r="F412" s="13">
        <v>2.0</v>
      </c>
      <c r="G412" s="12">
        <f t="shared" si="72"/>
        <v>1</v>
      </c>
      <c r="H412" s="12">
        <f t="shared" si="73"/>
        <v>23</v>
      </c>
      <c r="I412" s="14">
        <f t="shared" si="74"/>
        <v>6</v>
      </c>
    </row>
    <row r="413">
      <c r="A413" s="11" t="s">
        <v>28</v>
      </c>
      <c r="B413" s="12">
        <f t="shared" si="71"/>
        <v>30</v>
      </c>
      <c r="C413" s="11"/>
      <c r="D413" s="11"/>
      <c r="E413" s="13">
        <v>8.0</v>
      </c>
      <c r="F413" s="13">
        <v>5.0</v>
      </c>
      <c r="G413" s="12">
        <f t="shared" si="72"/>
        <v>3</v>
      </c>
      <c r="H413" s="12">
        <f t="shared" si="73"/>
        <v>27</v>
      </c>
      <c r="I413" s="14">
        <f t="shared" si="74"/>
        <v>18</v>
      </c>
    </row>
    <row r="414">
      <c r="A414" s="13" t="s">
        <v>29</v>
      </c>
      <c r="B414" s="12">
        <f t="shared" si="71"/>
        <v>93</v>
      </c>
      <c r="C414" s="13">
        <v>1.0</v>
      </c>
      <c r="D414" s="11"/>
      <c r="E414" s="13">
        <v>28.0</v>
      </c>
      <c r="F414" s="13">
        <v>22.0</v>
      </c>
      <c r="G414" s="12">
        <f t="shared" si="72"/>
        <v>6</v>
      </c>
      <c r="H414" s="12">
        <f t="shared" si="73"/>
        <v>86</v>
      </c>
      <c r="I414" s="14">
        <f t="shared" si="74"/>
        <v>36</v>
      </c>
    </row>
    <row r="415">
      <c r="A415" s="11" t="s">
        <v>30</v>
      </c>
      <c r="B415" s="12">
        <f t="shared" si="71"/>
        <v>9</v>
      </c>
      <c r="C415" s="11"/>
      <c r="D415" s="11"/>
      <c r="E415" s="13">
        <v>2.0</v>
      </c>
      <c r="F415" s="13">
        <v>2.0</v>
      </c>
      <c r="G415" s="12">
        <f t="shared" si="72"/>
        <v>0</v>
      </c>
      <c r="H415" s="12">
        <f t="shared" si="73"/>
        <v>9</v>
      </c>
      <c r="I415" s="14">
        <f t="shared" si="74"/>
        <v>0</v>
      </c>
    </row>
    <row r="416">
      <c r="A416" s="18" t="s">
        <v>31</v>
      </c>
      <c r="B416" s="12">
        <f t="shared" si="71"/>
        <v>16</v>
      </c>
      <c r="C416" s="11"/>
      <c r="D416" s="11"/>
      <c r="E416" s="13">
        <v>2.0</v>
      </c>
      <c r="F416" s="13">
        <v>2.0</v>
      </c>
      <c r="G416" s="12">
        <f t="shared" si="72"/>
        <v>0</v>
      </c>
      <c r="H416" s="12">
        <f t="shared" si="73"/>
        <v>16</v>
      </c>
      <c r="I416" s="14">
        <f t="shared" si="74"/>
        <v>0</v>
      </c>
    </row>
    <row r="417">
      <c r="A417" s="18" t="s">
        <v>32</v>
      </c>
      <c r="B417" s="12">
        <f t="shared" si="71"/>
        <v>16</v>
      </c>
      <c r="C417" s="11"/>
      <c r="D417" s="11"/>
      <c r="E417" s="13">
        <v>2.0</v>
      </c>
      <c r="F417" s="13">
        <v>2.0</v>
      </c>
      <c r="G417" s="12">
        <f t="shared" si="72"/>
        <v>0</v>
      </c>
      <c r="H417" s="12">
        <f t="shared" si="73"/>
        <v>16</v>
      </c>
      <c r="I417" s="14">
        <f t="shared" si="74"/>
        <v>0</v>
      </c>
    </row>
    <row r="418">
      <c r="A418" s="19" t="s">
        <v>33</v>
      </c>
      <c r="B418" s="20">
        <f t="shared" ref="B418:I418" si="75">SUM(B395:B417)</f>
        <v>619</v>
      </c>
      <c r="C418" s="20">
        <f t="shared" si="75"/>
        <v>1</v>
      </c>
      <c r="D418" s="20">
        <f t="shared" si="75"/>
        <v>0</v>
      </c>
      <c r="E418" s="20">
        <f t="shared" si="75"/>
        <v>127</v>
      </c>
      <c r="F418" s="20">
        <f t="shared" si="75"/>
        <v>92</v>
      </c>
      <c r="G418" s="20">
        <f t="shared" si="75"/>
        <v>35</v>
      </c>
      <c r="H418" s="20">
        <f t="shared" si="75"/>
        <v>583</v>
      </c>
      <c r="I418" s="21">
        <f t="shared" si="75"/>
        <v>210</v>
      </c>
    </row>
    <row r="419">
      <c r="A419" s="22"/>
      <c r="B419" s="22"/>
      <c r="C419" s="22"/>
      <c r="D419" s="22"/>
      <c r="E419" s="22"/>
      <c r="F419" s="23" t="s">
        <v>34</v>
      </c>
      <c r="G419" s="4"/>
      <c r="H419" s="24"/>
      <c r="I419" s="25"/>
    </row>
    <row r="421">
      <c r="A421" s="1"/>
      <c r="B421" s="2" t="s">
        <v>59</v>
      </c>
      <c r="C421" s="3"/>
      <c r="D421" s="3"/>
      <c r="E421" s="3"/>
      <c r="F421" s="3"/>
      <c r="G421" s="3"/>
      <c r="H421" s="3"/>
      <c r="I421" s="4"/>
    </row>
    <row r="422">
      <c r="A422" s="5" t="s">
        <v>1</v>
      </c>
      <c r="B422" s="6" t="s">
        <v>2</v>
      </c>
      <c r="C422" s="7" t="s">
        <v>3</v>
      </c>
      <c r="D422" s="8" t="s">
        <v>4</v>
      </c>
      <c r="E422" s="5" t="s">
        <v>5</v>
      </c>
      <c r="F422" s="5" t="s">
        <v>6</v>
      </c>
      <c r="G422" s="5" t="s">
        <v>7</v>
      </c>
      <c r="H422" s="9" t="s">
        <v>8</v>
      </c>
      <c r="I422" s="10" t="s">
        <v>9</v>
      </c>
    </row>
    <row r="423">
      <c r="A423" s="11" t="s">
        <v>10</v>
      </c>
      <c r="B423" s="12">
        <f t="shared" ref="B423:B445" si="76">H395</f>
        <v>38</v>
      </c>
      <c r="C423" s="11"/>
      <c r="D423" s="11"/>
      <c r="E423" s="13">
        <v>6.0</v>
      </c>
      <c r="F423" s="13">
        <v>4.0</v>
      </c>
      <c r="G423" s="12">
        <f t="shared" ref="G423:G445" si="77">E423-F423</f>
        <v>2</v>
      </c>
      <c r="H423" s="12">
        <f t="shared" ref="H423:H445" si="78">B423-C423+D423-G423</f>
        <v>36</v>
      </c>
      <c r="I423" s="14">
        <f t="shared" ref="I423:I445" si="79">G423*6</f>
        <v>12</v>
      </c>
    </row>
    <row r="424">
      <c r="A424" s="11" t="s">
        <v>11</v>
      </c>
      <c r="B424" s="12">
        <f t="shared" si="76"/>
        <v>5</v>
      </c>
      <c r="C424" s="15"/>
      <c r="D424" s="11"/>
      <c r="E424" s="13">
        <v>3.0</v>
      </c>
      <c r="F424" s="13">
        <v>3.0</v>
      </c>
      <c r="G424" s="12">
        <f t="shared" si="77"/>
        <v>0</v>
      </c>
      <c r="H424" s="12">
        <f t="shared" si="78"/>
        <v>5</v>
      </c>
      <c r="I424" s="14">
        <f t="shared" si="79"/>
        <v>0</v>
      </c>
    </row>
    <row r="425">
      <c r="A425" s="11" t="s">
        <v>12</v>
      </c>
      <c r="B425" s="12">
        <f t="shared" si="76"/>
        <v>28</v>
      </c>
      <c r="C425" s="11"/>
      <c r="D425" s="11"/>
      <c r="E425" s="13">
        <v>5.0</v>
      </c>
      <c r="F425" s="13">
        <v>0.0</v>
      </c>
      <c r="G425" s="12">
        <f t="shared" si="77"/>
        <v>5</v>
      </c>
      <c r="H425" s="12">
        <f t="shared" si="78"/>
        <v>23</v>
      </c>
      <c r="I425" s="14">
        <f t="shared" si="79"/>
        <v>30</v>
      </c>
    </row>
    <row r="426">
      <c r="A426" s="11" t="s">
        <v>13</v>
      </c>
      <c r="B426" s="12">
        <f t="shared" si="76"/>
        <v>13</v>
      </c>
      <c r="C426" s="13"/>
      <c r="D426" s="13"/>
      <c r="E426" s="13">
        <v>6.0</v>
      </c>
      <c r="F426" s="13">
        <v>2.0</v>
      </c>
      <c r="G426" s="12">
        <f t="shared" si="77"/>
        <v>4</v>
      </c>
      <c r="H426" s="12">
        <f t="shared" si="78"/>
        <v>9</v>
      </c>
      <c r="I426" s="14">
        <f t="shared" si="79"/>
        <v>24</v>
      </c>
    </row>
    <row r="427">
      <c r="A427" s="11" t="s">
        <v>14</v>
      </c>
      <c r="B427" s="12">
        <f t="shared" si="76"/>
        <v>26</v>
      </c>
      <c r="C427" s="11"/>
      <c r="D427" s="11"/>
      <c r="E427" s="13">
        <v>4.0</v>
      </c>
      <c r="F427" s="13">
        <v>3.0</v>
      </c>
      <c r="G427" s="12">
        <f t="shared" si="77"/>
        <v>1</v>
      </c>
      <c r="H427" s="12">
        <f t="shared" si="78"/>
        <v>25</v>
      </c>
      <c r="I427" s="14">
        <f t="shared" si="79"/>
        <v>6</v>
      </c>
    </row>
    <row r="428">
      <c r="A428" s="11" t="s">
        <v>15</v>
      </c>
      <c r="B428" s="12">
        <f t="shared" si="76"/>
        <v>9</v>
      </c>
      <c r="C428" s="13"/>
      <c r="D428" s="11"/>
      <c r="E428" s="13">
        <v>5.0</v>
      </c>
      <c r="F428" s="13">
        <v>3.0</v>
      </c>
      <c r="G428" s="12">
        <f t="shared" si="77"/>
        <v>2</v>
      </c>
      <c r="H428" s="12">
        <f t="shared" si="78"/>
        <v>7</v>
      </c>
      <c r="I428" s="14">
        <f t="shared" si="79"/>
        <v>12</v>
      </c>
    </row>
    <row r="429">
      <c r="A429" s="11" t="s">
        <v>16</v>
      </c>
      <c r="B429" s="12">
        <f t="shared" si="76"/>
        <v>24</v>
      </c>
      <c r="C429" s="11"/>
      <c r="D429" s="11"/>
      <c r="E429" s="13">
        <v>5.0</v>
      </c>
      <c r="F429" s="13">
        <v>3.0</v>
      </c>
      <c r="G429" s="12">
        <f t="shared" si="77"/>
        <v>2</v>
      </c>
      <c r="H429" s="12">
        <f t="shared" si="78"/>
        <v>22</v>
      </c>
      <c r="I429" s="14">
        <f t="shared" si="79"/>
        <v>12</v>
      </c>
    </row>
    <row r="430">
      <c r="A430" s="11" t="s">
        <v>17</v>
      </c>
      <c r="B430" s="12">
        <f t="shared" si="76"/>
        <v>19</v>
      </c>
      <c r="C430" s="11"/>
      <c r="D430" s="13"/>
      <c r="E430" s="13">
        <v>5.0</v>
      </c>
      <c r="F430" s="13">
        <v>4.0</v>
      </c>
      <c r="G430" s="12">
        <f t="shared" si="77"/>
        <v>1</v>
      </c>
      <c r="H430" s="12">
        <f t="shared" si="78"/>
        <v>18</v>
      </c>
      <c r="I430" s="14">
        <f t="shared" si="79"/>
        <v>6</v>
      </c>
    </row>
    <row r="431">
      <c r="A431" s="11" t="s">
        <v>18</v>
      </c>
      <c r="B431" s="12">
        <f t="shared" si="76"/>
        <v>26</v>
      </c>
      <c r="C431" s="11"/>
      <c r="D431" s="11"/>
      <c r="E431" s="13">
        <v>5.0</v>
      </c>
      <c r="F431" s="13">
        <v>3.0</v>
      </c>
      <c r="G431" s="12">
        <f t="shared" si="77"/>
        <v>2</v>
      </c>
      <c r="H431" s="12">
        <f t="shared" si="78"/>
        <v>24</v>
      </c>
      <c r="I431" s="14">
        <f t="shared" si="79"/>
        <v>12</v>
      </c>
    </row>
    <row r="432">
      <c r="A432" s="11" t="s">
        <v>19</v>
      </c>
      <c r="B432" s="12">
        <f t="shared" si="76"/>
        <v>34</v>
      </c>
      <c r="C432" s="11"/>
      <c r="D432" s="11"/>
      <c r="E432" s="13">
        <v>5.0</v>
      </c>
      <c r="F432" s="13">
        <v>3.0</v>
      </c>
      <c r="G432" s="12">
        <f t="shared" si="77"/>
        <v>2</v>
      </c>
      <c r="H432" s="12">
        <f t="shared" si="78"/>
        <v>32</v>
      </c>
      <c r="I432" s="14">
        <f t="shared" si="79"/>
        <v>12</v>
      </c>
    </row>
    <row r="433">
      <c r="A433" s="11" t="s">
        <v>20</v>
      </c>
      <c r="B433" s="12">
        <f t="shared" si="76"/>
        <v>43</v>
      </c>
      <c r="C433" s="11"/>
      <c r="D433" s="11"/>
      <c r="E433" s="13">
        <v>5.0</v>
      </c>
      <c r="F433" s="13">
        <v>2.0</v>
      </c>
      <c r="G433" s="12">
        <f t="shared" si="77"/>
        <v>3</v>
      </c>
      <c r="H433" s="12">
        <f t="shared" si="78"/>
        <v>40</v>
      </c>
      <c r="I433" s="14">
        <f t="shared" si="79"/>
        <v>18</v>
      </c>
    </row>
    <row r="434">
      <c r="A434" s="11" t="s">
        <v>21</v>
      </c>
      <c r="B434" s="12">
        <f t="shared" si="76"/>
        <v>12</v>
      </c>
      <c r="C434" s="11"/>
      <c r="D434" s="11"/>
      <c r="E434" s="13">
        <v>2.0</v>
      </c>
      <c r="F434" s="13">
        <v>1.0</v>
      </c>
      <c r="G434" s="12">
        <f t="shared" si="77"/>
        <v>1</v>
      </c>
      <c r="H434" s="12">
        <f t="shared" si="78"/>
        <v>11</v>
      </c>
      <c r="I434" s="14">
        <f t="shared" si="79"/>
        <v>6</v>
      </c>
    </row>
    <row r="435">
      <c r="A435" s="11" t="s">
        <v>22</v>
      </c>
      <c r="B435" s="12">
        <f t="shared" si="76"/>
        <v>42</v>
      </c>
      <c r="C435" s="11"/>
      <c r="D435" s="11"/>
      <c r="E435" s="13">
        <v>5.0</v>
      </c>
      <c r="F435" s="13">
        <v>5.0</v>
      </c>
      <c r="G435" s="12">
        <f t="shared" si="77"/>
        <v>0</v>
      </c>
      <c r="H435" s="12">
        <f t="shared" si="78"/>
        <v>42</v>
      </c>
      <c r="I435" s="14">
        <f t="shared" si="79"/>
        <v>0</v>
      </c>
    </row>
    <row r="436">
      <c r="A436" s="11" t="s">
        <v>23</v>
      </c>
      <c r="B436" s="12">
        <f t="shared" si="76"/>
        <v>41</v>
      </c>
      <c r="C436" s="17"/>
      <c r="D436" s="11"/>
      <c r="E436" s="13">
        <v>6.0</v>
      </c>
      <c r="F436" s="13">
        <v>5.0</v>
      </c>
      <c r="G436" s="12">
        <f t="shared" si="77"/>
        <v>1</v>
      </c>
      <c r="H436" s="12">
        <f t="shared" si="78"/>
        <v>40</v>
      </c>
      <c r="I436" s="14">
        <f t="shared" si="79"/>
        <v>6</v>
      </c>
    </row>
    <row r="437">
      <c r="A437" s="11" t="s">
        <v>24</v>
      </c>
      <c r="B437" s="12">
        <f t="shared" si="76"/>
        <v>4</v>
      </c>
      <c r="C437" s="11"/>
      <c r="D437" s="11"/>
      <c r="E437" s="13">
        <v>2.0</v>
      </c>
      <c r="F437" s="13">
        <v>1.0</v>
      </c>
      <c r="G437" s="12">
        <f t="shared" si="77"/>
        <v>1</v>
      </c>
      <c r="H437" s="12">
        <f t="shared" si="78"/>
        <v>3</v>
      </c>
      <c r="I437" s="14">
        <f t="shared" si="79"/>
        <v>6</v>
      </c>
    </row>
    <row r="438">
      <c r="A438" s="11" t="s">
        <v>25</v>
      </c>
      <c r="B438" s="12">
        <f t="shared" si="76"/>
        <v>14</v>
      </c>
      <c r="C438" s="11"/>
      <c r="D438" s="13"/>
      <c r="E438" s="13">
        <v>8.0</v>
      </c>
      <c r="F438" s="13">
        <v>1.0</v>
      </c>
      <c r="G438" s="12">
        <f t="shared" si="77"/>
        <v>7</v>
      </c>
      <c r="H438" s="12">
        <f t="shared" si="78"/>
        <v>7</v>
      </c>
      <c r="I438" s="14">
        <f t="shared" si="79"/>
        <v>42</v>
      </c>
    </row>
    <row r="439">
      <c r="A439" s="11" t="s">
        <v>26</v>
      </c>
      <c r="B439" s="12">
        <f t="shared" si="76"/>
        <v>28</v>
      </c>
      <c r="C439" s="11"/>
      <c r="D439" s="11"/>
      <c r="E439" s="13">
        <v>4.0</v>
      </c>
      <c r="F439" s="13">
        <v>0.0</v>
      </c>
      <c r="G439" s="12">
        <f t="shared" si="77"/>
        <v>4</v>
      </c>
      <c r="H439" s="12">
        <f t="shared" si="78"/>
        <v>24</v>
      </c>
      <c r="I439" s="14">
        <f t="shared" si="79"/>
        <v>24</v>
      </c>
    </row>
    <row r="440">
      <c r="A440" s="11" t="s">
        <v>27</v>
      </c>
      <c r="B440" s="12">
        <f t="shared" si="76"/>
        <v>23</v>
      </c>
      <c r="C440" s="13">
        <v>1.0</v>
      </c>
      <c r="D440" s="11"/>
      <c r="E440" s="13">
        <v>3.0</v>
      </c>
      <c r="F440" s="13">
        <v>2.0</v>
      </c>
      <c r="G440" s="12">
        <f t="shared" si="77"/>
        <v>1</v>
      </c>
      <c r="H440" s="12">
        <f t="shared" si="78"/>
        <v>21</v>
      </c>
      <c r="I440" s="14">
        <f t="shared" si="79"/>
        <v>6</v>
      </c>
    </row>
    <row r="441">
      <c r="A441" s="11" t="s">
        <v>28</v>
      </c>
      <c r="B441" s="12">
        <f t="shared" si="76"/>
        <v>27</v>
      </c>
      <c r="C441" s="11"/>
      <c r="D441" s="11"/>
      <c r="E441" s="13">
        <v>8.0</v>
      </c>
      <c r="F441" s="13">
        <v>6.0</v>
      </c>
      <c r="G441" s="12">
        <f t="shared" si="77"/>
        <v>2</v>
      </c>
      <c r="H441" s="12">
        <f t="shared" si="78"/>
        <v>25</v>
      </c>
      <c r="I441" s="14">
        <f t="shared" si="79"/>
        <v>12</v>
      </c>
    </row>
    <row r="442">
      <c r="A442" s="13" t="s">
        <v>29</v>
      </c>
      <c r="B442" s="12">
        <f t="shared" si="76"/>
        <v>86</v>
      </c>
      <c r="C442" s="11"/>
      <c r="D442" s="11"/>
      <c r="E442" s="13">
        <v>25.0</v>
      </c>
      <c r="F442" s="13">
        <v>18.0</v>
      </c>
      <c r="G442" s="12">
        <f t="shared" si="77"/>
        <v>7</v>
      </c>
      <c r="H442" s="12">
        <f t="shared" si="78"/>
        <v>79</v>
      </c>
      <c r="I442" s="14">
        <f t="shared" si="79"/>
        <v>42</v>
      </c>
    </row>
    <row r="443">
      <c r="A443" s="11" t="s">
        <v>30</v>
      </c>
      <c r="B443" s="12">
        <f t="shared" si="76"/>
        <v>9</v>
      </c>
      <c r="C443" s="11"/>
      <c r="D443" s="11"/>
      <c r="E443" s="13">
        <v>2.0</v>
      </c>
      <c r="F443" s="13">
        <v>1.0</v>
      </c>
      <c r="G443" s="12">
        <f t="shared" si="77"/>
        <v>1</v>
      </c>
      <c r="H443" s="12">
        <f t="shared" si="78"/>
        <v>8</v>
      </c>
      <c r="I443" s="14">
        <f t="shared" si="79"/>
        <v>6</v>
      </c>
    </row>
    <row r="444">
      <c r="A444" s="18" t="s">
        <v>31</v>
      </c>
      <c r="B444" s="12">
        <f t="shared" si="76"/>
        <v>16</v>
      </c>
      <c r="C444" s="11"/>
      <c r="D444" s="11"/>
      <c r="E444" s="13">
        <v>2.0</v>
      </c>
      <c r="F444" s="13">
        <v>0.0</v>
      </c>
      <c r="G444" s="12">
        <f t="shared" si="77"/>
        <v>2</v>
      </c>
      <c r="H444" s="12">
        <f t="shared" si="78"/>
        <v>14</v>
      </c>
      <c r="I444" s="14">
        <f t="shared" si="79"/>
        <v>12</v>
      </c>
    </row>
    <row r="445">
      <c r="A445" s="18" t="s">
        <v>32</v>
      </c>
      <c r="B445" s="12">
        <f t="shared" si="76"/>
        <v>16</v>
      </c>
      <c r="C445" s="11"/>
      <c r="D445" s="11"/>
      <c r="E445" s="13">
        <v>2.0</v>
      </c>
      <c r="F445" s="13">
        <v>2.0</v>
      </c>
      <c r="G445" s="12">
        <f t="shared" si="77"/>
        <v>0</v>
      </c>
      <c r="H445" s="12">
        <f t="shared" si="78"/>
        <v>16</v>
      </c>
      <c r="I445" s="14">
        <f t="shared" si="79"/>
        <v>0</v>
      </c>
    </row>
    <row r="446">
      <c r="A446" s="19" t="s">
        <v>33</v>
      </c>
      <c r="B446" s="20">
        <f t="shared" ref="B446:I446" si="80">SUM(B423:B445)</f>
        <v>583</v>
      </c>
      <c r="C446" s="20">
        <f t="shared" si="80"/>
        <v>1</v>
      </c>
      <c r="D446" s="20">
        <f t="shared" si="80"/>
        <v>0</v>
      </c>
      <c r="E446" s="20">
        <f t="shared" si="80"/>
        <v>123</v>
      </c>
      <c r="F446" s="20">
        <f t="shared" si="80"/>
        <v>72</v>
      </c>
      <c r="G446" s="20">
        <f t="shared" si="80"/>
        <v>51</v>
      </c>
      <c r="H446" s="20">
        <f t="shared" si="80"/>
        <v>531</v>
      </c>
      <c r="I446" s="21">
        <f t="shared" si="80"/>
        <v>306</v>
      </c>
    </row>
    <row r="447">
      <c r="A447" s="22"/>
      <c r="B447" s="22"/>
      <c r="C447" s="22"/>
      <c r="D447" s="22"/>
      <c r="E447" s="22"/>
      <c r="F447" s="23" t="s">
        <v>34</v>
      </c>
      <c r="G447" s="4"/>
      <c r="H447" s="24"/>
      <c r="I447" s="25"/>
    </row>
    <row r="449">
      <c r="A449" s="1"/>
      <c r="B449" s="2" t="s">
        <v>60</v>
      </c>
      <c r="C449" s="3"/>
      <c r="D449" s="3"/>
      <c r="E449" s="3"/>
      <c r="F449" s="3"/>
      <c r="G449" s="3"/>
      <c r="H449" s="3"/>
      <c r="I449" s="4"/>
    </row>
    <row r="450">
      <c r="A450" s="5" t="s">
        <v>1</v>
      </c>
      <c r="B450" s="6" t="s">
        <v>2</v>
      </c>
      <c r="C450" s="7" t="s">
        <v>3</v>
      </c>
      <c r="D450" s="8" t="s">
        <v>4</v>
      </c>
      <c r="E450" s="5" t="s">
        <v>5</v>
      </c>
      <c r="F450" s="5" t="s">
        <v>6</v>
      </c>
      <c r="G450" s="5" t="s">
        <v>7</v>
      </c>
      <c r="H450" s="9" t="s">
        <v>8</v>
      </c>
      <c r="I450" s="10" t="s">
        <v>9</v>
      </c>
    </row>
    <row r="451">
      <c r="A451" s="11" t="s">
        <v>10</v>
      </c>
      <c r="B451" s="12">
        <f t="shared" ref="B451:B473" si="81">H423</f>
        <v>36</v>
      </c>
      <c r="C451" s="11"/>
      <c r="D451" s="11"/>
      <c r="E451" s="13">
        <v>6.0</v>
      </c>
      <c r="F451" s="13">
        <v>5.0</v>
      </c>
      <c r="G451" s="12">
        <f t="shared" ref="G451:G473" si="82">E451-F451</f>
        <v>1</v>
      </c>
      <c r="H451" s="12">
        <f t="shared" ref="H451:H473" si="83">B451-C451+D451-G451</f>
        <v>35</v>
      </c>
      <c r="I451" s="14">
        <f t="shared" ref="I451:I473" si="84">G451*6</f>
        <v>6</v>
      </c>
    </row>
    <row r="452">
      <c r="A452" s="11" t="s">
        <v>11</v>
      </c>
      <c r="B452" s="12">
        <f t="shared" si="81"/>
        <v>5</v>
      </c>
      <c r="C452" s="15"/>
      <c r="D452" s="11"/>
      <c r="E452" s="13">
        <v>3.0</v>
      </c>
      <c r="F452" s="13">
        <v>0.0</v>
      </c>
      <c r="G452" s="12">
        <f t="shared" si="82"/>
        <v>3</v>
      </c>
      <c r="H452" s="12">
        <f t="shared" si="83"/>
        <v>2</v>
      </c>
      <c r="I452" s="14">
        <f t="shared" si="84"/>
        <v>18</v>
      </c>
    </row>
    <row r="453">
      <c r="A453" s="11" t="s">
        <v>12</v>
      </c>
      <c r="B453" s="12">
        <f t="shared" si="81"/>
        <v>23</v>
      </c>
      <c r="C453" s="11"/>
      <c r="D453" s="11"/>
      <c r="E453" s="13">
        <v>5.0</v>
      </c>
      <c r="F453" s="13">
        <v>5.0</v>
      </c>
      <c r="G453" s="12">
        <f t="shared" si="82"/>
        <v>0</v>
      </c>
      <c r="H453" s="12">
        <f t="shared" si="83"/>
        <v>23</v>
      </c>
      <c r="I453" s="14">
        <f t="shared" si="84"/>
        <v>0</v>
      </c>
    </row>
    <row r="454">
      <c r="A454" s="11" t="s">
        <v>13</v>
      </c>
      <c r="B454" s="12">
        <f t="shared" si="81"/>
        <v>9</v>
      </c>
      <c r="C454" s="13">
        <v>1.0</v>
      </c>
      <c r="D454" s="13">
        <v>32.0</v>
      </c>
      <c r="E454" s="13">
        <v>6.0</v>
      </c>
      <c r="F454" s="13">
        <v>12.0</v>
      </c>
      <c r="G454" s="12">
        <f t="shared" si="82"/>
        <v>-6</v>
      </c>
      <c r="H454" s="12">
        <f t="shared" si="83"/>
        <v>46</v>
      </c>
      <c r="I454" s="14">
        <f t="shared" si="84"/>
        <v>-36</v>
      </c>
    </row>
    <row r="455">
      <c r="A455" s="11" t="s">
        <v>14</v>
      </c>
      <c r="B455" s="12">
        <f t="shared" si="81"/>
        <v>25</v>
      </c>
      <c r="C455" s="11"/>
      <c r="D455" s="11"/>
      <c r="E455" s="13">
        <v>4.0</v>
      </c>
      <c r="F455" s="13">
        <v>3.0</v>
      </c>
      <c r="G455" s="12">
        <f t="shared" si="82"/>
        <v>1</v>
      </c>
      <c r="H455" s="12">
        <f t="shared" si="83"/>
        <v>24</v>
      </c>
      <c r="I455" s="14">
        <f t="shared" si="84"/>
        <v>6</v>
      </c>
    </row>
    <row r="456">
      <c r="A456" s="11" t="s">
        <v>15</v>
      </c>
      <c r="B456" s="12">
        <f t="shared" si="81"/>
        <v>7</v>
      </c>
      <c r="C456" s="13"/>
      <c r="D456" s="13">
        <v>32.0</v>
      </c>
      <c r="E456" s="13">
        <v>5.0</v>
      </c>
      <c r="F456" s="13">
        <v>2.0</v>
      </c>
      <c r="G456" s="12">
        <f t="shared" si="82"/>
        <v>3</v>
      </c>
      <c r="H456" s="12">
        <f t="shared" si="83"/>
        <v>36</v>
      </c>
      <c r="I456" s="14">
        <f t="shared" si="84"/>
        <v>18</v>
      </c>
    </row>
    <row r="457">
      <c r="A457" s="11" t="s">
        <v>16</v>
      </c>
      <c r="B457" s="12">
        <f t="shared" si="81"/>
        <v>22</v>
      </c>
      <c r="C457" s="11"/>
      <c r="D457" s="11"/>
      <c r="E457" s="13">
        <v>5.0</v>
      </c>
      <c r="F457" s="13">
        <v>2.0</v>
      </c>
      <c r="G457" s="12">
        <f t="shared" si="82"/>
        <v>3</v>
      </c>
      <c r="H457" s="12">
        <f t="shared" si="83"/>
        <v>19</v>
      </c>
      <c r="I457" s="14">
        <f t="shared" si="84"/>
        <v>18</v>
      </c>
    </row>
    <row r="458">
      <c r="A458" s="11" t="s">
        <v>17</v>
      </c>
      <c r="B458" s="12">
        <f t="shared" si="81"/>
        <v>18</v>
      </c>
      <c r="C458" s="11"/>
      <c r="D458" s="13"/>
      <c r="E458" s="13">
        <v>4.0</v>
      </c>
      <c r="F458" s="13">
        <v>3.0</v>
      </c>
      <c r="G458" s="12">
        <f t="shared" si="82"/>
        <v>1</v>
      </c>
      <c r="H458" s="12">
        <f t="shared" si="83"/>
        <v>17</v>
      </c>
      <c r="I458" s="14">
        <f t="shared" si="84"/>
        <v>6</v>
      </c>
    </row>
    <row r="459">
      <c r="A459" s="11" t="s">
        <v>18</v>
      </c>
      <c r="B459" s="12">
        <f t="shared" si="81"/>
        <v>24</v>
      </c>
      <c r="C459" s="11"/>
      <c r="D459" s="11"/>
      <c r="E459" s="13">
        <v>5.0</v>
      </c>
      <c r="F459" s="13">
        <v>3.0</v>
      </c>
      <c r="G459" s="12">
        <f t="shared" si="82"/>
        <v>2</v>
      </c>
      <c r="H459" s="12">
        <f t="shared" si="83"/>
        <v>22</v>
      </c>
      <c r="I459" s="14">
        <f t="shared" si="84"/>
        <v>12</v>
      </c>
    </row>
    <row r="460">
      <c r="A460" s="11" t="s">
        <v>19</v>
      </c>
      <c r="B460" s="12">
        <f t="shared" si="81"/>
        <v>32</v>
      </c>
      <c r="C460" s="11"/>
      <c r="D460" s="11"/>
      <c r="E460" s="13">
        <v>5.0</v>
      </c>
      <c r="F460" s="13">
        <v>2.0</v>
      </c>
      <c r="G460" s="12">
        <f t="shared" si="82"/>
        <v>3</v>
      </c>
      <c r="H460" s="12">
        <f t="shared" si="83"/>
        <v>29</v>
      </c>
      <c r="I460" s="14">
        <f t="shared" si="84"/>
        <v>18</v>
      </c>
    </row>
    <row r="461">
      <c r="A461" s="11" t="s">
        <v>20</v>
      </c>
      <c r="B461" s="12">
        <f t="shared" si="81"/>
        <v>40</v>
      </c>
      <c r="C461" s="11"/>
      <c r="D461" s="11"/>
      <c r="E461" s="13">
        <v>5.0</v>
      </c>
      <c r="F461" s="13">
        <v>3.0</v>
      </c>
      <c r="G461" s="12">
        <f t="shared" si="82"/>
        <v>2</v>
      </c>
      <c r="H461" s="12">
        <f t="shared" si="83"/>
        <v>38</v>
      </c>
      <c r="I461" s="14">
        <f t="shared" si="84"/>
        <v>12</v>
      </c>
    </row>
    <row r="462">
      <c r="A462" s="11" t="s">
        <v>21</v>
      </c>
      <c r="B462" s="12">
        <f t="shared" si="81"/>
        <v>11</v>
      </c>
      <c r="C462" s="11"/>
      <c r="D462" s="11"/>
      <c r="E462" s="13">
        <v>2.0</v>
      </c>
      <c r="F462" s="13">
        <v>1.0</v>
      </c>
      <c r="G462" s="12">
        <f t="shared" si="82"/>
        <v>1</v>
      </c>
      <c r="H462" s="12">
        <f t="shared" si="83"/>
        <v>10</v>
      </c>
      <c r="I462" s="14">
        <f t="shared" si="84"/>
        <v>6</v>
      </c>
    </row>
    <row r="463">
      <c r="A463" s="11" t="s">
        <v>22</v>
      </c>
      <c r="B463" s="12">
        <f t="shared" si="81"/>
        <v>42</v>
      </c>
      <c r="C463" s="11"/>
      <c r="D463" s="11"/>
      <c r="E463" s="13">
        <v>5.0</v>
      </c>
      <c r="F463" s="13">
        <v>2.0</v>
      </c>
      <c r="G463" s="12">
        <f t="shared" si="82"/>
        <v>3</v>
      </c>
      <c r="H463" s="12">
        <f t="shared" si="83"/>
        <v>39</v>
      </c>
      <c r="I463" s="14">
        <f t="shared" si="84"/>
        <v>18</v>
      </c>
    </row>
    <row r="464">
      <c r="A464" s="11" t="s">
        <v>23</v>
      </c>
      <c r="B464" s="12">
        <f t="shared" si="81"/>
        <v>40</v>
      </c>
      <c r="C464" s="17"/>
      <c r="D464" s="11"/>
      <c r="E464" s="13">
        <v>6.0</v>
      </c>
      <c r="F464" s="13">
        <v>5.0</v>
      </c>
      <c r="G464" s="12">
        <f t="shared" si="82"/>
        <v>1</v>
      </c>
      <c r="H464" s="12">
        <f t="shared" si="83"/>
        <v>39</v>
      </c>
      <c r="I464" s="14">
        <f t="shared" si="84"/>
        <v>6</v>
      </c>
    </row>
    <row r="465">
      <c r="A465" s="11" t="s">
        <v>24</v>
      </c>
      <c r="B465" s="12">
        <f t="shared" si="81"/>
        <v>3</v>
      </c>
      <c r="C465" s="11"/>
      <c r="D465" s="11"/>
      <c r="E465" s="13">
        <v>3.0</v>
      </c>
      <c r="F465" s="13">
        <v>3.0</v>
      </c>
      <c r="G465" s="12">
        <f t="shared" si="82"/>
        <v>0</v>
      </c>
      <c r="H465" s="12">
        <f t="shared" si="83"/>
        <v>3</v>
      </c>
      <c r="I465" s="14">
        <f t="shared" si="84"/>
        <v>0</v>
      </c>
    </row>
    <row r="466">
      <c r="A466" s="11" t="s">
        <v>25</v>
      </c>
      <c r="B466" s="12">
        <f t="shared" si="81"/>
        <v>7</v>
      </c>
      <c r="C466" s="11"/>
      <c r="D466" s="13"/>
      <c r="E466" s="13">
        <v>8.0</v>
      </c>
      <c r="F466" s="13">
        <v>2.0</v>
      </c>
      <c r="G466" s="12">
        <f t="shared" si="82"/>
        <v>6</v>
      </c>
      <c r="H466" s="12">
        <f t="shared" si="83"/>
        <v>1</v>
      </c>
      <c r="I466" s="14">
        <f t="shared" si="84"/>
        <v>36</v>
      </c>
    </row>
    <row r="467">
      <c r="A467" s="11" t="s">
        <v>26</v>
      </c>
      <c r="B467" s="12">
        <f t="shared" si="81"/>
        <v>24</v>
      </c>
      <c r="C467" s="13">
        <v>2.0</v>
      </c>
      <c r="D467" s="11"/>
      <c r="E467" s="13">
        <v>5.0</v>
      </c>
      <c r="F467" s="13">
        <v>3.0</v>
      </c>
      <c r="G467" s="12">
        <f t="shared" si="82"/>
        <v>2</v>
      </c>
      <c r="H467" s="12">
        <f t="shared" si="83"/>
        <v>20</v>
      </c>
      <c r="I467" s="14">
        <f t="shared" si="84"/>
        <v>12</v>
      </c>
    </row>
    <row r="468">
      <c r="A468" s="11" t="s">
        <v>27</v>
      </c>
      <c r="B468" s="12">
        <f t="shared" si="81"/>
        <v>21</v>
      </c>
      <c r="C468" s="11"/>
      <c r="D468" s="11"/>
      <c r="E468" s="13">
        <v>3.0</v>
      </c>
      <c r="F468" s="13">
        <v>1.0</v>
      </c>
      <c r="G468" s="12">
        <f t="shared" si="82"/>
        <v>2</v>
      </c>
      <c r="H468" s="12">
        <f t="shared" si="83"/>
        <v>19</v>
      </c>
      <c r="I468" s="14">
        <f t="shared" si="84"/>
        <v>12</v>
      </c>
    </row>
    <row r="469">
      <c r="A469" s="11" t="s">
        <v>28</v>
      </c>
      <c r="B469" s="12">
        <f t="shared" si="81"/>
        <v>25</v>
      </c>
      <c r="C469" s="13">
        <v>1.0</v>
      </c>
      <c r="D469" s="11"/>
      <c r="E469" s="13">
        <v>8.0</v>
      </c>
      <c r="F469" s="13">
        <v>4.0</v>
      </c>
      <c r="G469" s="12">
        <f t="shared" si="82"/>
        <v>4</v>
      </c>
      <c r="H469" s="12">
        <f t="shared" si="83"/>
        <v>20</v>
      </c>
      <c r="I469" s="14">
        <f t="shared" si="84"/>
        <v>24</v>
      </c>
    </row>
    <row r="470">
      <c r="A470" s="13" t="s">
        <v>29</v>
      </c>
      <c r="B470" s="12">
        <f t="shared" si="81"/>
        <v>79</v>
      </c>
      <c r="C470" s="13">
        <v>2.0</v>
      </c>
      <c r="D470" s="11"/>
      <c r="E470" s="13">
        <v>25.0</v>
      </c>
      <c r="F470" s="13">
        <v>13.0</v>
      </c>
      <c r="G470" s="12">
        <f t="shared" si="82"/>
        <v>12</v>
      </c>
      <c r="H470" s="12">
        <f t="shared" si="83"/>
        <v>65</v>
      </c>
      <c r="I470" s="14">
        <f t="shared" si="84"/>
        <v>72</v>
      </c>
    </row>
    <row r="471">
      <c r="A471" s="11" t="s">
        <v>30</v>
      </c>
      <c r="B471" s="12">
        <f t="shared" si="81"/>
        <v>8</v>
      </c>
      <c r="C471" s="11"/>
      <c r="D471" s="11"/>
      <c r="E471" s="13">
        <v>2.0</v>
      </c>
      <c r="F471" s="13">
        <v>2.0</v>
      </c>
      <c r="G471" s="12">
        <f t="shared" si="82"/>
        <v>0</v>
      </c>
      <c r="H471" s="12">
        <f t="shared" si="83"/>
        <v>8</v>
      </c>
      <c r="I471" s="14">
        <f t="shared" si="84"/>
        <v>0</v>
      </c>
    </row>
    <row r="472">
      <c r="A472" s="18" t="s">
        <v>31</v>
      </c>
      <c r="B472" s="12">
        <f t="shared" si="81"/>
        <v>14</v>
      </c>
      <c r="C472" s="11"/>
      <c r="D472" s="11"/>
      <c r="E472" s="13">
        <v>2.0</v>
      </c>
      <c r="F472" s="13">
        <v>1.0</v>
      </c>
      <c r="G472" s="12">
        <f t="shared" si="82"/>
        <v>1</v>
      </c>
      <c r="H472" s="12">
        <f t="shared" si="83"/>
        <v>13</v>
      </c>
      <c r="I472" s="14">
        <f t="shared" si="84"/>
        <v>6</v>
      </c>
    </row>
    <row r="473">
      <c r="A473" s="18" t="s">
        <v>32</v>
      </c>
      <c r="B473" s="12">
        <f t="shared" si="81"/>
        <v>16</v>
      </c>
      <c r="C473" s="11"/>
      <c r="D473" s="11"/>
      <c r="E473" s="13">
        <v>2.0</v>
      </c>
      <c r="F473" s="13">
        <v>2.0</v>
      </c>
      <c r="G473" s="12">
        <f t="shared" si="82"/>
        <v>0</v>
      </c>
      <c r="H473" s="12">
        <f t="shared" si="83"/>
        <v>16</v>
      </c>
      <c r="I473" s="14">
        <f t="shared" si="84"/>
        <v>0</v>
      </c>
    </row>
    <row r="474">
      <c r="A474" s="19" t="s">
        <v>33</v>
      </c>
      <c r="B474" s="20">
        <f t="shared" ref="B474:I474" si="85">SUM(B451:B473)</f>
        <v>531</v>
      </c>
      <c r="C474" s="20">
        <f t="shared" si="85"/>
        <v>6</v>
      </c>
      <c r="D474" s="20">
        <f t="shared" si="85"/>
        <v>64</v>
      </c>
      <c r="E474" s="20">
        <f t="shared" si="85"/>
        <v>124</v>
      </c>
      <c r="F474" s="20">
        <f t="shared" si="85"/>
        <v>79</v>
      </c>
      <c r="G474" s="20">
        <f t="shared" si="85"/>
        <v>45</v>
      </c>
      <c r="H474" s="20">
        <f t="shared" si="85"/>
        <v>544</v>
      </c>
      <c r="I474" s="21">
        <f t="shared" si="85"/>
        <v>270</v>
      </c>
    </row>
    <row r="475">
      <c r="A475" s="22"/>
      <c r="B475" s="22"/>
      <c r="C475" s="22"/>
      <c r="D475" s="22"/>
      <c r="E475" s="22"/>
      <c r="F475" s="23" t="s">
        <v>34</v>
      </c>
      <c r="G475" s="4"/>
      <c r="H475" s="24"/>
      <c r="I475" s="25"/>
    </row>
    <row r="488">
      <c r="A488" s="1"/>
      <c r="B488" s="2" t="s">
        <v>61</v>
      </c>
      <c r="C488" s="3"/>
      <c r="D488" s="3"/>
      <c r="E488" s="3"/>
      <c r="F488" s="3"/>
      <c r="G488" s="3"/>
      <c r="H488" s="3"/>
      <c r="I488" s="4"/>
    </row>
    <row r="489">
      <c r="A489" s="5" t="s">
        <v>1</v>
      </c>
      <c r="B489" s="6" t="s">
        <v>2</v>
      </c>
      <c r="C489" s="7" t="s">
        <v>3</v>
      </c>
      <c r="D489" s="8" t="s">
        <v>4</v>
      </c>
      <c r="E489" s="5" t="s">
        <v>5</v>
      </c>
      <c r="F489" s="5" t="s">
        <v>6</v>
      </c>
      <c r="G489" s="5" t="s">
        <v>7</v>
      </c>
      <c r="H489" s="9" t="s">
        <v>8</v>
      </c>
      <c r="I489" s="10" t="s">
        <v>9</v>
      </c>
    </row>
    <row r="490">
      <c r="A490" s="11" t="s">
        <v>10</v>
      </c>
      <c r="B490" s="12">
        <f t="shared" ref="B490:B512" si="86">H451</f>
        <v>35</v>
      </c>
      <c r="C490" s="11"/>
      <c r="D490" s="11"/>
      <c r="E490" s="13">
        <v>6.0</v>
      </c>
      <c r="F490" s="13">
        <v>6.0</v>
      </c>
      <c r="G490" s="12">
        <f t="shared" ref="G490:G512" si="87">E490-F490</f>
        <v>0</v>
      </c>
      <c r="H490" s="12">
        <f t="shared" ref="H490:H512" si="88">B490-C490+D490-G490</f>
        <v>35</v>
      </c>
      <c r="I490" s="14">
        <f t="shared" ref="I490:I512" si="89">G490*6</f>
        <v>0</v>
      </c>
    </row>
    <row r="491">
      <c r="A491" s="11" t="s">
        <v>11</v>
      </c>
      <c r="B491" s="12">
        <f t="shared" si="86"/>
        <v>2</v>
      </c>
      <c r="C491" s="15"/>
      <c r="D491" s="13">
        <v>26.0</v>
      </c>
      <c r="E491" s="13">
        <v>4.0</v>
      </c>
      <c r="F491" s="13">
        <v>4.0</v>
      </c>
      <c r="G491" s="12">
        <f t="shared" si="87"/>
        <v>0</v>
      </c>
      <c r="H491" s="12">
        <f t="shared" si="88"/>
        <v>28</v>
      </c>
      <c r="I491" s="14">
        <f t="shared" si="89"/>
        <v>0</v>
      </c>
    </row>
    <row r="492">
      <c r="A492" s="11" t="s">
        <v>12</v>
      </c>
      <c r="B492" s="12">
        <f t="shared" si="86"/>
        <v>23</v>
      </c>
      <c r="C492" s="11"/>
      <c r="D492" s="11"/>
      <c r="E492" s="13">
        <v>6.0</v>
      </c>
      <c r="F492" s="13">
        <v>0.0</v>
      </c>
      <c r="G492" s="12">
        <f t="shared" si="87"/>
        <v>6</v>
      </c>
      <c r="H492" s="12">
        <f t="shared" si="88"/>
        <v>17</v>
      </c>
      <c r="I492" s="14">
        <f t="shared" si="89"/>
        <v>36</v>
      </c>
    </row>
    <row r="493">
      <c r="A493" s="11" t="s">
        <v>13</v>
      </c>
      <c r="B493" s="12">
        <f t="shared" si="86"/>
        <v>46</v>
      </c>
      <c r="C493" s="16">
        <v>11.0</v>
      </c>
      <c r="D493" s="13"/>
      <c r="E493" s="13">
        <v>6.0</v>
      </c>
      <c r="F493" s="13">
        <v>3.0</v>
      </c>
      <c r="G493" s="12">
        <f t="shared" si="87"/>
        <v>3</v>
      </c>
      <c r="H493" s="12">
        <f t="shared" si="88"/>
        <v>32</v>
      </c>
      <c r="I493" s="14">
        <f t="shared" si="89"/>
        <v>18</v>
      </c>
    </row>
    <row r="494">
      <c r="A494" s="11" t="s">
        <v>14</v>
      </c>
      <c r="B494" s="12">
        <f t="shared" si="86"/>
        <v>24</v>
      </c>
      <c r="C494" s="11"/>
      <c r="D494" s="11"/>
      <c r="E494" s="13">
        <v>4.0</v>
      </c>
      <c r="F494" s="13">
        <v>4.0</v>
      </c>
      <c r="G494" s="12">
        <f t="shared" si="87"/>
        <v>0</v>
      </c>
      <c r="H494" s="12">
        <f t="shared" si="88"/>
        <v>24</v>
      </c>
      <c r="I494" s="14">
        <f t="shared" si="89"/>
        <v>0</v>
      </c>
    </row>
    <row r="495">
      <c r="A495" s="11" t="s">
        <v>15</v>
      </c>
      <c r="B495" s="12">
        <f t="shared" si="86"/>
        <v>36</v>
      </c>
      <c r="C495" s="13"/>
      <c r="D495" s="11"/>
      <c r="E495" s="13">
        <v>5.0</v>
      </c>
      <c r="F495" s="13">
        <v>1.0</v>
      </c>
      <c r="G495" s="12">
        <f t="shared" si="87"/>
        <v>4</v>
      </c>
      <c r="H495" s="12">
        <f t="shared" si="88"/>
        <v>32</v>
      </c>
      <c r="I495" s="14">
        <f t="shared" si="89"/>
        <v>24</v>
      </c>
    </row>
    <row r="496">
      <c r="A496" s="11" t="s">
        <v>16</v>
      </c>
      <c r="B496" s="12">
        <f t="shared" si="86"/>
        <v>19</v>
      </c>
      <c r="C496" s="13">
        <v>1.0</v>
      </c>
      <c r="D496" s="11"/>
      <c r="E496" s="13">
        <v>5.0</v>
      </c>
      <c r="F496" s="13">
        <v>2.0</v>
      </c>
      <c r="G496" s="12">
        <f t="shared" si="87"/>
        <v>3</v>
      </c>
      <c r="H496" s="12">
        <f t="shared" si="88"/>
        <v>15</v>
      </c>
      <c r="I496" s="14">
        <f t="shared" si="89"/>
        <v>18</v>
      </c>
    </row>
    <row r="497">
      <c r="A497" s="11" t="s">
        <v>17</v>
      </c>
      <c r="B497" s="12">
        <f t="shared" si="86"/>
        <v>17</v>
      </c>
      <c r="C497" s="11"/>
      <c r="D497" s="13"/>
      <c r="E497" s="13">
        <v>4.0</v>
      </c>
      <c r="F497" s="13">
        <v>2.0</v>
      </c>
      <c r="G497" s="12">
        <f t="shared" si="87"/>
        <v>2</v>
      </c>
      <c r="H497" s="12">
        <f t="shared" si="88"/>
        <v>15</v>
      </c>
      <c r="I497" s="14">
        <f t="shared" si="89"/>
        <v>12</v>
      </c>
    </row>
    <row r="498">
      <c r="A498" s="11" t="s">
        <v>18</v>
      </c>
      <c r="B498" s="12">
        <f t="shared" si="86"/>
        <v>22</v>
      </c>
      <c r="C498" s="11"/>
      <c r="D498" s="11"/>
      <c r="E498" s="13">
        <v>5.0</v>
      </c>
      <c r="F498" s="13">
        <v>2.0</v>
      </c>
      <c r="G498" s="12">
        <f t="shared" si="87"/>
        <v>3</v>
      </c>
      <c r="H498" s="12">
        <f t="shared" si="88"/>
        <v>19</v>
      </c>
      <c r="I498" s="14">
        <f t="shared" si="89"/>
        <v>18</v>
      </c>
    </row>
    <row r="499">
      <c r="A499" s="11" t="s">
        <v>19</v>
      </c>
      <c r="B499" s="12">
        <f t="shared" si="86"/>
        <v>29</v>
      </c>
      <c r="C499" s="11"/>
      <c r="D499" s="11"/>
      <c r="E499" s="13">
        <v>9.0</v>
      </c>
      <c r="F499" s="13">
        <v>2.0</v>
      </c>
      <c r="G499" s="12">
        <f t="shared" si="87"/>
        <v>7</v>
      </c>
      <c r="H499" s="12">
        <f t="shared" si="88"/>
        <v>22</v>
      </c>
      <c r="I499" s="14">
        <f t="shared" si="89"/>
        <v>42</v>
      </c>
    </row>
    <row r="500">
      <c r="A500" s="11" t="s">
        <v>20</v>
      </c>
      <c r="B500" s="12">
        <f t="shared" si="86"/>
        <v>38</v>
      </c>
      <c r="C500" s="11"/>
      <c r="D500" s="11"/>
      <c r="E500" s="13">
        <v>6.0</v>
      </c>
      <c r="F500" s="13">
        <v>3.0</v>
      </c>
      <c r="G500" s="12">
        <f t="shared" si="87"/>
        <v>3</v>
      </c>
      <c r="H500" s="12">
        <f t="shared" si="88"/>
        <v>35</v>
      </c>
      <c r="I500" s="14">
        <f t="shared" si="89"/>
        <v>18</v>
      </c>
    </row>
    <row r="501">
      <c r="A501" s="11" t="s">
        <v>21</v>
      </c>
      <c r="B501" s="12">
        <f t="shared" si="86"/>
        <v>10</v>
      </c>
      <c r="C501" s="11"/>
      <c r="D501" s="11"/>
      <c r="E501" s="13">
        <v>2.0</v>
      </c>
      <c r="F501" s="13">
        <v>0.0</v>
      </c>
      <c r="G501" s="12">
        <f t="shared" si="87"/>
        <v>2</v>
      </c>
      <c r="H501" s="12">
        <f t="shared" si="88"/>
        <v>8</v>
      </c>
      <c r="I501" s="14">
        <f t="shared" si="89"/>
        <v>12</v>
      </c>
    </row>
    <row r="502">
      <c r="A502" s="11" t="s">
        <v>22</v>
      </c>
      <c r="B502" s="12">
        <f t="shared" si="86"/>
        <v>39</v>
      </c>
      <c r="C502" s="11"/>
      <c r="D502" s="11"/>
      <c r="E502" s="13">
        <v>5.0</v>
      </c>
      <c r="F502" s="13">
        <v>0.0</v>
      </c>
      <c r="G502" s="12">
        <f t="shared" si="87"/>
        <v>5</v>
      </c>
      <c r="H502" s="12">
        <f t="shared" si="88"/>
        <v>34</v>
      </c>
      <c r="I502" s="14">
        <f t="shared" si="89"/>
        <v>30</v>
      </c>
    </row>
    <row r="503">
      <c r="A503" s="11" t="s">
        <v>23</v>
      </c>
      <c r="B503" s="12">
        <f t="shared" si="86"/>
        <v>39</v>
      </c>
      <c r="C503" s="17"/>
      <c r="D503" s="11"/>
      <c r="E503" s="13">
        <v>7.0</v>
      </c>
      <c r="F503" s="13">
        <v>0.0</v>
      </c>
      <c r="G503" s="12">
        <f t="shared" si="87"/>
        <v>7</v>
      </c>
      <c r="H503" s="12">
        <f t="shared" si="88"/>
        <v>32</v>
      </c>
      <c r="I503" s="14">
        <f t="shared" si="89"/>
        <v>42</v>
      </c>
    </row>
    <row r="504">
      <c r="A504" s="11" t="s">
        <v>24</v>
      </c>
      <c r="B504" s="12">
        <f t="shared" si="86"/>
        <v>3</v>
      </c>
      <c r="C504" s="11"/>
      <c r="D504" s="13">
        <v>22.0</v>
      </c>
      <c r="E504" s="13">
        <v>3.0</v>
      </c>
      <c r="F504" s="13">
        <v>2.0</v>
      </c>
      <c r="G504" s="12">
        <f t="shared" si="87"/>
        <v>1</v>
      </c>
      <c r="H504" s="12">
        <f t="shared" si="88"/>
        <v>24</v>
      </c>
      <c r="I504" s="14">
        <f t="shared" si="89"/>
        <v>6</v>
      </c>
    </row>
    <row r="505">
      <c r="A505" s="11" t="s">
        <v>25</v>
      </c>
      <c r="B505" s="12">
        <f t="shared" si="86"/>
        <v>1</v>
      </c>
      <c r="C505" s="13">
        <v>2.0</v>
      </c>
      <c r="D505" s="13">
        <v>41.0</v>
      </c>
      <c r="E505" s="13">
        <v>18.0</v>
      </c>
      <c r="F505" s="13">
        <v>3.0</v>
      </c>
      <c r="G505" s="12">
        <f t="shared" si="87"/>
        <v>15</v>
      </c>
      <c r="H505" s="12">
        <f t="shared" si="88"/>
        <v>25</v>
      </c>
      <c r="I505" s="14">
        <f t="shared" si="89"/>
        <v>90</v>
      </c>
    </row>
    <row r="506">
      <c r="A506" s="11" t="s">
        <v>26</v>
      </c>
      <c r="B506" s="12">
        <f t="shared" si="86"/>
        <v>20</v>
      </c>
      <c r="C506" s="11"/>
      <c r="D506" s="11"/>
      <c r="E506" s="13">
        <v>4.0</v>
      </c>
      <c r="F506" s="13">
        <v>1.0</v>
      </c>
      <c r="G506" s="12">
        <f t="shared" si="87"/>
        <v>3</v>
      </c>
      <c r="H506" s="12">
        <f t="shared" si="88"/>
        <v>17</v>
      </c>
      <c r="I506" s="14">
        <f t="shared" si="89"/>
        <v>18</v>
      </c>
    </row>
    <row r="507">
      <c r="A507" s="11" t="s">
        <v>27</v>
      </c>
      <c r="B507" s="12">
        <f t="shared" si="86"/>
        <v>19</v>
      </c>
      <c r="C507" s="11"/>
      <c r="D507" s="11"/>
      <c r="E507" s="13">
        <v>3.0</v>
      </c>
      <c r="F507" s="13">
        <v>1.0</v>
      </c>
      <c r="G507" s="12">
        <f t="shared" si="87"/>
        <v>2</v>
      </c>
      <c r="H507" s="12">
        <f t="shared" si="88"/>
        <v>17</v>
      </c>
      <c r="I507" s="14">
        <f t="shared" si="89"/>
        <v>12</v>
      </c>
    </row>
    <row r="508">
      <c r="A508" s="11" t="s">
        <v>28</v>
      </c>
      <c r="B508" s="12">
        <f t="shared" si="86"/>
        <v>20</v>
      </c>
      <c r="C508" s="11"/>
      <c r="D508" s="11"/>
      <c r="E508" s="13">
        <v>8.0</v>
      </c>
      <c r="F508" s="13">
        <v>8.0</v>
      </c>
      <c r="G508" s="12">
        <f t="shared" si="87"/>
        <v>0</v>
      </c>
      <c r="H508" s="12">
        <f t="shared" si="88"/>
        <v>20</v>
      </c>
      <c r="I508" s="14">
        <f t="shared" si="89"/>
        <v>0</v>
      </c>
    </row>
    <row r="509">
      <c r="A509" s="13" t="s">
        <v>29</v>
      </c>
      <c r="B509" s="12">
        <f t="shared" si="86"/>
        <v>65</v>
      </c>
      <c r="C509" s="16">
        <v>7.0</v>
      </c>
      <c r="D509" s="13">
        <v>134.0</v>
      </c>
      <c r="E509" s="13">
        <v>44.0</v>
      </c>
      <c r="F509" s="13">
        <v>10.0</v>
      </c>
      <c r="G509" s="12">
        <f t="shared" si="87"/>
        <v>34</v>
      </c>
      <c r="H509" s="12">
        <f t="shared" si="88"/>
        <v>158</v>
      </c>
      <c r="I509" s="14">
        <f t="shared" si="89"/>
        <v>204</v>
      </c>
    </row>
    <row r="510">
      <c r="A510" s="11" t="s">
        <v>30</v>
      </c>
      <c r="B510" s="12">
        <f t="shared" si="86"/>
        <v>8</v>
      </c>
      <c r="C510" s="11"/>
      <c r="D510" s="11"/>
      <c r="E510" s="13">
        <v>4.0</v>
      </c>
      <c r="F510" s="13">
        <v>2.0</v>
      </c>
      <c r="G510" s="12">
        <f t="shared" si="87"/>
        <v>2</v>
      </c>
      <c r="H510" s="12">
        <f t="shared" si="88"/>
        <v>6</v>
      </c>
      <c r="I510" s="14">
        <f t="shared" si="89"/>
        <v>12</v>
      </c>
    </row>
    <row r="511">
      <c r="A511" s="18" t="s">
        <v>31</v>
      </c>
      <c r="B511" s="12">
        <f t="shared" si="86"/>
        <v>13</v>
      </c>
      <c r="C511" s="11"/>
      <c r="D511" s="11"/>
      <c r="E511" s="13">
        <v>2.0</v>
      </c>
      <c r="F511" s="13">
        <v>1.0</v>
      </c>
      <c r="G511" s="12">
        <f t="shared" si="87"/>
        <v>1</v>
      </c>
      <c r="H511" s="12">
        <f t="shared" si="88"/>
        <v>12</v>
      </c>
      <c r="I511" s="14">
        <f t="shared" si="89"/>
        <v>6</v>
      </c>
    </row>
    <row r="512">
      <c r="A512" s="18" t="s">
        <v>32</v>
      </c>
      <c r="B512" s="12">
        <f t="shared" si="86"/>
        <v>16</v>
      </c>
      <c r="C512" s="11"/>
      <c r="D512" s="11"/>
      <c r="E512" s="13">
        <v>2.0</v>
      </c>
      <c r="F512" s="13">
        <v>2.0</v>
      </c>
      <c r="G512" s="12">
        <f t="shared" si="87"/>
        <v>0</v>
      </c>
      <c r="H512" s="12">
        <f t="shared" si="88"/>
        <v>16</v>
      </c>
      <c r="I512" s="14">
        <f t="shared" si="89"/>
        <v>0</v>
      </c>
    </row>
    <row r="513">
      <c r="A513" s="19" t="s">
        <v>33</v>
      </c>
      <c r="B513" s="20">
        <f t="shared" ref="B513:I513" si="90">SUM(B490:B512)</f>
        <v>544</v>
      </c>
      <c r="C513" s="20">
        <f t="shared" si="90"/>
        <v>21</v>
      </c>
      <c r="D513" s="20">
        <f t="shared" si="90"/>
        <v>223</v>
      </c>
      <c r="E513" s="20">
        <f t="shared" si="90"/>
        <v>162</v>
      </c>
      <c r="F513" s="20">
        <f t="shared" si="90"/>
        <v>59</v>
      </c>
      <c r="G513" s="20">
        <f t="shared" si="90"/>
        <v>103</v>
      </c>
      <c r="H513" s="20">
        <f t="shared" si="90"/>
        <v>643</v>
      </c>
      <c r="I513" s="21">
        <f t="shared" si="90"/>
        <v>618</v>
      </c>
    </row>
    <row r="514">
      <c r="A514" s="22"/>
      <c r="B514" s="22"/>
      <c r="C514" s="22"/>
      <c r="D514" s="22"/>
      <c r="E514" s="22"/>
      <c r="F514" s="23" t="s">
        <v>34</v>
      </c>
      <c r="G514" s="4"/>
      <c r="H514" s="24"/>
      <c r="I514" s="25"/>
    </row>
  </sheetData>
  <mergeCells count="36">
    <mergeCell ref="B1:I1"/>
    <mergeCell ref="F27:G27"/>
    <mergeCell ref="B29:I29"/>
    <mergeCell ref="F55:G55"/>
    <mergeCell ref="B57:I57"/>
    <mergeCell ref="F83:G83"/>
    <mergeCell ref="B85:I85"/>
    <mergeCell ref="F111:G111"/>
    <mergeCell ref="B113:I113"/>
    <mergeCell ref="F139:G139"/>
    <mergeCell ref="B141:I141"/>
    <mergeCell ref="F167:G167"/>
    <mergeCell ref="B169:I169"/>
    <mergeCell ref="B197:I197"/>
    <mergeCell ref="F195:G195"/>
    <mergeCell ref="F223:G223"/>
    <mergeCell ref="B225:I225"/>
    <mergeCell ref="F251:G251"/>
    <mergeCell ref="B253:I253"/>
    <mergeCell ref="F279:G279"/>
    <mergeCell ref="B281:I281"/>
    <mergeCell ref="F391:G391"/>
    <mergeCell ref="F419:G419"/>
    <mergeCell ref="B421:I421"/>
    <mergeCell ref="F447:G447"/>
    <mergeCell ref="B449:I449"/>
    <mergeCell ref="F475:G475"/>
    <mergeCell ref="B488:I488"/>
    <mergeCell ref="F514:G514"/>
    <mergeCell ref="F307:G307"/>
    <mergeCell ref="B309:I309"/>
    <mergeCell ref="F335:G335"/>
    <mergeCell ref="B337:I337"/>
    <mergeCell ref="F363:G363"/>
    <mergeCell ref="B365:I365"/>
    <mergeCell ref="B393:I393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17.25"/>
  </cols>
  <sheetData>
    <row r="1">
      <c r="A1" s="1"/>
      <c r="B1" s="2" t="s">
        <v>62</v>
      </c>
      <c r="C1" s="3"/>
      <c r="D1" s="3"/>
      <c r="E1" s="3"/>
      <c r="F1" s="3"/>
      <c r="G1" s="3"/>
      <c r="H1" s="3"/>
      <c r="I1" s="4"/>
    </row>
    <row r="2">
      <c r="A2" s="5" t="s">
        <v>1</v>
      </c>
      <c r="B2" s="6" t="s">
        <v>2</v>
      </c>
      <c r="C2" s="7" t="s">
        <v>3</v>
      </c>
      <c r="D2" s="8" t="s">
        <v>4</v>
      </c>
      <c r="E2" s="5" t="s">
        <v>5</v>
      </c>
      <c r="F2" s="5" t="s">
        <v>6</v>
      </c>
      <c r="G2" s="5" t="s">
        <v>7</v>
      </c>
      <c r="H2" s="9" t="s">
        <v>8</v>
      </c>
      <c r="I2" s="10" t="s">
        <v>9</v>
      </c>
    </row>
    <row r="3">
      <c r="A3" s="11" t="s">
        <v>10</v>
      </c>
      <c r="B3" s="12">
        <f>FEVEREIRO26!H448</f>
        <v>19</v>
      </c>
      <c r="C3" s="11"/>
      <c r="D3" s="11"/>
      <c r="E3" s="13">
        <v>6.0</v>
      </c>
      <c r="F3" s="13">
        <v>6.0</v>
      </c>
      <c r="G3" s="12">
        <f t="shared" ref="G3:G24" si="1">E3-F3</f>
        <v>0</v>
      </c>
      <c r="H3" s="12">
        <f t="shared" ref="H3:H24" si="2">B3-C3+D3-G3</f>
        <v>19</v>
      </c>
      <c r="I3" s="14">
        <f t="shared" ref="I3:I24" si="3">G3*6</f>
        <v>0</v>
      </c>
    </row>
    <row r="4">
      <c r="A4" s="11" t="s">
        <v>11</v>
      </c>
      <c r="B4" s="12">
        <f>FEVEREIRO26!H449</f>
        <v>41</v>
      </c>
      <c r="C4" s="17"/>
      <c r="D4" s="11"/>
      <c r="E4" s="13">
        <v>6.0</v>
      </c>
      <c r="F4" s="13">
        <v>6.0</v>
      </c>
      <c r="G4" s="12">
        <f t="shared" si="1"/>
        <v>0</v>
      </c>
      <c r="H4" s="12">
        <f t="shared" si="2"/>
        <v>41</v>
      </c>
      <c r="I4" s="14">
        <f t="shared" si="3"/>
        <v>0</v>
      </c>
    </row>
    <row r="5">
      <c r="A5" s="11" t="s">
        <v>12</v>
      </c>
      <c r="B5" s="12">
        <f>FEVEREIRO26!H450</f>
        <v>40</v>
      </c>
      <c r="C5" s="11"/>
      <c r="D5" s="11"/>
      <c r="E5" s="13">
        <v>6.0</v>
      </c>
      <c r="F5" s="13">
        <v>6.0</v>
      </c>
      <c r="G5" s="12">
        <f t="shared" si="1"/>
        <v>0</v>
      </c>
      <c r="H5" s="12">
        <f t="shared" si="2"/>
        <v>40</v>
      </c>
      <c r="I5" s="14">
        <f t="shared" si="3"/>
        <v>0</v>
      </c>
    </row>
    <row r="6">
      <c r="A6" s="11" t="s">
        <v>13</v>
      </c>
      <c r="B6" s="12">
        <f>FEVEREIRO26!H451</f>
        <v>31</v>
      </c>
      <c r="C6" s="13">
        <v>1.0</v>
      </c>
      <c r="D6" s="11"/>
      <c r="E6" s="13">
        <v>6.0</v>
      </c>
      <c r="F6" s="13">
        <v>5.0</v>
      </c>
      <c r="G6" s="12">
        <f t="shared" si="1"/>
        <v>1</v>
      </c>
      <c r="H6" s="12">
        <f t="shared" si="2"/>
        <v>29</v>
      </c>
      <c r="I6" s="14">
        <f t="shared" si="3"/>
        <v>6</v>
      </c>
    </row>
    <row r="7">
      <c r="A7" s="11" t="s">
        <v>14</v>
      </c>
      <c r="B7" s="12">
        <f>FEVEREIRO26!H452</f>
        <v>27</v>
      </c>
      <c r="C7" s="11"/>
      <c r="D7" s="11"/>
      <c r="E7" s="13">
        <v>4.0</v>
      </c>
      <c r="F7" s="13">
        <v>3.0</v>
      </c>
      <c r="G7" s="12">
        <f t="shared" si="1"/>
        <v>1</v>
      </c>
      <c r="H7" s="12">
        <f t="shared" si="2"/>
        <v>26</v>
      </c>
      <c r="I7" s="14">
        <f t="shared" si="3"/>
        <v>6</v>
      </c>
    </row>
    <row r="8">
      <c r="A8" s="11" t="s">
        <v>15</v>
      </c>
      <c r="B8" s="12">
        <f>FEVEREIRO26!H453</f>
        <v>14</v>
      </c>
      <c r="C8" s="11"/>
      <c r="D8" s="11"/>
      <c r="E8" s="13">
        <v>6.0</v>
      </c>
      <c r="F8" s="13">
        <v>5.0</v>
      </c>
      <c r="G8" s="12">
        <f t="shared" si="1"/>
        <v>1</v>
      </c>
      <c r="H8" s="12">
        <f t="shared" si="2"/>
        <v>13</v>
      </c>
      <c r="I8" s="14">
        <f t="shared" si="3"/>
        <v>6</v>
      </c>
    </row>
    <row r="9">
      <c r="A9" s="11" t="s">
        <v>16</v>
      </c>
      <c r="B9" s="12">
        <f>FEVEREIRO26!H454</f>
        <v>25</v>
      </c>
      <c r="C9" s="11"/>
      <c r="D9" s="11"/>
      <c r="E9" s="13">
        <v>4.0</v>
      </c>
      <c r="F9" s="13">
        <v>4.0</v>
      </c>
      <c r="G9" s="12">
        <f t="shared" si="1"/>
        <v>0</v>
      </c>
      <c r="H9" s="12">
        <f t="shared" si="2"/>
        <v>25</v>
      </c>
      <c r="I9" s="14">
        <f t="shared" si="3"/>
        <v>0</v>
      </c>
    </row>
    <row r="10">
      <c r="A10" s="11" t="s">
        <v>17</v>
      </c>
      <c r="B10" s="12">
        <f>FEVEREIRO26!H455</f>
        <v>29</v>
      </c>
      <c r="C10" s="11"/>
      <c r="D10" s="11"/>
      <c r="E10" s="13">
        <v>4.0</v>
      </c>
      <c r="F10" s="13">
        <v>4.0</v>
      </c>
      <c r="G10" s="12">
        <f t="shared" si="1"/>
        <v>0</v>
      </c>
      <c r="H10" s="12">
        <f t="shared" si="2"/>
        <v>29</v>
      </c>
      <c r="I10" s="14">
        <f t="shared" si="3"/>
        <v>0</v>
      </c>
    </row>
    <row r="11">
      <c r="A11" s="11" t="s">
        <v>18</v>
      </c>
      <c r="B11" s="12">
        <f>FEVEREIRO26!H456</f>
        <v>27</v>
      </c>
      <c r="C11" s="11"/>
      <c r="D11" s="11"/>
      <c r="E11" s="13">
        <v>4.0</v>
      </c>
      <c r="F11" s="13">
        <v>4.0</v>
      </c>
      <c r="G11" s="12">
        <f t="shared" si="1"/>
        <v>0</v>
      </c>
      <c r="H11" s="12">
        <f t="shared" si="2"/>
        <v>27</v>
      </c>
      <c r="I11" s="14">
        <f t="shared" si="3"/>
        <v>0</v>
      </c>
    </row>
    <row r="12">
      <c r="A12" s="11" t="s">
        <v>19</v>
      </c>
      <c r="B12" s="12">
        <f>FEVEREIRO26!H457</f>
        <v>9</v>
      </c>
      <c r="C12" s="11"/>
      <c r="D12" s="11"/>
      <c r="E12" s="13">
        <v>4.0</v>
      </c>
      <c r="F12" s="13">
        <v>3.0</v>
      </c>
      <c r="G12" s="12">
        <f t="shared" si="1"/>
        <v>1</v>
      </c>
      <c r="H12" s="12">
        <f t="shared" si="2"/>
        <v>8</v>
      </c>
      <c r="I12" s="14">
        <f t="shared" si="3"/>
        <v>6</v>
      </c>
    </row>
    <row r="13">
      <c r="A13" s="11" t="s">
        <v>20</v>
      </c>
      <c r="B13" s="12">
        <f>FEVEREIRO26!H458</f>
        <v>15</v>
      </c>
      <c r="C13" s="11"/>
      <c r="D13" s="11"/>
      <c r="E13" s="13">
        <v>4.0</v>
      </c>
      <c r="F13" s="13">
        <v>4.0</v>
      </c>
      <c r="G13" s="12">
        <f t="shared" si="1"/>
        <v>0</v>
      </c>
      <c r="H13" s="12">
        <f t="shared" si="2"/>
        <v>15</v>
      </c>
      <c r="I13" s="14">
        <f t="shared" si="3"/>
        <v>0</v>
      </c>
    </row>
    <row r="14">
      <c r="A14" s="11" t="s">
        <v>21</v>
      </c>
      <c r="B14" s="12">
        <f>FEVEREIRO26!H459</f>
        <v>10</v>
      </c>
      <c r="C14" s="11"/>
      <c r="D14" s="11"/>
      <c r="E14" s="13">
        <v>2.0</v>
      </c>
      <c r="F14" s="13">
        <v>1.0</v>
      </c>
      <c r="G14" s="12">
        <f t="shared" si="1"/>
        <v>1</v>
      </c>
      <c r="H14" s="12">
        <f t="shared" si="2"/>
        <v>9</v>
      </c>
      <c r="I14" s="14">
        <f t="shared" si="3"/>
        <v>6</v>
      </c>
    </row>
    <row r="15">
      <c r="A15" s="11" t="s">
        <v>22</v>
      </c>
      <c r="B15" s="12">
        <f>FEVEREIRO26!H460</f>
        <v>8</v>
      </c>
      <c r="C15" s="11"/>
      <c r="D15" s="11"/>
      <c r="E15" s="13">
        <v>4.0</v>
      </c>
      <c r="F15" s="13">
        <v>3.0</v>
      </c>
      <c r="G15" s="12">
        <f t="shared" si="1"/>
        <v>1</v>
      </c>
      <c r="H15" s="12">
        <f t="shared" si="2"/>
        <v>7</v>
      </c>
      <c r="I15" s="14">
        <f t="shared" si="3"/>
        <v>6</v>
      </c>
    </row>
    <row r="16">
      <c r="A16" s="11" t="s">
        <v>23</v>
      </c>
      <c r="B16" s="12">
        <f>FEVEREIRO26!H461</f>
        <v>35</v>
      </c>
      <c r="C16" s="17"/>
      <c r="D16" s="11"/>
      <c r="E16" s="13">
        <v>6.0</v>
      </c>
      <c r="F16" s="13">
        <v>4.0</v>
      </c>
      <c r="G16" s="12">
        <f t="shared" si="1"/>
        <v>2</v>
      </c>
      <c r="H16" s="12">
        <f t="shared" si="2"/>
        <v>33</v>
      </c>
      <c r="I16" s="14">
        <f t="shared" si="3"/>
        <v>12</v>
      </c>
    </row>
    <row r="17">
      <c r="A17" s="11" t="s">
        <v>24</v>
      </c>
      <c r="B17" s="12">
        <f>FEVEREIRO26!H462</f>
        <v>24</v>
      </c>
      <c r="C17" s="11"/>
      <c r="D17" s="11"/>
      <c r="E17" s="13">
        <v>4.0</v>
      </c>
      <c r="F17" s="13">
        <v>4.0</v>
      </c>
      <c r="G17" s="12">
        <f t="shared" si="1"/>
        <v>0</v>
      </c>
      <c r="H17" s="12">
        <f t="shared" si="2"/>
        <v>24</v>
      </c>
      <c r="I17" s="14">
        <f t="shared" si="3"/>
        <v>0</v>
      </c>
    </row>
    <row r="18">
      <c r="A18" s="11" t="s">
        <v>25</v>
      </c>
      <c r="B18" s="12">
        <f>FEVEREIRO26!H463</f>
        <v>27</v>
      </c>
      <c r="C18" s="11"/>
      <c r="D18" s="11"/>
      <c r="E18" s="13">
        <v>8.0</v>
      </c>
      <c r="F18" s="13">
        <v>3.0</v>
      </c>
      <c r="G18" s="12">
        <f t="shared" si="1"/>
        <v>5</v>
      </c>
      <c r="H18" s="12">
        <f t="shared" si="2"/>
        <v>22</v>
      </c>
      <c r="I18" s="14">
        <f t="shared" si="3"/>
        <v>30</v>
      </c>
    </row>
    <row r="19">
      <c r="A19" s="11" t="s">
        <v>26</v>
      </c>
      <c r="B19" s="12">
        <f>FEVEREIRO26!H464</f>
        <v>17</v>
      </c>
      <c r="C19" s="11"/>
      <c r="D19" s="11"/>
      <c r="E19" s="13">
        <v>4.0</v>
      </c>
      <c r="F19" s="13">
        <v>4.0</v>
      </c>
      <c r="G19" s="12">
        <f t="shared" si="1"/>
        <v>0</v>
      </c>
      <c r="H19" s="12">
        <f t="shared" si="2"/>
        <v>17</v>
      </c>
      <c r="I19" s="14">
        <f t="shared" si="3"/>
        <v>0</v>
      </c>
    </row>
    <row r="20">
      <c r="A20" s="11" t="s">
        <v>27</v>
      </c>
      <c r="B20" s="12">
        <f>FEVEREIRO26!H465</f>
        <v>30</v>
      </c>
      <c r="C20" s="11"/>
      <c r="D20" s="11"/>
      <c r="E20" s="13">
        <v>4.0</v>
      </c>
      <c r="F20" s="13">
        <v>4.0</v>
      </c>
      <c r="G20" s="12">
        <f t="shared" si="1"/>
        <v>0</v>
      </c>
      <c r="H20" s="12">
        <f t="shared" si="2"/>
        <v>30</v>
      </c>
      <c r="I20" s="14">
        <f t="shared" si="3"/>
        <v>0</v>
      </c>
    </row>
    <row r="21">
      <c r="A21" s="11" t="s">
        <v>28</v>
      </c>
      <c r="B21" s="12">
        <f>FEVEREIRO26!H466</f>
        <v>24</v>
      </c>
      <c r="C21" s="11"/>
      <c r="D21" s="11"/>
      <c r="E21" s="13">
        <v>8.0</v>
      </c>
      <c r="F21" s="13">
        <v>5.0</v>
      </c>
      <c r="G21" s="12">
        <f t="shared" si="1"/>
        <v>3</v>
      </c>
      <c r="H21" s="12">
        <f t="shared" si="2"/>
        <v>21</v>
      </c>
      <c r="I21" s="14">
        <f t="shared" si="3"/>
        <v>18</v>
      </c>
    </row>
    <row r="22">
      <c r="A22" s="11" t="s">
        <v>30</v>
      </c>
      <c r="B22" s="12">
        <f>FEVEREIRO26!H467</f>
        <v>25</v>
      </c>
      <c r="C22" s="11"/>
      <c r="D22" s="11"/>
      <c r="E22" s="13">
        <v>2.0</v>
      </c>
      <c r="F22" s="13">
        <v>2.0</v>
      </c>
      <c r="G22" s="12">
        <f t="shared" si="1"/>
        <v>0</v>
      </c>
      <c r="H22" s="12">
        <f t="shared" si="2"/>
        <v>25</v>
      </c>
      <c r="I22" s="14">
        <f t="shared" si="3"/>
        <v>0</v>
      </c>
    </row>
    <row r="23">
      <c r="A23" s="18" t="s">
        <v>31</v>
      </c>
      <c r="B23" s="12">
        <f>FEVEREIRO26!H468</f>
        <v>21</v>
      </c>
      <c r="C23" s="11"/>
      <c r="D23" s="11"/>
      <c r="E23" s="13">
        <v>2.0</v>
      </c>
      <c r="F23" s="13">
        <v>2.0</v>
      </c>
      <c r="G23" s="12">
        <f t="shared" si="1"/>
        <v>0</v>
      </c>
      <c r="H23" s="12">
        <f t="shared" si="2"/>
        <v>21</v>
      </c>
      <c r="I23" s="14">
        <f t="shared" si="3"/>
        <v>0</v>
      </c>
    </row>
    <row r="24">
      <c r="A24" s="18" t="s">
        <v>32</v>
      </c>
      <c r="B24" s="12">
        <f>FEVEREIRO26!H469</f>
        <v>7</v>
      </c>
      <c r="C24" s="11"/>
      <c r="D24" s="11"/>
      <c r="E24" s="13">
        <v>2.0</v>
      </c>
      <c r="F24" s="13">
        <v>2.0</v>
      </c>
      <c r="G24" s="12">
        <f t="shared" si="1"/>
        <v>0</v>
      </c>
      <c r="H24" s="12">
        <f t="shared" si="2"/>
        <v>7</v>
      </c>
      <c r="I24" s="14">
        <f t="shared" si="3"/>
        <v>0</v>
      </c>
    </row>
    <row r="25">
      <c r="A25" s="19" t="s">
        <v>33</v>
      </c>
      <c r="B25" s="20">
        <f>SUM(B3:B24)</f>
        <v>505</v>
      </c>
      <c r="C25" s="19"/>
      <c r="D25" s="19"/>
      <c r="E25" s="20">
        <f t="shared" ref="E25:G25" si="4">SUM(E2:E24)</f>
        <v>100</v>
      </c>
      <c r="F25" s="20">
        <f t="shared" si="4"/>
        <v>84</v>
      </c>
      <c r="G25" s="20">
        <f t="shared" si="4"/>
        <v>16</v>
      </c>
      <c r="H25" s="20">
        <f>SUM(H3:H24)</f>
        <v>488</v>
      </c>
      <c r="I25" s="21">
        <f>SUM(I2:I24)</f>
        <v>96</v>
      </c>
    </row>
    <row r="26">
      <c r="A26" s="22"/>
      <c r="B26" s="22"/>
      <c r="C26" s="22"/>
      <c r="D26" s="22"/>
      <c r="E26" s="22"/>
      <c r="F26" s="23" t="s">
        <v>34</v>
      </c>
      <c r="G26" s="4"/>
      <c r="H26" s="24"/>
      <c r="I26" s="25"/>
    </row>
    <row r="28">
      <c r="A28" s="1"/>
      <c r="B28" s="2" t="s">
        <v>63</v>
      </c>
      <c r="C28" s="3"/>
      <c r="D28" s="3"/>
      <c r="E28" s="3"/>
      <c r="F28" s="3"/>
      <c r="G28" s="3"/>
      <c r="H28" s="3"/>
      <c r="I28" s="4"/>
    </row>
    <row r="29">
      <c r="A29" s="5" t="s">
        <v>1</v>
      </c>
      <c r="B29" s="6" t="s">
        <v>2</v>
      </c>
      <c r="C29" s="7" t="s">
        <v>3</v>
      </c>
      <c r="D29" s="8" t="s">
        <v>4</v>
      </c>
      <c r="E29" s="5" t="s">
        <v>5</v>
      </c>
      <c r="F29" s="5" t="s">
        <v>6</v>
      </c>
      <c r="G29" s="5" t="s">
        <v>7</v>
      </c>
      <c r="H29" s="9" t="s">
        <v>8</v>
      </c>
      <c r="I29" s="10" t="s">
        <v>9</v>
      </c>
    </row>
    <row r="30">
      <c r="A30" s="11" t="s">
        <v>10</v>
      </c>
      <c r="B30" s="12">
        <f t="shared" ref="B30:B51" si="5">H3</f>
        <v>19</v>
      </c>
      <c r="C30" s="11"/>
      <c r="D30" s="11"/>
      <c r="E30" s="13">
        <v>6.0</v>
      </c>
      <c r="F30" s="13">
        <v>4.0</v>
      </c>
      <c r="G30" s="12">
        <f t="shared" ref="G30:G51" si="6">E30-F30</f>
        <v>2</v>
      </c>
      <c r="H30" s="12">
        <f t="shared" ref="H30:H51" si="7">B30-C30+D30-G30</f>
        <v>17</v>
      </c>
      <c r="I30" s="14">
        <f t="shared" ref="I30:I51" si="8">G30*6</f>
        <v>12</v>
      </c>
    </row>
    <row r="31">
      <c r="A31" s="11" t="s">
        <v>11</v>
      </c>
      <c r="B31" s="12">
        <f t="shared" si="5"/>
        <v>41</v>
      </c>
      <c r="C31" s="17"/>
      <c r="D31" s="11"/>
      <c r="E31" s="13">
        <v>4.0</v>
      </c>
      <c r="F31" s="13">
        <v>4.0</v>
      </c>
      <c r="G31" s="12">
        <f t="shared" si="6"/>
        <v>0</v>
      </c>
      <c r="H31" s="12">
        <f t="shared" si="7"/>
        <v>41</v>
      </c>
      <c r="I31" s="14">
        <f t="shared" si="8"/>
        <v>0</v>
      </c>
    </row>
    <row r="32">
      <c r="A32" s="11" t="s">
        <v>12</v>
      </c>
      <c r="B32" s="12">
        <f t="shared" si="5"/>
        <v>40</v>
      </c>
      <c r="C32" s="11"/>
      <c r="D32" s="11"/>
      <c r="E32" s="13">
        <v>4.0</v>
      </c>
      <c r="F32" s="13">
        <v>2.0</v>
      </c>
      <c r="G32" s="12">
        <f t="shared" si="6"/>
        <v>2</v>
      </c>
      <c r="H32" s="12">
        <f t="shared" si="7"/>
        <v>38</v>
      </c>
      <c r="I32" s="14">
        <f t="shared" si="8"/>
        <v>12</v>
      </c>
    </row>
    <row r="33">
      <c r="A33" s="11" t="s">
        <v>13</v>
      </c>
      <c r="B33" s="12">
        <f t="shared" si="5"/>
        <v>29</v>
      </c>
      <c r="C33" s="13"/>
      <c r="D33" s="11"/>
      <c r="E33" s="13">
        <v>6.0</v>
      </c>
      <c r="F33" s="13">
        <v>6.0</v>
      </c>
      <c r="G33" s="12">
        <f t="shared" si="6"/>
        <v>0</v>
      </c>
      <c r="H33" s="12">
        <f t="shared" si="7"/>
        <v>29</v>
      </c>
      <c r="I33" s="14">
        <f t="shared" si="8"/>
        <v>0</v>
      </c>
    </row>
    <row r="34">
      <c r="A34" s="11" t="s">
        <v>14</v>
      </c>
      <c r="B34" s="12">
        <f t="shared" si="5"/>
        <v>26</v>
      </c>
      <c r="C34" s="11"/>
      <c r="D34" s="11"/>
      <c r="E34" s="13">
        <v>4.0</v>
      </c>
      <c r="F34" s="13">
        <v>2.0</v>
      </c>
      <c r="G34" s="12">
        <f t="shared" si="6"/>
        <v>2</v>
      </c>
      <c r="H34" s="12">
        <f t="shared" si="7"/>
        <v>24</v>
      </c>
      <c r="I34" s="14">
        <f t="shared" si="8"/>
        <v>12</v>
      </c>
    </row>
    <row r="35">
      <c r="A35" s="11" t="s">
        <v>15</v>
      </c>
      <c r="B35" s="12">
        <f t="shared" si="5"/>
        <v>13</v>
      </c>
      <c r="C35" s="11"/>
      <c r="D35" s="11"/>
      <c r="E35" s="13">
        <v>4.0</v>
      </c>
      <c r="F35" s="13">
        <v>3.0</v>
      </c>
      <c r="G35" s="12">
        <f t="shared" si="6"/>
        <v>1</v>
      </c>
      <c r="H35" s="12">
        <f t="shared" si="7"/>
        <v>12</v>
      </c>
      <c r="I35" s="14">
        <f t="shared" si="8"/>
        <v>6</v>
      </c>
    </row>
    <row r="36">
      <c r="A36" s="11" t="s">
        <v>16</v>
      </c>
      <c r="B36" s="12">
        <f t="shared" si="5"/>
        <v>25</v>
      </c>
      <c r="C36" s="11"/>
      <c r="D36" s="11"/>
      <c r="E36" s="13">
        <v>4.0</v>
      </c>
      <c r="F36" s="13">
        <v>3.0</v>
      </c>
      <c r="G36" s="12">
        <f t="shared" si="6"/>
        <v>1</v>
      </c>
      <c r="H36" s="12">
        <f t="shared" si="7"/>
        <v>24</v>
      </c>
      <c r="I36" s="14">
        <f t="shared" si="8"/>
        <v>6</v>
      </c>
    </row>
    <row r="37">
      <c r="A37" s="11" t="s">
        <v>17</v>
      </c>
      <c r="B37" s="12">
        <f t="shared" si="5"/>
        <v>29</v>
      </c>
      <c r="C37" s="11"/>
      <c r="D37" s="11"/>
      <c r="E37" s="13">
        <v>4.0</v>
      </c>
      <c r="F37" s="13">
        <v>3.0</v>
      </c>
      <c r="G37" s="12">
        <f t="shared" si="6"/>
        <v>1</v>
      </c>
      <c r="H37" s="12">
        <f t="shared" si="7"/>
        <v>28</v>
      </c>
      <c r="I37" s="14">
        <f t="shared" si="8"/>
        <v>6</v>
      </c>
    </row>
    <row r="38">
      <c r="A38" s="11" t="s">
        <v>18</v>
      </c>
      <c r="B38" s="12">
        <f t="shared" si="5"/>
        <v>27</v>
      </c>
      <c r="C38" s="11"/>
      <c r="D38" s="11"/>
      <c r="E38" s="13">
        <v>4.0</v>
      </c>
      <c r="F38" s="13">
        <v>2.0</v>
      </c>
      <c r="G38" s="12">
        <f t="shared" si="6"/>
        <v>2</v>
      </c>
      <c r="H38" s="12">
        <f t="shared" si="7"/>
        <v>25</v>
      </c>
      <c r="I38" s="14">
        <f t="shared" si="8"/>
        <v>12</v>
      </c>
    </row>
    <row r="39">
      <c r="A39" s="11" t="s">
        <v>19</v>
      </c>
      <c r="B39" s="12">
        <f t="shared" si="5"/>
        <v>8</v>
      </c>
      <c r="C39" s="11"/>
      <c r="D39" s="11"/>
      <c r="E39" s="13">
        <v>4.0</v>
      </c>
      <c r="F39" s="13">
        <v>4.0</v>
      </c>
      <c r="G39" s="12">
        <f t="shared" si="6"/>
        <v>0</v>
      </c>
      <c r="H39" s="12">
        <f t="shared" si="7"/>
        <v>8</v>
      </c>
      <c r="I39" s="14">
        <f t="shared" si="8"/>
        <v>0</v>
      </c>
    </row>
    <row r="40">
      <c r="A40" s="11" t="s">
        <v>20</v>
      </c>
      <c r="B40" s="12">
        <f t="shared" si="5"/>
        <v>15</v>
      </c>
      <c r="C40" s="11"/>
      <c r="D40" s="11"/>
      <c r="E40" s="13">
        <v>4.0</v>
      </c>
      <c r="F40" s="13">
        <v>0.0</v>
      </c>
      <c r="G40" s="12">
        <f t="shared" si="6"/>
        <v>4</v>
      </c>
      <c r="H40" s="12">
        <f t="shared" si="7"/>
        <v>11</v>
      </c>
      <c r="I40" s="14">
        <f t="shared" si="8"/>
        <v>24</v>
      </c>
    </row>
    <row r="41">
      <c r="A41" s="11" t="s">
        <v>21</v>
      </c>
      <c r="B41" s="12">
        <f t="shared" si="5"/>
        <v>9</v>
      </c>
      <c r="C41" s="11"/>
      <c r="D41" s="11"/>
      <c r="E41" s="13">
        <v>2.0</v>
      </c>
      <c r="F41" s="13">
        <v>2.0</v>
      </c>
      <c r="G41" s="12">
        <f t="shared" si="6"/>
        <v>0</v>
      </c>
      <c r="H41" s="12">
        <f t="shared" si="7"/>
        <v>9</v>
      </c>
      <c r="I41" s="14">
        <f t="shared" si="8"/>
        <v>0</v>
      </c>
    </row>
    <row r="42">
      <c r="A42" s="11" t="s">
        <v>22</v>
      </c>
      <c r="B42" s="12">
        <f t="shared" si="5"/>
        <v>7</v>
      </c>
      <c r="C42" s="11"/>
      <c r="D42" s="13">
        <v>30.0</v>
      </c>
      <c r="E42" s="13">
        <v>4.0</v>
      </c>
      <c r="F42" s="13">
        <v>3.0</v>
      </c>
      <c r="G42" s="12">
        <f t="shared" si="6"/>
        <v>1</v>
      </c>
      <c r="H42" s="12">
        <f t="shared" si="7"/>
        <v>36</v>
      </c>
      <c r="I42" s="14">
        <f t="shared" si="8"/>
        <v>6</v>
      </c>
    </row>
    <row r="43">
      <c r="A43" s="11" t="s">
        <v>23</v>
      </c>
      <c r="B43" s="12">
        <f t="shared" si="5"/>
        <v>33</v>
      </c>
      <c r="C43" s="17"/>
      <c r="D43" s="11"/>
      <c r="E43" s="13">
        <v>6.0</v>
      </c>
      <c r="F43" s="13">
        <v>3.0</v>
      </c>
      <c r="G43" s="12">
        <f t="shared" si="6"/>
        <v>3</v>
      </c>
      <c r="H43" s="12">
        <f t="shared" si="7"/>
        <v>30</v>
      </c>
      <c r="I43" s="14">
        <f t="shared" si="8"/>
        <v>18</v>
      </c>
    </row>
    <row r="44">
      <c r="A44" s="11" t="s">
        <v>24</v>
      </c>
      <c r="B44" s="12">
        <f t="shared" si="5"/>
        <v>24</v>
      </c>
      <c r="C44" s="11"/>
      <c r="D44" s="11"/>
      <c r="E44" s="13">
        <v>4.0</v>
      </c>
      <c r="F44" s="13">
        <v>4.0</v>
      </c>
      <c r="G44" s="12">
        <f t="shared" si="6"/>
        <v>0</v>
      </c>
      <c r="H44" s="12">
        <f t="shared" si="7"/>
        <v>24</v>
      </c>
      <c r="I44" s="14">
        <f t="shared" si="8"/>
        <v>0</v>
      </c>
    </row>
    <row r="45">
      <c r="A45" s="11" t="s">
        <v>25</v>
      </c>
      <c r="B45" s="12">
        <f t="shared" si="5"/>
        <v>22</v>
      </c>
      <c r="C45" s="11"/>
      <c r="D45" s="11"/>
      <c r="E45" s="13">
        <v>8.0</v>
      </c>
      <c r="F45" s="13">
        <v>3.0</v>
      </c>
      <c r="G45" s="12">
        <f t="shared" si="6"/>
        <v>5</v>
      </c>
      <c r="H45" s="12">
        <f t="shared" si="7"/>
        <v>17</v>
      </c>
      <c r="I45" s="14">
        <f t="shared" si="8"/>
        <v>30</v>
      </c>
    </row>
    <row r="46">
      <c r="A46" s="11" t="s">
        <v>26</v>
      </c>
      <c r="B46" s="12">
        <f t="shared" si="5"/>
        <v>17</v>
      </c>
      <c r="C46" s="11"/>
      <c r="D46" s="11"/>
      <c r="E46" s="13">
        <v>4.0</v>
      </c>
      <c r="F46" s="13">
        <v>1.0</v>
      </c>
      <c r="G46" s="12">
        <f t="shared" si="6"/>
        <v>3</v>
      </c>
      <c r="H46" s="12">
        <f t="shared" si="7"/>
        <v>14</v>
      </c>
      <c r="I46" s="14">
        <f t="shared" si="8"/>
        <v>18</v>
      </c>
    </row>
    <row r="47">
      <c r="A47" s="11" t="s">
        <v>27</v>
      </c>
      <c r="B47" s="12">
        <f t="shared" si="5"/>
        <v>30</v>
      </c>
      <c r="C47" s="11"/>
      <c r="D47" s="11"/>
      <c r="E47" s="13">
        <v>3.0</v>
      </c>
      <c r="F47" s="13">
        <v>3.0</v>
      </c>
      <c r="G47" s="12">
        <f t="shared" si="6"/>
        <v>0</v>
      </c>
      <c r="H47" s="12">
        <f t="shared" si="7"/>
        <v>30</v>
      </c>
      <c r="I47" s="14">
        <f t="shared" si="8"/>
        <v>0</v>
      </c>
    </row>
    <row r="48">
      <c r="A48" s="11" t="s">
        <v>28</v>
      </c>
      <c r="B48" s="12">
        <f t="shared" si="5"/>
        <v>21</v>
      </c>
      <c r="C48" s="11"/>
      <c r="D48" s="11"/>
      <c r="E48" s="13">
        <v>8.0</v>
      </c>
      <c r="F48" s="13">
        <v>5.0</v>
      </c>
      <c r="G48" s="12">
        <f t="shared" si="6"/>
        <v>3</v>
      </c>
      <c r="H48" s="12">
        <f t="shared" si="7"/>
        <v>18</v>
      </c>
      <c r="I48" s="14">
        <f t="shared" si="8"/>
        <v>18</v>
      </c>
    </row>
    <row r="49">
      <c r="A49" s="11" t="s">
        <v>30</v>
      </c>
      <c r="B49" s="12">
        <f t="shared" si="5"/>
        <v>25</v>
      </c>
      <c r="C49" s="11"/>
      <c r="D49" s="11"/>
      <c r="E49" s="13">
        <v>2.0</v>
      </c>
      <c r="F49" s="13">
        <v>2.0</v>
      </c>
      <c r="G49" s="12">
        <f t="shared" si="6"/>
        <v>0</v>
      </c>
      <c r="H49" s="12">
        <f t="shared" si="7"/>
        <v>25</v>
      </c>
      <c r="I49" s="14">
        <f t="shared" si="8"/>
        <v>0</v>
      </c>
    </row>
    <row r="50">
      <c r="A50" s="18" t="s">
        <v>31</v>
      </c>
      <c r="B50" s="12">
        <f t="shared" si="5"/>
        <v>21</v>
      </c>
      <c r="C50" s="11"/>
      <c r="D50" s="11"/>
      <c r="E50" s="13">
        <v>2.0</v>
      </c>
      <c r="F50" s="13">
        <v>1.0</v>
      </c>
      <c r="G50" s="12">
        <f t="shared" si="6"/>
        <v>1</v>
      </c>
      <c r="H50" s="12">
        <f t="shared" si="7"/>
        <v>20</v>
      </c>
      <c r="I50" s="14">
        <f t="shared" si="8"/>
        <v>6</v>
      </c>
    </row>
    <row r="51">
      <c r="A51" s="18" t="s">
        <v>32</v>
      </c>
      <c r="B51" s="12">
        <f t="shared" si="5"/>
        <v>7</v>
      </c>
      <c r="C51" s="11"/>
      <c r="D51" s="11"/>
      <c r="E51" s="13">
        <v>2.0</v>
      </c>
      <c r="F51" s="13">
        <v>1.0</v>
      </c>
      <c r="G51" s="12">
        <f t="shared" si="6"/>
        <v>1</v>
      </c>
      <c r="H51" s="12">
        <f t="shared" si="7"/>
        <v>6</v>
      </c>
      <c r="I51" s="14">
        <f t="shared" si="8"/>
        <v>6</v>
      </c>
    </row>
    <row r="52">
      <c r="A52" s="19" t="s">
        <v>33</v>
      </c>
      <c r="B52" s="20">
        <f>SUM(B30:B51)</f>
        <v>488</v>
      </c>
      <c r="C52" s="19"/>
      <c r="D52" s="19"/>
      <c r="E52" s="20">
        <f t="shared" ref="E52:G52" si="9">SUM(E29:E51)</f>
        <v>93</v>
      </c>
      <c r="F52" s="20">
        <f t="shared" si="9"/>
        <v>61</v>
      </c>
      <c r="G52" s="20">
        <f t="shared" si="9"/>
        <v>32</v>
      </c>
      <c r="H52" s="20">
        <f>SUM(H30:H51)</f>
        <v>486</v>
      </c>
      <c r="I52" s="21">
        <f>SUM(I29:I51)</f>
        <v>192</v>
      </c>
    </row>
    <row r="53">
      <c r="A53" s="22"/>
      <c r="B53" s="22"/>
      <c r="C53" s="22"/>
      <c r="D53" s="22"/>
      <c r="E53" s="22"/>
      <c r="F53" s="23" t="s">
        <v>34</v>
      </c>
      <c r="G53" s="4"/>
      <c r="H53" s="24"/>
      <c r="I53" s="25"/>
    </row>
    <row r="55">
      <c r="A55" s="1"/>
      <c r="B55" s="2" t="s">
        <v>64</v>
      </c>
      <c r="C55" s="3"/>
      <c r="D55" s="3"/>
      <c r="E55" s="3"/>
      <c r="F55" s="3"/>
      <c r="G55" s="3"/>
      <c r="H55" s="3"/>
      <c r="I55" s="4"/>
    </row>
    <row r="56">
      <c r="A56" s="5" t="s">
        <v>1</v>
      </c>
      <c r="B56" s="6" t="s">
        <v>2</v>
      </c>
      <c r="C56" s="7" t="s">
        <v>3</v>
      </c>
      <c r="D56" s="8" t="s">
        <v>4</v>
      </c>
      <c r="E56" s="5" t="s">
        <v>5</v>
      </c>
      <c r="F56" s="5" t="s">
        <v>6</v>
      </c>
      <c r="G56" s="5" t="s">
        <v>7</v>
      </c>
      <c r="H56" s="9" t="s">
        <v>8</v>
      </c>
      <c r="I56" s="10" t="s">
        <v>9</v>
      </c>
    </row>
    <row r="57">
      <c r="A57" s="11" t="s">
        <v>10</v>
      </c>
      <c r="B57" s="12">
        <f t="shared" ref="B57:B78" si="10">H30</f>
        <v>17</v>
      </c>
      <c r="C57" s="11"/>
      <c r="D57" s="11"/>
      <c r="E57" s="13">
        <v>6.0</v>
      </c>
      <c r="F57" s="13">
        <v>3.0</v>
      </c>
      <c r="G57" s="12">
        <f t="shared" ref="G57:G78" si="11">E57-F57</f>
        <v>3</v>
      </c>
      <c r="H57" s="12">
        <f t="shared" ref="H57:H78" si="12">B57-C57+D57-G57</f>
        <v>14</v>
      </c>
      <c r="I57" s="14">
        <f t="shared" ref="I57:I78" si="13">G57*6</f>
        <v>18</v>
      </c>
    </row>
    <row r="58">
      <c r="A58" s="11" t="s">
        <v>11</v>
      </c>
      <c r="B58" s="12">
        <f t="shared" si="10"/>
        <v>41</v>
      </c>
      <c r="C58" s="15">
        <v>1.0</v>
      </c>
      <c r="D58" s="11"/>
      <c r="E58" s="13">
        <v>4.0</v>
      </c>
      <c r="F58" s="13">
        <v>3.0</v>
      </c>
      <c r="G58" s="12">
        <f t="shared" si="11"/>
        <v>1</v>
      </c>
      <c r="H58" s="12">
        <f t="shared" si="12"/>
        <v>39</v>
      </c>
      <c r="I58" s="14">
        <f t="shared" si="13"/>
        <v>6</v>
      </c>
    </row>
    <row r="59">
      <c r="A59" s="11" t="s">
        <v>12</v>
      </c>
      <c r="B59" s="12">
        <f t="shared" si="10"/>
        <v>38</v>
      </c>
      <c r="C59" s="13">
        <v>1.0</v>
      </c>
      <c r="D59" s="11"/>
      <c r="E59" s="13">
        <v>4.0</v>
      </c>
      <c r="F59" s="13">
        <v>3.0</v>
      </c>
      <c r="G59" s="12">
        <f t="shared" si="11"/>
        <v>1</v>
      </c>
      <c r="H59" s="12">
        <f t="shared" si="12"/>
        <v>36</v>
      </c>
      <c r="I59" s="14">
        <f t="shared" si="13"/>
        <v>6</v>
      </c>
    </row>
    <row r="60">
      <c r="A60" s="11" t="s">
        <v>13</v>
      </c>
      <c r="B60" s="12">
        <f t="shared" si="10"/>
        <v>29</v>
      </c>
      <c r="C60" s="13"/>
      <c r="D60" s="11"/>
      <c r="E60" s="13">
        <v>6.0</v>
      </c>
      <c r="F60" s="13">
        <v>4.0</v>
      </c>
      <c r="G60" s="12">
        <f t="shared" si="11"/>
        <v>2</v>
      </c>
      <c r="H60" s="12">
        <f t="shared" si="12"/>
        <v>27</v>
      </c>
      <c r="I60" s="14">
        <f t="shared" si="13"/>
        <v>12</v>
      </c>
    </row>
    <row r="61">
      <c r="A61" s="11" t="s">
        <v>14</v>
      </c>
      <c r="B61" s="12">
        <f t="shared" si="10"/>
        <v>24</v>
      </c>
      <c r="C61" s="11"/>
      <c r="D61" s="11"/>
      <c r="E61" s="13">
        <v>4.0</v>
      </c>
      <c r="F61" s="13">
        <v>2.0</v>
      </c>
      <c r="G61" s="12">
        <f t="shared" si="11"/>
        <v>2</v>
      </c>
      <c r="H61" s="12">
        <f t="shared" si="12"/>
        <v>22</v>
      </c>
      <c r="I61" s="14">
        <f t="shared" si="13"/>
        <v>12</v>
      </c>
    </row>
    <row r="62">
      <c r="A62" s="11" t="s">
        <v>15</v>
      </c>
      <c r="B62" s="12">
        <f t="shared" si="10"/>
        <v>12</v>
      </c>
      <c r="C62" s="11"/>
      <c r="D62" s="11"/>
      <c r="E62" s="13">
        <v>4.0</v>
      </c>
      <c r="F62" s="13">
        <v>2.0</v>
      </c>
      <c r="G62" s="12">
        <f t="shared" si="11"/>
        <v>2</v>
      </c>
      <c r="H62" s="12">
        <f t="shared" si="12"/>
        <v>10</v>
      </c>
      <c r="I62" s="14">
        <f t="shared" si="13"/>
        <v>12</v>
      </c>
    </row>
    <row r="63">
      <c r="A63" s="11" t="s">
        <v>16</v>
      </c>
      <c r="B63" s="12">
        <f t="shared" si="10"/>
        <v>24</v>
      </c>
      <c r="C63" s="11"/>
      <c r="D63" s="11"/>
      <c r="E63" s="13">
        <v>4.0</v>
      </c>
      <c r="F63" s="13">
        <v>2.0</v>
      </c>
      <c r="G63" s="12">
        <f t="shared" si="11"/>
        <v>2</v>
      </c>
      <c r="H63" s="12">
        <f t="shared" si="12"/>
        <v>22</v>
      </c>
      <c r="I63" s="14">
        <f t="shared" si="13"/>
        <v>12</v>
      </c>
    </row>
    <row r="64">
      <c r="A64" s="11" t="s">
        <v>17</v>
      </c>
      <c r="B64" s="12">
        <f t="shared" si="10"/>
        <v>28</v>
      </c>
      <c r="C64" s="11"/>
      <c r="D64" s="11"/>
      <c r="E64" s="13">
        <v>4.0</v>
      </c>
      <c r="F64" s="13">
        <v>2.0</v>
      </c>
      <c r="G64" s="12">
        <f t="shared" si="11"/>
        <v>2</v>
      </c>
      <c r="H64" s="12">
        <f t="shared" si="12"/>
        <v>26</v>
      </c>
      <c r="I64" s="14">
        <f t="shared" si="13"/>
        <v>12</v>
      </c>
    </row>
    <row r="65">
      <c r="A65" s="11" t="s">
        <v>18</v>
      </c>
      <c r="B65" s="12">
        <f t="shared" si="10"/>
        <v>25</v>
      </c>
      <c r="C65" s="11"/>
      <c r="D65" s="11"/>
      <c r="E65" s="13">
        <v>4.0</v>
      </c>
      <c r="F65" s="13">
        <v>2.0</v>
      </c>
      <c r="G65" s="12">
        <f t="shared" si="11"/>
        <v>2</v>
      </c>
      <c r="H65" s="12">
        <f t="shared" si="12"/>
        <v>23</v>
      </c>
      <c r="I65" s="14">
        <f t="shared" si="13"/>
        <v>12</v>
      </c>
    </row>
    <row r="66">
      <c r="A66" s="11" t="s">
        <v>19</v>
      </c>
      <c r="B66" s="12">
        <f t="shared" si="10"/>
        <v>8</v>
      </c>
      <c r="C66" s="11"/>
      <c r="D66" s="13">
        <v>33.0</v>
      </c>
      <c r="E66" s="13">
        <v>4.0</v>
      </c>
      <c r="F66" s="13">
        <v>0.0</v>
      </c>
      <c r="G66" s="12">
        <f t="shared" si="11"/>
        <v>4</v>
      </c>
      <c r="H66" s="12">
        <f t="shared" si="12"/>
        <v>37</v>
      </c>
      <c r="I66" s="14">
        <f t="shared" si="13"/>
        <v>24</v>
      </c>
    </row>
    <row r="67">
      <c r="A67" s="11" t="s">
        <v>20</v>
      </c>
      <c r="B67" s="12">
        <f t="shared" si="10"/>
        <v>11</v>
      </c>
      <c r="C67" s="13">
        <v>2.0</v>
      </c>
      <c r="D67" s="13">
        <v>29.0</v>
      </c>
      <c r="E67" s="13">
        <v>5.0</v>
      </c>
      <c r="F67" s="13">
        <v>3.0</v>
      </c>
      <c r="G67" s="12">
        <f t="shared" si="11"/>
        <v>2</v>
      </c>
      <c r="H67" s="12">
        <f t="shared" si="12"/>
        <v>36</v>
      </c>
      <c r="I67" s="14">
        <f t="shared" si="13"/>
        <v>12</v>
      </c>
    </row>
    <row r="68">
      <c r="A68" s="11" t="s">
        <v>21</v>
      </c>
      <c r="B68" s="12">
        <f t="shared" si="10"/>
        <v>9</v>
      </c>
      <c r="C68" s="11"/>
      <c r="D68" s="11"/>
      <c r="E68" s="13">
        <v>2.0</v>
      </c>
      <c r="F68" s="13">
        <v>2.0</v>
      </c>
      <c r="G68" s="12">
        <f t="shared" si="11"/>
        <v>0</v>
      </c>
      <c r="H68" s="12">
        <f t="shared" si="12"/>
        <v>9</v>
      </c>
      <c r="I68" s="14">
        <f t="shared" si="13"/>
        <v>0</v>
      </c>
    </row>
    <row r="69">
      <c r="A69" s="11" t="s">
        <v>22</v>
      </c>
      <c r="B69" s="12">
        <f t="shared" si="10"/>
        <v>36</v>
      </c>
      <c r="C69" s="11"/>
      <c r="D69" s="11"/>
      <c r="E69" s="13">
        <v>4.0</v>
      </c>
      <c r="F69" s="13">
        <v>4.0</v>
      </c>
      <c r="G69" s="12">
        <f t="shared" si="11"/>
        <v>0</v>
      </c>
      <c r="H69" s="12">
        <f t="shared" si="12"/>
        <v>36</v>
      </c>
      <c r="I69" s="14">
        <f t="shared" si="13"/>
        <v>0</v>
      </c>
    </row>
    <row r="70">
      <c r="A70" s="11" t="s">
        <v>23</v>
      </c>
      <c r="B70" s="12">
        <f t="shared" si="10"/>
        <v>30</v>
      </c>
      <c r="C70" s="17"/>
      <c r="D70" s="11"/>
      <c r="E70" s="13">
        <v>6.0</v>
      </c>
      <c r="F70" s="13">
        <v>3.0</v>
      </c>
      <c r="G70" s="12">
        <f t="shared" si="11"/>
        <v>3</v>
      </c>
      <c r="H70" s="12">
        <f t="shared" si="12"/>
        <v>27</v>
      </c>
      <c r="I70" s="14">
        <f t="shared" si="13"/>
        <v>18</v>
      </c>
    </row>
    <row r="71">
      <c r="A71" s="11" t="s">
        <v>24</v>
      </c>
      <c r="B71" s="12">
        <f t="shared" si="10"/>
        <v>24</v>
      </c>
      <c r="C71" s="13">
        <v>1.0</v>
      </c>
      <c r="D71" s="11"/>
      <c r="E71" s="13">
        <v>3.0</v>
      </c>
      <c r="F71" s="13">
        <v>3.0</v>
      </c>
      <c r="G71" s="12">
        <f t="shared" si="11"/>
        <v>0</v>
      </c>
      <c r="H71" s="12">
        <f t="shared" si="12"/>
        <v>23</v>
      </c>
      <c r="I71" s="14">
        <f t="shared" si="13"/>
        <v>0</v>
      </c>
    </row>
    <row r="72">
      <c r="A72" s="11" t="s">
        <v>25</v>
      </c>
      <c r="B72" s="12">
        <f t="shared" si="10"/>
        <v>17</v>
      </c>
      <c r="C72" s="11"/>
      <c r="D72" s="11"/>
      <c r="E72" s="13">
        <v>8.0</v>
      </c>
      <c r="F72" s="13">
        <v>3.0</v>
      </c>
      <c r="G72" s="12">
        <f t="shared" si="11"/>
        <v>5</v>
      </c>
      <c r="H72" s="12">
        <f t="shared" si="12"/>
        <v>12</v>
      </c>
      <c r="I72" s="14">
        <f t="shared" si="13"/>
        <v>30</v>
      </c>
    </row>
    <row r="73">
      <c r="A73" s="11" t="s">
        <v>26</v>
      </c>
      <c r="B73" s="12">
        <f t="shared" si="10"/>
        <v>14</v>
      </c>
      <c r="C73" s="11"/>
      <c r="D73" s="11"/>
      <c r="E73" s="13">
        <v>4.0</v>
      </c>
      <c r="F73" s="13">
        <v>3.0</v>
      </c>
      <c r="G73" s="12">
        <f t="shared" si="11"/>
        <v>1</v>
      </c>
      <c r="H73" s="12">
        <f t="shared" si="12"/>
        <v>13</v>
      </c>
      <c r="I73" s="14">
        <f t="shared" si="13"/>
        <v>6</v>
      </c>
    </row>
    <row r="74">
      <c r="A74" s="11" t="s">
        <v>27</v>
      </c>
      <c r="B74" s="12">
        <f t="shared" si="10"/>
        <v>30</v>
      </c>
      <c r="C74" s="11"/>
      <c r="D74" s="11"/>
      <c r="E74" s="13">
        <v>3.0</v>
      </c>
      <c r="F74" s="13">
        <v>3.0</v>
      </c>
      <c r="G74" s="12">
        <f t="shared" si="11"/>
        <v>0</v>
      </c>
      <c r="H74" s="12">
        <f t="shared" si="12"/>
        <v>30</v>
      </c>
      <c r="I74" s="14">
        <f t="shared" si="13"/>
        <v>0</v>
      </c>
    </row>
    <row r="75">
      <c r="A75" s="11" t="s">
        <v>28</v>
      </c>
      <c r="B75" s="12">
        <f t="shared" si="10"/>
        <v>18</v>
      </c>
      <c r="C75" s="11"/>
      <c r="D75" s="11"/>
      <c r="E75" s="13">
        <v>6.0</v>
      </c>
      <c r="F75" s="13">
        <v>5.0</v>
      </c>
      <c r="G75" s="12">
        <f t="shared" si="11"/>
        <v>1</v>
      </c>
      <c r="H75" s="12">
        <f t="shared" si="12"/>
        <v>17</v>
      </c>
      <c r="I75" s="14">
        <f t="shared" si="13"/>
        <v>6</v>
      </c>
    </row>
    <row r="76">
      <c r="A76" s="11" t="s">
        <v>30</v>
      </c>
      <c r="B76" s="12">
        <f t="shared" si="10"/>
        <v>25</v>
      </c>
      <c r="C76" s="11"/>
      <c r="D76" s="11"/>
      <c r="E76" s="13">
        <v>2.0</v>
      </c>
      <c r="F76" s="13">
        <v>2.0</v>
      </c>
      <c r="G76" s="12">
        <f t="shared" si="11"/>
        <v>0</v>
      </c>
      <c r="H76" s="12">
        <f t="shared" si="12"/>
        <v>25</v>
      </c>
      <c r="I76" s="14">
        <f t="shared" si="13"/>
        <v>0</v>
      </c>
    </row>
    <row r="77">
      <c r="A77" s="18" t="s">
        <v>31</v>
      </c>
      <c r="B77" s="12">
        <f t="shared" si="10"/>
        <v>20</v>
      </c>
      <c r="C77" s="11"/>
      <c r="D77" s="11"/>
      <c r="E77" s="13">
        <v>2.0</v>
      </c>
      <c r="F77" s="13">
        <v>2.0</v>
      </c>
      <c r="G77" s="12">
        <f t="shared" si="11"/>
        <v>0</v>
      </c>
      <c r="H77" s="12">
        <f t="shared" si="12"/>
        <v>20</v>
      </c>
      <c r="I77" s="14">
        <f t="shared" si="13"/>
        <v>0</v>
      </c>
    </row>
    <row r="78">
      <c r="A78" s="18" t="s">
        <v>32</v>
      </c>
      <c r="B78" s="12">
        <f t="shared" si="10"/>
        <v>6</v>
      </c>
      <c r="C78" s="11"/>
      <c r="D78" s="11"/>
      <c r="E78" s="13">
        <v>2.0</v>
      </c>
      <c r="F78" s="13">
        <v>1.0</v>
      </c>
      <c r="G78" s="12">
        <f t="shared" si="11"/>
        <v>1</v>
      </c>
      <c r="H78" s="12">
        <f t="shared" si="12"/>
        <v>5</v>
      </c>
      <c r="I78" s="14">
        <f t="shared" si="13"/>
        <v>6</v>
      </c>
    </row>
    <row r="79">
      <c r="A79" s="19" t="s">
        <v>33</v>
      </c>
      <c r="B79" s="20">
        <f>SUM(B57:B78)</f>
        <v>486</v>
      </c>
      <c r="C79" s="19"/>
      <c r="D79" s="19"/>
      <c r="E79" s="20">
        <f t="shared" ref="E79:G79" si="14">SUM(E56:E78)</f>
        <v>91</v>
      </c>
      <c r="F79" s="20">
        <f t="shared" si="14"/>
        <v>57</v>
      </c>
      <c r="G79" s="20">
        <f t="shared" si="14"/>
        <v>34</v>
      </c>
      <c r="H79" s="20">
        <f>SUM(H57:H78)</f>
        <v>509</v>
      </c>
      <c r="I79" s="21">
        <f>SUM(I56:I78)</f>
        <v>204</v>
      </c>
    </row>
    <row r="80">
      <c r="A80" s="22"/>
      <c r="B80" s="22"/>
      <c r="C80" s="22"/>
      <c r="D80" s="22"/>
      <c r="E80" s="22"/>
      <c r="F80" s="23" t="s">
        <v>34</v>
      </c>
      <c r="G80" s="4"/>
      <c r="H80" s="24"/>
      <c r="I80" s="25"/>
    </row>
    <row r="82">
      <c r="A82" s="1"/>
      <c r="B82" s="2" t="s">
        <v>65</v>
      </c>
      <c r="C82" s="3"/>
      <c r="D82" s="3"/>
      <c r="E82" s="3"/>
      <c r="F82" s="3"/>
      <c r="G82" s="3"/>
      <c r="H82" s="3"/>
      <c r="I82" s="4"/>
    </row>
    <row r="83">
      <c r="A83" s="5" t="s">
        <v>1</v>
      </c>
      <c r="B83" s="6" t="s">
        <v>2</v>
      </c>
      <c r="C83" s="7" t="s">
        <v>3</v>
      </c>
      <c r="D83" s="8" t="s">
        <v>4</v>
      </c>
      <c r="E83" s="5" t="s">
        <v>5</v>
      </c>
      <c r="F83" s="5" t="s">
        <v>6</v>
      </c>
      <c r="G83" s="5" t="s">
        <v>7</v>
      </c>
      <c r="H83" s="9" t="s">
        <v>8</v>
      </c>
      <c r="I83" s="10" t="s">
        <v>9</v>
      </c>
    </row>
    <row r="84">
      <c r="A84" s="11" t="s">
        <v>10</v>
      </c>
      <c r="B84" s="12">
        <f t="shared" ref="B84:B105" si="15">H57</f>
        <v>14</v>
      </c>
      <c r="C84" s="13">
        <v>2.0</v>
      </c>
      <c r="D84" s="11"/>
      <c r="E84" s="13">
        <v>9.0</v>
      </c>
      <c r="F84" s="13">
        <v>5.0</v>
      </c>
      <c r="G84" s="12">
        <f t="shared" ref="G84:G105" si="16">E84-F84</f>
        <v>4</v>
      </c>
      <c r="H84" s="12">
        <f t="shared" ref="H84:H105" si="17">B84-C84+D84-G84</f>
        <v>8</v>
      </c>
      <c r="I84" s="14">
        <f t="shared" ref="I84:I105" si="18">G84*6</f>
        <v>24</v>
      </c>
    </row>
    <row r="85">
      <c r="A85" s="11" t="s">
        <v>11</v>
      </c>
      <c r="B85" s="12">
        <f t="shared" si="15"/>
        <v>39</v>
      </c>
      <c r="C85" s="17"/>
      <c r="D85" s="11"/>
      <c r="E85" s="13">
        <v>4.0</v>
      </c>
      <c r="F85" s="13">
        <v>3.0</v>
      </c>
      <c r="G85" s="12">
        <f t="shared" si="16"/>
        <v>1</v>
      </c>
      <c r="H85" s="12">
        <f t="shared" si="17"/>
        <v>38</v>
      </c>
      <c r="I85" s="14">
        <f t="shared" si="18"/>
        <v>6</v>
      </c>
    </row>
    <row r="86">
      <c r="A86" s="11" t="s">
        <v>12</v>
      </c>
      <c r="B86" s="12">
        <f t="shared" si="15"/>
        <v>36</v>
      </c>
      <c r="C86" s="11"/>
      <c r="D86" s="11"/>
      <c r="E86" s="13">
        <v>4.0</v>
      </c>
      <c r="F86" s="13">
        <v>2.0</v>
      </c>
      <c r="G86" s="12">
        <f t="shared" si="16"/>
        <v>2</v>
      </c>
      <c r="H86" s="12">
        <f t="shared" si="17"/>
        <v>34</v>
      </c>
      <c r="I86" s="14">
        <f t="shared" si="18"/>
        <v>12</v>
      </c>
    </row>
    <row r="87">
      <c r="A87" s="11" t="s">
        <v>13</v>
      </c>
      <c r="B87" s="12">
        <f t="shared" si="15"/>
        <v>27</v>
      </c>
      <c r="C87" s="13"/>
      <c r="D87" s="11"/>
      <c r="E87" s="13">
        <v>6.0</v>
      </c>
      <c r="F87" s="13">
        <v>6.0</v>
      </c>
      <c r="G87" s="12">
        <f t="shared" si="16"/>
        <v>0</v>
      </c>
      <c r="H87" s="12">
        <f t="shared" si="17"/>
        <v>27</v>
      </c>
      <c r="I87" s="14">
        <f t="shared" si="18"/>
        <v>0</v>
      </c>
    </row>
    <row r="88">
      <c r="A88" s="11" t="s">
        <v>14</v>
      </c>
      <c r="B88" s="12">
        <f t="shared" si="15"/>
        <v>22</v>
      </c>
      <c r="C88" s="11"/>
      <c r="D88" s="11"/>
      <c r="E88" s="13">
        <v>4.0</v>
      </c>
      <c r="F88" s="13">
        <v>3.0</v>
      </c>
      <c r="G88" s="12">
        <f t="shared" si="16"/>
        <v>1</v>
      </c>
      <c r="H88" s="12">
        <f t="shared" si="17"/>
        <v>21</v>
      </c>
      <c r="I88" s="14">
        <f t="shared" si="18"/>
        <v>6</v>
      </c>
    </row>
    <row r="89">
      <c r="A89" s="11" t="s">
        <v>15</v>
      </c>
      <c r="B89" s="12">
        <f t="shared" si="15"/>
        <v>10</v>
      </c>
      <c r="C89" s="13">
        <v>2.0</v>
      </c>
      <c r="D89" s="11"/>
      <c r="E89" s="13">
        <v>4.0</v>
      </c>
      <c r="F89" s="13">
        <v>3.0</v>
      </c>
      <c r="G89" s="12">
        <f t="shared" si="16"/>
        <v>1</v>
      </c>
      <c r="H89" s="12">
        <f t="shared" si="17"/>
        <v>7</v>
      </c>
      <c r="I89" s="14">
        <f t="shared" si="18"/>
        <v>6</v>
      </c>
    </row>
    <row r="90">
      <c r="A90" s="11" t="s">
        <v>16</v>
      </c>
      <c r="B90" s="12">
        <f t="shared" si="15"/>
        <v>22</v>
      </c>
      <c r="C90" s="11"/>
      <c r="D90" s="11"/>
      <c r="E90" s="13">
        <v>4.0</v>
      </c>
      <c r="F90" s="13">
        <v>4.0</v>
      </c>
      <c r="G90" s="12">
        <f t="shared" si="16"/>
        <v>0</v>
      </c>
      <c r="H90" s="12">
        <f t="shared" si="17"/>
        <v>22</v>
      </c>
      <c r="I90" s="14">
        <f t="shared" si="18"/>
        <v>0</v>
      </c>
    </row>
    <row r="91">
      <c r="A91" s="11" t="s">
        <v>17</v>
      </c>
      <c r="B91" s="12">
        <f t="shared" si="15"/>
        <v>26</v>
      </c>
      <c r="C91" s="11"/>
      <c r="D91" s="11"/>
      <c r="E91" s="13">
        <v>4.0</v>
      </c>
      <c r="F91" s="13">
        <v>4.0</v>
      </c>
      <c r="G91" s="12">
        <f t="shared" si="16"/>
        <v>0</v>
      </c>
      <c r="H91" s="12">
        <f t="shared" si="17"/>
        <v>26</v>
      </c>
      <c r="I91" s="14">
        <f t="shared" si="18"/>
        <v>0</v>
      </c>
    </row>
    <row r="92">
      <c r="A92" s="11" t="s">
        <v>18</v>
      </c>
      <c r="B92" s="12">
        <f t="shared" si="15"/>
        <v>23</v>
      </c>
      <c r="C92" s="11"/>
      <c r="D92" s="11"/>
      <c r="E92" s="13">
        <v>4.0</v>
      </c>
      <c r="F92" s="13">
        <v>3.0</v>
      </c>
      <c r="G92" s="12">
        <f t="shared" si="16"/>
        <v>1</v>
      </c>
      <c r="H92" s="12">
        <f t="shared" si="17"/>
        <v>22</v>
      </c>
      <c r="I92" s="14">
        <f t="shared" si="18"/>
        <v>6</v>
      </c>
    </row>
    <row r="93">
      <c r="A93" s="11" t="s">
        <v>19</v>
      </c>
      <c r="B93" s="12">
        <f t="shared" si="15"/>
        <v>37</v>
      </c>
      <c r="C93" s="11"/>
      <c r="D93" s="13"/>
      <c r="E93" s="13">
        <v>4.0</v>
      </c>
      <c r="F93" s="13">
        <v>3.0</v>
      </c>
      <c r="G93" s="12">
        <f t="shared" si="16"/>
        <v>1</v>
      </c>
      <c r="H93" s="12">
        <f t="shared" si="17"/>
        <v>36</v>
      </c>
      <c r="I93" s="14">
        <f t="shared" si="18"/>
        <v>6</v>
      </c>
    </row>
    <row r="94">
      <c r="A94" s="11" t="s">
        <v>20</v>
      </c>
      <c r="B94" s="12">
        <f t="shared" si="15"/>
        <v>36</v>
      </c>
      <c r="C94" s="13"/>
      <c r="D94" s="11"/>
      <c r="E94" s="13">
        <v>5.0</v>
      </c>
      <c r="F94" s="13">
        <v>3.0</v>
      </c>
      <c r="G94" s="12">
        <f t="shared" si="16"/>
        <v>2</v>
      </c>
      <c r="H94" s="12">
        <f t="shared" si="17"/>
        <v>34</v>
      </c>
      <c r="I94" s="14">
        <f t="shared" si="18"/>
        <v>12</v>
      </c>
    </row>
    <row r="95">
      <c r="A95" s="11" t="s">
        <v>21</v>
      </c>
      <c r="B95" s="12">
        <f t="shared" si="15"/>
        <v>9</v>
      </c>
      <c r="C95" s="11"/>
      <c r="D95" s="11"/>
      <c r="E95" s="13">
        <v>2.0</v>
      </c>
      <c r="F95" s="13">
        <v>2.0</v>
      </c>
      <c r="G95" s="12">
        <f t="shared" si="16"/>
        <v>0</v>
      </c>
      <c r="H95" s="12">
        <f t="shared" si="17"/>
        <v>9</v>
      </c>
      <c r="I95" s="14">
        <f t="shared" si="18"/>
        <v>0</v>
      </c>
    </row>
    <row r="96">
      <c r="A96" s="11" t="s">
        <v>22</v>
      </c>
      <c r="B96" s="12">
        <f t="shared" si="15"/>
        <v>36</v>
      </c>
      <c r="C96" s="11"/>
      <c r="D96" s="11"/>
      <c r="E96" s="13">
        <v>4.0</v>
      </c>
      <c r="F96" s="13">
        <v>3.0</v>
      </c>
      <c r="G96" s="12">
        <f t="shared" si="16"/>
        <v>1</v>
      </c>
      <c r="H96" s="12">
        <f t="shared" si="17"/>
        <v>35</v>
      </c>
      <c r="I96" s="14">
        <f t="shared" si="18"/>
        <v>6</v>
      </c>
    </row>
    <row r="97">
      <c r="A97" s="11" t="s">
        <v>23</v>
      </c>
      <c r="B97" s="12">
        <f t="shared" si="15"/>
        <v>27</v>
      </c>
      <c r="C97" s="17"/>
      <c r="D97" s="11"/>
      <c r="E97" s="13">
        <v>6.0</v>
      </c>
      <c r="F97" s="13">
        <v>2.0</v>
      </c>
      <c r="G97" s="12">
        <f t="shared" si="16"/>
        <v>4</v>
      </c>
      <c r="H97" s="12">
        <f t="shared" si="17"/>
        <v>23</v>
      </c>
      <c r="I97" s="14">
        <f t="shared" si="18"/>
        <v>24</v>
      </c>
    </row>
    <row r="98">
      <c r="A98" s="11" t="s">
        <v>24</v>
      </c>
      <c r="B98" s="12">
        <f t="shared" si="15"/>
        <v>23</v>
      </c>
      <c r="C98" s="11"/>
      <c r="D98" s="11"/>
      <c r="E98" s="13">
        <v>3.0</v>
      </c>
      <c r="F98" s="13">
        <v>3.0</v>
      </c>
      <c r="G98" s="12">
        <f t="shared" si="16"/>
        <v>0</v>
      </c>
      <c r="H98" s="12">
        <f t="shared" si="17"/>
        <v>23</v>
      </c>
      <c r="I98" s="14">
        <f t="shared" si="18"/>
        <v>0</v>
      </c>
    </row>
    <row r="99">
      <c r="A99" s="11" t="s">
        <v>25</v>
      </c>
      <c r="B99" s="12">
        <f t="shared" si="15"/>
        <v>12</v>
      </c>
      <c r="C99" s="13">
        <v>1.0</v>
      </c>
      <c r="D99" s="13">
        <v>30.0</v>
      </c>
      <c r="E99" s="13">
        <v>8.0</v>
      </c>
      <c r="F99" s="13">
        <v>0.0</v>
      </c>
      <c r="G99" s="12">
        <f t="shared" si="16"/>
        <v>8</v>
      </c>
      <c r="H99" s="12">
        <f t="shared" si="17"/>
        <v>33</v>
      </c>
      <c r="I99" s="14">
        <f t="shared" si="18"/>
        <v>48</v>
      </c>
    </row>
    <row r="100">
      <c r="A100" s="27" t="s">
        <v>26</v>
      </c>
      <c r="B100" s="12">
        <f t="shared" si="15"/>
        <v>13</v>
      </c>
      <c r="C100" s="13">
        <v>4.0</v>
      </c>
      <c r="D100" s="11"/>
      <c r="E100" s="13">
        <v>4.0</v>
      </c>
      <c r="F100" s="13">
        <v>4.0</v>
      </c>
      <c r="G100" s="12">
        <f t="shared" si="16"/>
        <v>0</v>
      </c>
      <c r="H100" s="12">
        <f t="shared" si="17"/>
        <v>9</v>
      </c>
      <c r="I100" s="14">
        <f t="shared" si="18"/>
        <v>0</v>
      </c>
    </row>
    <row r="101">
      <c r="A101" s="11" t="s">
        <v>27</v>
      </c>
      <c r="B101" s="12">
        <f t="shared" si="15"/>
        <v>30</v>
      </c>
      <c r="C101" s="11"/>
      <c r="D101" s="11"/>
      <c r="E101" s="13">
        <v>3.0</v>
      </c>
      <c r="F101" s="13">
        <v>3.0</v>
      </c>
      <c r="G101" s="12">
        <f t="shared" si="16"/>
        <v>0</v>
      </c>
      <c r="H101" s="12">
        <f t="shared" si="17"/>
        <v>30</v>
      </c>
      <c r="I101" s="14">
        <f t="shared" si="18"/>
        <v>0</v>
      </c>
    </row>
    <row r="102">
      <c r="A102" s="11" t="s">
        <v>28</v>
      </c>
      <c r="B102" s="12">
        <f t="shared" si="15"/>
        <v>17</v>
      </c>
      <c r="C102" s="11"/>
      <c r="D102" s="11"/>
      <c r="E102" s="13">
        <v>6.0</v>
      </c>
      <c r="F102" s="13">
        <v>0.0</v>
      </c>
      <c r="G102" s="12">
        <f t="shared" si="16"/>
        <v>6</v>
      </c>
      <c r="H102" s="12">
        <f t="shared" si="17"/>
        <v>11</v>
      </c>
      <c r="I102" s="14">
        <f t="shared" si="18"/>
        <v>36</v>
      </c>
    </row>
    <row r="103">
      <c r="A103" s="11" t="s">
        <v>30</v>
      </c>
      <c r="B103" s="12">
        <f t="shared" si="15"/>
        <v>25</v>
      </c>
      <c r="C103" s="11"/>
      <c r="D103" s="11"/>
      <c r="E103" s="13">
        <v>2.0</v>
      </c>
      <c r="F103" s="13">
        <v>1.0</v>
      </c>
      <c r="G103" s="12">
        <f t="shared" si="16"/>
        <v>1</v>
      </c>
      <c r="H103" s="12">
        <f t="shared" si="17"/>
        <v>24</v>
      </c>
      <c r="I103" s="14">
        <f t="shared" si="18"/>
        <v>6</v>
      </c>
    </row>
    <row r="104">
      <c r="A104" s="18" t="s">
        <v>31</v>
      </c>
      <c r="B104" s="12">
        <f t="shared" si="15"/>
        <v>20</v>
      </c>
      <c r="C104" s="11"/>
      <c r="D104" s="11"/>
      <c r="E104" s="13">
        <v>2.0</v>
      </c>
      <c r="F104" s="13">
        <v>1.0</v>
      </c>
      <c r="G104" s="12">
        <f t="shared" si="16"/>
        <v>1</v>
      </c>
      <c r="H104" s="12">
        <f t="shared" si="17"/>
        <v>19</v>
      </c>
      <c r="I104" s="14">
        <f t="shared" si="18"/>
        <v>6</v>
      </c>
    </row>
    <row r="105">
      <c r="A105" s="18" t="s">
        <v>32</v>
      </c>
      <c r="B105" s="12">
        <f t="shared" si="15"/>
        <v>5</v>
      </c>
      <c r="C105" s="11"/>
      <c r="D105" s="11"/>
      <c r="E105" s="13">
        <v>2.0</v>
      </c>
      <c r="F105" s="13">
        <v>2.0</v>
      </c>
      <c r="G105" s="12">
        <f t="shared" si="16"/>
        <v>0</v>
      </c>
      <c r="H105" s="12">
        <f t="shared" si="17"/>
        <v>5</v>
      </c>
      <c r="I105" s="14">
        <f t="shared" si="18"/>
        <v>0</v>
      </c>
    </row>
    <row r="106">
      <c r="A106" s="19" t="s">
        <v>33</v>
      </c>
      <c r="B106" s="20">
        <f>SUM(B84:B105)</f>
        <v>509</v>
      </c>
      <c r="C106" s="19"/>
      <c r="D106" s="19"/>
      <c r="E106" s="20">
        <f t="shared" ref="E106:G106" si="19">SUM(E83:E105)</f>
        <v>94</v>
      </c>
      <c r="F106" s="20">
        <f t="shared" si="19"/>
        <v>60</v>
      </c>
      <c r="G106" s="20">
        <f t="shared" si="19"/>
        <v>34</v>
      </c>
      <c r="H106" s="20">
        <f>SUM(H84:H105)</f>
        <v>496</v>
      </c>
      <c r="I106" s="21">
        <f>SUM(I83:I105)</f>
        <v>204</v>
      </c>
    </row>
    <row r="107">
      <c r="A107" s="22"/>
      <c r="B107" s="22"/>
      <c r="C107" s="22"/>
      <c r="D107" s="22"/>
      <c r="E107" s="22"/>
      <c r="F107" s="23" t="s">
        <v>34</v>
      </c>
      <c r="G107" s="4"/>
      <c r="H107" s="24"/>
      <c r="I107" s="25"/>
    </row>
    <row r="109">
      <c r="A109" s="1"/>
      <c r="B109" s="2" t="s">
        <v>66</v>
      </c>
      <c r="C109" s="3"/>
      <c r="D109" s="3"/>
      <c r="E109" s="3"/>
      <c r="F109" s="3"/>
      <c r="G109" s="3"/>
      <c r="H109" s="3"/>
      <c r="I109" s="4"/>
    </row>
    <row r="110">
      <c r="A110" s="5" t="s">
        <v>1</v>
      </c>
      <c r="B110" s="6" t="s">
        <v>2</v>
      </c>
      <c r="C110" s="7" t="s">
        <v>3</v>
      </c>
      <c r="D110" s="8" t="s">
        <v>4</v>
      </c>
      <c r="E110" s="5" t="s">
        <v>5</v>
      </c>
      <c r="F110" s="5" t="s">
        <v>6</v>
      </c>
      <c r="G110" s="5" t="s">
        <v>7</v>
      </c>
      <c r="H110" s="9" t="s">
        <v>8</v>
      </c>
      <c r="I110" s="10" t="s">
        <v>9</v>
      </c>
    </row>
    <row r="111">
      <c r="A111" s="11" t="s">
        <v>10</v>
      </c>
      <c r="B111" s="12">
        <f t="shared" ref="B111:B132" si="20">H84</f>
        <v>8</v>
      </c>
      <c r="C111" s="11"/>
      <c r="D111" s="13">
        <v>36.0</v>
      </c>
      <c r="E111" s="13">
        <v>6.0</v>
      </c>
      <c r="F111" s="13">
        <v>6.0</v>
      </c>
      <c r="G111" s="12">
        <f t="shared" ref="G111:G132" si="21">E111-F111</f>
        <v>0</v>
      </c>
      <c r="H111" s="12">
        <f t="shared" ref="H111:H132" si="22">B111-C111+D111-G111</f>
        <v>44</v>
      </c>
      <c r="I111" s="14">
        <f t="shared" ref="I111:I132" si="23">G111*6</f>
        <v>0</v>
      </c>
    </row>
    <row r="112">
      <c r="A112" s="11" t="s">
        <v>11</v>
      </c>
      <c r="B112" s="12">
        <f t="shared" si="20"/>
        <v>38</v>
      </c>
      <c r="C112" s="17"/>
      <c r="D112" s="11"/>
      <c r="E112" s="13">
        <v>5.0</v>
      </c>
      <c r="F112" s="13">
        <v>4.0</v>
      </c>
      <c r="G112" s="12">
        <f t="shared" si="21"/>
        <v>1</v>
      </c>
      <c r="H112" s="12">
        <f t="shared" si="22"/>
        <v>37</v>
      </c>
      <c r="I112" s="14">
        <f t="shared" si="23"/>
        <v>6</v>
      </c>
    </row>
    <row r="113">
      <c r="A113" s="11" t="s">
        <v>12</v>
      </c>
      <c r="B113" s="12">
        <f t="shared" si="20"/>
        <v>34</v>
      </c>
      <c r="C113" s="11"/>
      <c r="D113" s="11"/>
      <c r="E113" s="13">
        <v>5.0</v>
      </c>
      <c r="F113" s="13">
        <v>4.0</v>
      </c>
      <c r="G113" s="12">
        <f t="shared" si="21"/>
        <v>1</v>
      </c>
      <c r="H113" s="12">
        <f t="shared" si="22"/>
        <v>33</v>
      </c>
      <c r="I113" s="14">
        <f t="shared" si="23"/>
        <v>6</v>
      </c>
    </row>
    <row r="114">
      <c r="A114" s="11" t="s">
        <v>13</v>
      </c>
      <c r="B114" s="12">
        <f t="shared" si="20"/>
        <v>27</v>
      </c>
      <c r="C114" s="13"/>
      <c r="D114" s="11"/>
      <c r="E114" s="13">
        <v>6.0</v>
      </c>
      <c r="F114" s="13">
        <v>5.0</v>
      </c>
      <c r="G114" s="12">
        <f t="shared" si="21"/>
        <v>1</v>
      </c>
      <c r="H114" s="12">
        <f t="shared" si="22"/>
        <v>26</v>
      </c>
      <c r="I114" s="14">
        <f t="shared" si="23"/>
        <v>6</v>
      </c>
    </row>
    <row r="115">
      <c r="A115" s="11" t="s">
        <v>14</v>
      </c>
      <c r="B115" s="12">
        <f t="shared" si="20"/>
        <v>21</v>
      </c>
      <c r="C115" s="11"/>
      <c r="D115" s="11"/>
      <c r="E115" s="13">
        <v>4.0</v>
      </c>
      <c r="F115" s="13">
        <v>3.0</v>
      </c>
      <c r="G115" s="12">
        <f t="shared" si="21"/>
        <v>1</v>
      </c>
      <c r="H115" s="12">
        <f t="shared" si="22"/>
        <v>20</v>
      </c>
      <c r="I115" s="14">
        <f t="shared" si="23"/>
        <v>6</v>
      </c>
    </row>
    <row r="116">
      <c r="A116" s="11" t="s">
        <v>15</v>
      </c>
      <c r="B116" s="12">
        <f t="shared" si="20"/>
        <v>7</v>
      </c>
      <c r="C116" s="11"/>
      <c r="D116" s="13">
        <v>32.0</v>
      </c>
      <c r="E116" s="13">
        <v>5.0</v>
      </c>
      <c r="F116" s="13">
        <v>5.0</v>
      </c>
      <c r="G116" s="12">
        <f t="shared" si="21"/>
        <v>0</v>
      </c>
      <c r="H116" s="12">
        <f t="shared" si="22"/>
        <v>39</v>
      </c>
      <c r="I116" s="14">
        <f t="shared" si="23"/>
        <v>0</v>
      </c>
    </row>
    <row r="117">
      <c r="A117" s="11" t="s">
        <v>16</v>
      </c>
      <c r="B117" s="12">
        <f t="shared" si="20"/>
        <v>22</v>
      </c>
      <c r="C117" s="11"/>
      <c r="D117" s="11"/>
      <c r="E117" s="13">
        <v>4.0</v>
      </c>
      <c r="F117" s="13">
        <v>4.0</v>
      </c>
      <c r="G117" s="12">
        <f t="shared" si="21"/>
        <v>0</v>
      </c>
      <c r="H117" s="12">
        <f t="shared" si="22"/>
        <v>22</v>
      </c>
      <c r="I117" s="14">
        <f t="shared" si="23"/>
        <v>0</v>
      </c>
    </row>
    <row r="118">
      <c r="A118" s="11" t="s">
        <v>17</v>
      </c>
      <c r="B118" s="12">
        <f t="shared" si="20"/>
        <v>26</v>
      </c>
      <c r="C118" s="11"/>
      <c r="D118" s="11"/>
      <c r="E118" s="13">
        <v>4.0</v>
      </c>
      <c r="F118" s="13">
        <v>2.0</v>
      </c>
      <c r="G118" s="12">
        <f t="shared" si="21"/>
        <v>2</v>
      </c>
      <c r="H118" s="12">
        <f t="shared" si="22"/>
        <v>24</v>
      </c>
      <c r="I118" s="14">
        <f t="shared" si="23"/>
        <v>12</v>
      </c>
    </row>
    <row r="119">
      <c r="A119" s="11" t="s">
        <v>18</v>
      </c>
      <c r="B119" s="12">
        <f t="shared" si="20"/>
        <v>22</v>
      </c>
      <c r="C119" s="11"/>
      <c r="D119" s="11"/>
      <c r="E119" s="13">
        <v>5.0</v>
      </c>
      <c r="F119" s="13">
        <v>2.0</v>
      </c>
      <c r="G119" s="12">
        <f t="shared" si="21"/>
        <v>3</v>
      </c>
      <c r="H119" s="12">
        <f t="shared" si="22"/>
        <v>19</v>
      </c>
      <c r="I119" s="14">
        <f t="shared" si="23"/>
        <v>18</v>
      </c>
    </row>
    <row r="120">
      <c r="A120" s="11" t="s">
        <v>19</v>
      </c>
      <c r="B120" s="12">
        <f t="shared" si="20"/>
        <v>36</v>
      </c>
      <c r="C120" s="11"/>
      <c r="D120" s="11"/>
      <c r="E120" s="13">
        <v>5.0</v>
      </c>
      <c r="F120" s="13">
        <v>3.0</v>
      </c>
      <c r="G120" s="12">
        <f t="shared" si="21"/>
        <v>2</v>
      </c>
      <c r="H120" s="12">
        <f t="shared" si="22"/>
        <v>34</v>
      </c>
      <c r="I120" s="14">
        <f t="shared" si="23"/>
        <v>12</v>
      </c>
    </row>
    <row r="121">
      <c r="A121" s="11" t="s">
        <v>20</v>
      </c>
      <c r="B121" s="12">
        <f t="shared" si="20"/>
        <v>34</v>
      </c>
      <c r="C121" s="11"/>
      <c r="D121" s="11"/>
      <c r="E121" s="13">
        <v>5.0</v>
      </c>
      <c r="F121" s="13">
        <v>3.0</v>
      </c>
      <c r="G121" s="12">
        <f t="shared" si="21"/>
        <v>2</v>
      </c>
      <c r="H121" s="12">
        <f t="shared" si="22"/>
        <v>32</v>
      </c>
      <c r="I121" s="14">
        <f t="shared" si="23"/>
        <v>12</v>
      </c>
    </row>
    <row r="122">
      <c r="A122" s="11" t="s">
        <v>21</v>
      </c>
      <c r="B122" s="12">
        <f t="shared" si="20"/>
        <v>9</v>
      </c>
      <c r="C122" s="11"/>
      <c r="D122" s="11"/>
      <c r="E122" s="13">
        <v>2.0</v>
      </c>
      <c r="F122" s="13">
        <v>2.0</v>
      </c>
      <c r="G122" s="12">
        <f t="shared" si="21"/>
        <v>0</v>
      </c>
      <c r="H122" s="12">
        <f t="shared" si="22"/>
        <v>9</v>
      </c>
      <c r="I122" s="14">
        <f t="shared" si="23"/>
        <v>0</v>
      </c>
    </row>
    <row r="123">
      <c r="A123" s="11" t="s">
        <v>22</v>
      </c>
      <c r="B123" s="12">
        <f t="shared" si="20"/>
        <v>35</v>
      </c>
      <c r="C123" s="11"/>
      <c r="D123" s="11"/>
      <c r="E123" s="13">
        <v>5.0</v>
      </c>
      <c r="F123" s="13">
        <v>5.0</v>
      </c>
      <c r="G123" s="12">
        <f t="shared" si="21"/>
        <v>0</v>
      </c>
      <c r="H123" s="12">
        <f t="shared" si="22"/>
        <v>35</v>
      </c>
      <c r="I123" s="14">
        <f t="shared" si="23"/>
        <v>0</v>
      </c>
    </row>
    <row r="124">
      <c r="A124" s="11" t="s">
        <v>23</v>
      </c>
      <c r="B124" s="12">
        <f t="shared" si="20"/>
        <v>23</v>
      </c>
      <c r="C124" s="17"/>
      <c r="D124" s="11"/>
      <c r="E124" s="13">
        <v>6.0</v>
      </c>
      <c r="F124" s="13">
        <v>1.0</v>
      </c>
      <c r="G124" s="12">
        <f t="shared" si="21"/>
        <v>5</v>
      </c>
      <c r="H124" s="12">
        <f t="shared" si="22"/>
        <v>18</v>
      </c>
      <c r="I124" s="14">
        <f t="shared" si="23"/>
        <v>30</v>
      </c>
    </row>
    <row r="125">
      <c r="A125" s="11" t="s">
        <v>24</v>
      </c>
      <c r="B125" s="12">
        <f t="shared" si="20"/>
        <v>23</v>
      </c>
      <c r="C125" s="11"/>
      <c r="D125" s="11"/>
      <c r="E125" s="13">
        <v>3.0</v>
      </c>
      <c r="F125" s="13">
        <v>3.0</v>
      </c>
      <c r="G125" s="12">
        <f t="shared" si="21"/>
        <v>0</v>
      </c>
      <c r="H125" s="12">
        <f t="shared" si="22"/>
        <v>23</v>
      </c>
      <c r="I125" s="14">
        <f t="shared" si="23"/>
        <v>0</v>
      </c>
    </row>
    <row r="126">
      <c r="A126" s="11" t="s">
        <v>25</v>
      </c>
      <c r="B126" s="12">
        <f t="shared" si="20"/>
        <v>33</v>
      </c>
      <c r="C126" s="11"/>
      <c r="D126" s="11"/>
      <c r="E126" s="13">
        <v>10.0</v>
      </c>
      <c r="F126" s="13">
        <v>7.0</v>
      </c>
      <c r="G126" s="12">
        <f t="shared" si="21"/>
        <v>3</v>
      </c>
      <c r="H126" s="12">
        <f t="shared" si="22"/>
        <v>30</v>
      </c>
      <c r="I126" s="14">
        <f t="shared" si="23"/>
        <v>18</v>
      </c>
    </row>
    <row r="127">
      <c r="A127" s="11" t="s">
        <v>26</v>
      </c>
      <c r="B127" s="12">
        <f t="shared" si="20"/>
        <v>9</v>
      </c>
      <c r="C127" s="11"/>
      <c r="D127" s="11"/>
      <c r="E127" s="13">
        <v>5.0</v>
      </c>
      <c r="F127" s="13">
        <v>3.0</v>
      </c>
      <c r="G127" s="12">
        <f t="shared" si="21"/>
        <v>2</v>
      </c>
      <c r="H127" s="12">
        <f t="shared" si="22"/>
        <v>7</v>
      </c>
      <c r="I127" s="14">
        <f t="shared" si="23"/>
        <v>12</v>
      </c>
    </row>
    <row r="128">
      <c r="A128" s="11" t="s">
        <v>27</v>
      </c>
      <c r="B128" s="12">
        <f t="shared" si="20"/>
        <v>30</v>
      </c>
      <c r="C128" s="11"/>
      <c r="D128" s="13"/>
      <c r="E128" s="13">
        <v>3.0</v>
      </c>
      <c r="F128" s="13">
        <v>3.0</v>
      </c>
      <c r="G128" s="12">
        <f t="shared" si="21"/>
        <v>0</v>
      </c>
      <c r="H128" s="12">
        <f t="shared" si="22"/>
        <v>30</v>
      </c>
      <c r="I128" s="14">
        <f t="shared" si="23"/>
        <v>0</v>
      </c>
    </row>
    <row r="129">
      <c r="A129" s="11" t="s">
        <v>28</v>
      </c>
      <c r="B129" s="12">
        <f t="shared" si="20"/>
        <v>11</v>
      </c>
      <c r="C129" s="11"/>
      <c r="D129" s="13">
        <v>31.0</v>
      </c>
      <c r="E129" s="13">
        <v>8.0</v>
      </c>
      <c r="F129" s="13">
        <v>4.0</v>
      </c>
      <c r="G129" s="12">
        <f t="shared" si="21"/>
        <v>4</v>
      </c>
      <c r="H129" s="12">
        <f t="shared" si="22"/>
        <v>38</v>
      </c>
      <c r="I129" s="14">
        <f t="shared" si="23"/>
        <v>24</v>
      </c>
    </row>
    <row r="130">
      <c r="A130" s="11" t="s">
        <v>30</v>
      </c>
      <c r="B130" s="12">
        <f t="shared" si="20"/>
        <v>24</v>
      </c>
      <c r="C130" s="13">
        <v>1.0</v>
      </c>
      <c r="D130" s="11"/>
      <c r="E130" s="13">
        <v>3.0</v>
      </c>
      <c r="F130" s="13">
        <v>3.0</v>
      </c>
      <c r="G130" s="12">
        <f t="shared" si="21"/>
        <v>0</v>
      </c>
      <c r="H130" s="12">
        <f t="shared" si="22"/>
        <v>23</v>
      </c>
      <c r="I130" s="14">
        <f t="shared" si="23"/>
        <v>0</v>
      </c>
    </row>
    <row r="131">
      <c r="A131" s="18" t="s">
        <v>31</v>
      </c>
      <c r="B131" s="12">
        <f t="shared" si="20"/>
        <v>19</v>
      </c>
      <c r="C131" s="11"/>
      <c r="D131" s="11"/>
      <c r="E131" s="13">
        <v>2.0</v>
      </c>
      <c r="F131" s="13">
        <v>1.0</v>
      </c>
      <c r="G131" s="12">
        <f t="shared" si="21"/>
        <v>1</v>
      </c>
      <c r="H131" s="12">
        <f t="shared" si="22"/>
        <v>18</v>
      </c>
      <c r="I131" s="14">
        <f t="shared" si="23"/>
        <v>6</v>
      </c>
    </row>
    <row r="132">
      <c r="A132" s="18" t="s">
        <v>32</v>
      </c>
      <c r="B132" s="12">
        <f t="shared" si="20"/>
        <v>5</v>
      </c>
      <c r="C132" s="11"/>
      <c r="D132" s="11"/>
      <c r="E132" s="13">
        <v>2.0</v>
      </c>
      <c r="F132" s="13">
        <v>2.0</v>
      </c>
      <c r="G132" s="12">
        <f t="shared" si="21"/>
        <v>0</v>
      </c>
      <c r="H132" s="12">
        <f t="shared" si="22"/>
        <v>5</v>
      </c>
      <c r="I132" s="14">
        <f t="shared" si="23"/>
        <v>0</v>
      </c>
    </row>
    <row r="133">
      <c r="A133" s="19" t="s">
        <v>33</v>
      </c>
      <c r="B133" s="20">
        <f>SUM(B111:B132)</f>
        <v>496</v>
      </c>
      <c r="C133" s="19"/>
      <c r="D133" s="19"/>
      <c r="E133" s="20">
        <f t="shared" ref="E133:F133" si="24">SUM(E110:E132)</f>
        <v>103</v>
      </c>
      <c r="F133" s="20">
        <f t="shared" si="24"/>
        <v>75</v>
      </c>
      <c r="G133" s="20">
        <f t="shared" ref="G133:H133" si="25">SUM(G111:G132)</f>
        <v>28</v>
      </c>
      <c r="H133" s="20">
        <f t="shared" si="25"/>
        <v>566</v>
      </c>
      <c r="I133" s="21">
        <f>SUM(I110:I132)</f>
        <v>168</v>
      </c>
    </row>
    <row r="134">
      <c r="A134" s="22"/>
      <c r="B134" s="22"/>
      <c r="C134" s="22"/>
      <c r="D134" s="22"/>
      <c r="E134" s="22"/>
      <c r="F134" s="23" t="s">
        <v>34</v>
      </c>
      <c r="G134" s="4"/>
      <c r="H134" s="24"/>
      <c r="I134" s="25"/>
    </row>
    <row r="136">
      <c r="A136" s="1"/>
      <c r="B136" s="2" t="s">
        <v>67</v>
      </c>
      <c r="C136" s="3"/>
      <c r="D136" s="3"/>
      <c r="E136" s="3"/>
      <c r="F136" s="3"/>
      <c r="G136" s="3"/>
      <c r="H136" s="3"/>
      <c r="I136" s="4"/>
    </row>
    <row r="137">
      <c r="A137" s="5" t="s">
        <v>1</v>
      </c>
      <c r="B137" s="6" t="s">
        <v>2</v>
      </c>
      <c r="C137" s="7" t="s">
        <v>3</v>
      </c>
      <c r="D137" s="8" t="s">
        <v>4</v>
      </c>
      <c r="E137" s="5" t="s">
        <v>5</v>
      </c>
      <c r="F137" s="5" t="s">
        <v>6</v>
      </c>
      <c r="G137" s="5" t="s">
        <v>7</v>
      </c>
      <c r="H137" s="9" t="s">
        <v>8</v>
      </c>
      <c r="I137" s="10" t="s">
        <v>9</v>
      </c>
    </row>
    <row r="138">
      <c r="A138" s="11" t="s">
        <v>10</v>
      </c>
      <c r="B138" s="12">
        <f t="shared" ref="B138:B159" si="26">H111</f>
        <v>44</v>
      </c>
      <c r="C138" s="11"/>
      <c r="D138" s="11"/>
      <c r="E138" s="13">
        <v>6.0</v>
      </c>
      <c r="F138" s="13">
        <v>6.0</v>
      </c>
      <c r="G138" s="12">
        <f t="shared" ref="G138:G159" si="27">E138-F138</f>
        <v>0</v>
      </c>
      <c r="H138" s="12">
        <f t="shared" ref="H138:H159" si="28">B138-C138+D138-G138</f>
        <v>44</v>
      </c>
      <c r="I138" s="14">
        <f t="shared" ref="I138:I159" si="29">G138*6</f>
        <v>0</v>
      </c>
    </row>
    <row r="139">
      <c r="A139" s="11" t="s">
        <v>11</v>
      </c>
      <c r="B139" s="12">
        <f t="shared" si="26"/>
        <v>37</v>
      </c>
      <c r="C139" s="17"/>
      <c r="D139" s="11"/>
      <c r="E139" s="13">
        <v>5.0</v>
      </c>
      <c r="F139" s="13">
        <v>5.0</v>
      </c>
      <c r="G139" s="12">
        <f t="shared" si="27"/>
        <v>0</v>
      </c>
      <c r="H139" s="12">
        <f t="shared" si="28"/>
        <v>37</v>
      </c>
      <c r="I139" s="14">
        <f t="shared" si="29"/>
        <v>0</v>
      </c>
    </row>
    <row r="140">
      <c r="A140" s="11" t="s">
        <v>12</v>
      </c>
      <c r="B140" s="12">
        <f t="shared" si="26"/>
        <v>33</v>
      </c>
      <c r="C140" s="11"/>
      <c r="D140" s="11"/>
      <c r="E140" s="13">
        <v>4.0</v>
      </c>
      <c r="F140" s="13">
        <v>3.0</v>
      </c>
      <c r="G140" s="12">
        <f t="shared" si="27"/>
        <v>1</v>
      </c>
      <c r="H140" s="12">
        <f t="shared" si="28"/>
        <v>32</v>
      </c>
      <c r="I140" s="14">
        <f t="shared" si="29"/>
        <v>6</v>
      </c>
    </row>
    <row r="141">
      <c r="A141" s="11" t="s">
        <v>13</v>
      </c>
      <c r="B141" s="12">
        <f t="shared" si="26"/>
        <v>26</v>
      </c>
      <c r="C141" s="13"/>
      <c r="D141" s="11"/>
      <c r="E141" s="13">
        <v>6.0</v>
      </c>
      <c r="F141" s="13">
        <v>5.0</v>
      </c>
      <c r="G141" s="12">
        <f t="shared" si="27"/>
        <v>1</v>
      </c>
      <c r="H141" s="12">
        <f t="shared" si="28"/>
        <v>25</v>
      </c>
      <c r="I141" s="14">
        <f t="shared" si="29"/>
        <v>6</v>
      </c>
    </row>
    <row r="142">
      <c r="A142" s="11" t="s">
        <v>14</v>
      </c>
      <c r="B142" s="12">
        <f t="shared" si="26"/>
        <v>20</v>
      </c>
      <c r="C142" s="11"/>
      <c r="D142" s="11"/>
      <c r="E142" s="13">
        <v>4.0</v>
      </c>
      <c r="F142" s="13">
        <v>3.0</v>
      </c>
      <c r="G142" s="12">
        <f t="shared" si="27"/>
        <v>1</v>
      </c>
      <c r="H142" s="12">
        <f t="shared" si="28"/>
        <v>19</v>
      </c>
      <c r="I142" s="14">
        <f t="shared" si="29"/>
        <v>6</v>
      </c>
    </row>
    <row r="143">
      <c r="A143" s="11" t="s">
        <v>15</v>
      </c>
      <c r="B143" s="12">
        <f t="shared" si="26"/>
        <v>39</v>
      </c>
      <c r="C143" s="11"/>
      <c r="D143" s="11"/>
      <c r="E143" s="13">
        <v>6.0</v>
      </c>
      <c r="F143" s="13">
        <v>4.0</v>
      </c>
      <c r="G143" s="12">
        <f t="shared" si="27"/>
        <v>2</v>
      </c>
      <c r="H143" s="12">
        <f t="shared" si="28"/>
        <v>37</v>
      </c>
      <c r="I143" s="14">
        <f t="shared" si="29"/>
        <v>12</v>
      </c>
    </row>
    <row r="144">
      <c r="A144" s="11" t="s">
        <v>16</v>
      </c>
      <c r="B144" s="12">
        <f t="shared" si="26"/>
        <v>22</v>
      </c>
      <c r="C144" s="11"/>
      <c r="D144" s="11"/>
      <c r="E144" s="13">
        <v>4.0</v>
      </c>
      <c r="F144" s="13">
        <v>3.0</v>
      </c>
      <c r="G144" s="12">
        <f t="shared" si="27"/>
        <v>1</v>
      </c>
      <c r="H144" s="12">
        <f t="shared" si="28"/>
        <v>21</v>
      </c>
      <c r="I144" s="14">
        <f t="shared" si="29"/>
        <v>6</v>
      </c>
    </row>
    <row r="145">
      <c r="A145" s="11" t="s">
        <v>17</v>
      </c>
      <c r="B145" s="12">
        <f t="shared" si="26"/>
        <v>24</v>
      </c>
      <c r="C145" s="11"/>
      <c r="D145" s="11"/>
      <c r="E145" s="13">
        <v>4.0</v>
      </c>
      <c r="F145" s="13">
        <v>4.0</v>
      </c>
      <c r="G145" s="12">
        <f t="shared" si="27"/>
        <v>0</v>
      </c>
      <c r="H145" s="12">
        <f t="shared" si="28"/>
        <v>24</v>
      </c>
      <c r="I145" s="14">
        <f t="shared" si="29"/>
        <v>0</v>
      </c>
    </row>
    <row r="146">
      <c r="A146" s="11" t="s">
        <v>18</v>
      </c>
      <c r="B146" s="12">
        <f t="shared" si="26"/>
        <v>19</v>
      </c>
      <c r="C146" s="11"/>
      <c r="D146" s="11"/>
      <c r="E146" s="13">
        <v>4.0</v>
      </c>
      <c r="F146" s="13">
        <v>4.0</v>
      </c>
      <c r="G146" s="12">
        <f t="shared" si="27"/>
        <v>0</v>
      </c>
      <c r="H146" s="12">
        <f t="shared" si="28"/>
        <v>19</v>
      </c>
      <c r="I146" s="14">
        <f t="shared" si="29"/>
        <v>0</v>
      </c>
    </row>
    <row r="147">
      <c r="A147" s="11" t="s">
        <v>19</v>
      </c>
      <c r="B147" s="12">
        <f t="shared" si="26"/>
        <v>34</v>
      </c>
      <c r="C147" s="11"/>
      <c r="D147" s="11"/>
      <c r="E147" s="13">
        <v>4.0</v>
      </c>
      <c r="F147" s="13">
        <v>3.0</v>
      </c>
      <c r="G147" s="12">
        <f t="shared" si="27"/>
        <v>1</v>
      </c>
      <c r="H147" s="12">
        <f t="shared" si="28"/>
        <v>33</v>
      </c>
      <c r="I147" s="14">
        <f t="shared" si="29"/>
        <v>6</v>
      </c>
    </row>
    <row r="148">
      <c r="A148" s="11" t="s">
        <v>20</v>
      </c>
      <c r="B148" s="12">
        <f t="shared" si="26"/>
        <v>32</v>
      </c>
      <c r="C148" s="11"/>
      <c r="D148" s="11"/>
      <c r="E148" s="13">
        <v>5.0</v>
      </c>
      <c r="F148" s="13">
        <v>3.0</v>
      </c>
      <c r="G148" s="12">
        <f t="shared" si="27"/>
        <v>2</v>
      </c>
      <c r="H148" s="12">
        <f t="shared" si="28"/>
        <v>30</v>
      </c>
      <c r="I148" s="14">
        <f t="shared" si="29"/>
        <v>12</v>
      </c>
    </row>
    <row r="149">
      <c r="A149" s="11" t="s">
        <v>21</v>
      </c>
      <c r="B149" s="12">
        <f t="shared" si="26"/>
        <v>9</v>
      </c>
      <c r="C149" s="11"/>
      <c r="D149" s="11"/>
      <c r="E149" s="13">
        <v>2.0</v>
      </c>
      <c r="F149" s="13">
        <v>2.0</v>
      </c>
      <c r="G149" s="12">
        <f t="shared" si="27"/>
        <v>0</v>
      </c>
      <c r="H149" s="12">
        <f t="shared" si="28"/>
        <v>9</v>
      </c>
      <c r="I149" s="14">
        <f t="shared" si="29"/>
        <v>0</v>
      </c>
    </row>
    <row r="150">
      <c r="A150" s="11" t="s">
        <v>22</v>
      </c>
      <c r="B150" s="12">
        <f t="shared" si="26"/>
        <v>35</v>
      </c>
      <c r="C150" s="11"/>
      <c r="D150" s="11"/>
      <c r="E150" s="13">
        <v>4.0</v>
      </c>
      <c r="F150" s="13">
        <v>2.0</v>
      </c>
      <c r="G150" s="12">
        <f t="shared" si="27"/>
        <v>2</v>
      </c>
      <c r="H150" s="12">
        <f t="shared" si="28"/>
        <v>33</v>
      </c>
      <c r="I150" s="14">
        <f t="shared" si="29"/>
        <v>12</v>
      </c>
    </row>
    <row r="151">
      <c r="A151" s="11" t="s">
        <v>23</v>
      </c>
      <c r="B151" s="12">
        <f t="shared" si="26"/>
        <v>18</v>
      </c>
      <c r="C151" s="17"/>
      <c r="D151" s="11"/>
      <c r="E151" s="13">
        <v>6.0</v>
      </c>
      <c r="F151" s="13">
        <v>3.0</v>
      </c>
      <c r="G151" s="12">
        <f t="shared" si="27"/>
        <v>3</v>
      </c>
      <c r="H151" s="12">
        <f t="shared" si="28"/>
        <v>15</v>
      </c>
      <c r="I151" s="14">
        <f t="shared" si="29"/>
        <v>18</v>
      </c>
    </row>
    <row r="152">
      <c r="A152" s="11" t="s">
        <v>24</v>
      </c>
      <c r="B152" s="12">
        <f t="shared" si="26"/>
        <v>23</v>
      </c>
      <c r="C152" s="13">
        <v>1.0</v>
      </c>
      <c r="D152" s="11"/>
      <c r="E152" s="13">
        <v>3.0</v>
      </c>
      <c r="F152" s="13">
        <v>3.0</v>
      </c>
      <c r="G152" s="12">
        <f t="shared" si="27"/>
        <v>0</v>
      </c>
      <c r="H152" s="12">
        <f t="shared" si="28"/>
        <v>22</v>
      </c>
      <c r="I152" s="14">
        <f t="shared" si="29"/>
        <v>0</v>
      </c>
    </row>
    <row r="153">
      <c r="A153" s="11" t="s">
        <v>25</v>
      </c>
      <c r="B153" s="12">
        <f t="shared" si="26"/>
        <v>30</v>
      </c>
      <c r="C153" s="11"/>
      <c r="D153" s="11"/>
      <c r="E153" s="13">
        <v>10.0</v>
      </c>
      <c r="F153" s="13">
        <v>7.0</v>
      </c>
      <c r="G153" s="12">
        <f t="shared" si="27"/>
        <v>3</v>
      </c>
      <c r="H153" s="12">
        <f t="shared" si="28"/>
        <v>27</v>
      </c>
      <c r="I153" s="14">
        <f t="shared" si="29"/>
        <v>18</v>
      </c>
    </row>
    <row r="154">
      <c r="A154" s="11" t="s">
        <v>26</v>
      </c>
      <c r="B154" s="12">
        <f t="shared" si="26"/>
        <v>7</v>
      </c>
      <c r="C154" s="11"/>
      <c r="D154" s="11"/>
      <c r="E154" s="13">
        <v>4.0</v>
      </c>
      <c r="F154" s="13">
        <v>4.0</v>
      </c>
      <c r="G154" s="12">
        <f t="shared" si="27"/>
        <v>0</v>
      </c>
      <c r="H154" s="12">
        <f t="shared" si="28"/>
        <v>7</v>
      </c>
      <c r="I154" s="14">
        <f t="shared" si="29"/>
        <v>0</v>
      </c>
    </row>
    <row r="155">
      <c r="A155" s="11" t="s">
        <v>27</v>
      </c>
      <c r="B155" s="12">
        <f t="shared" si="26"/>
        <v>30</v>
      </c>
      <c r="C155" s="11"/>
      <c r="D155" s="11"/>
      <c r="E155" s="13">
        <v>3.0</v>
      </c>
      <c r="F155" s="13">
        <v>3.0</v>
      </c>
      <c r="G155" s="12">
        <f t="shared" si="27"/>
        <v>0</v>
      </c>
      <c r="H155" s="12">
        <f t="shared" si="28"/>
        <v>30</v>
      </c>
      <c r="I155" s="14">
        <f t="shared" si="29"/>
        <v>0</v>
      </c>
    </row>
    <row r="156">
      <c r="A156" s="11" t="s">
        <v>28</v>
      </c>
      <c r="B156" s="12">
        <f t="shared" si="26"/>
        <v>38</v>
      </c>
      <c r="C156" s="11"/>
      <c r="D156" s="11"/>
      <c r="E156" s="13">
        <v>8.0</v>
      </c>
      <c r="F156" s="13">
        <v>6.0</v>
      </c>
      <c r="G156" s="12">
        <f t="shared" si="27"/>
        <v>2</v>
      </c>
      <c r="H156" s="12">
        <f t="shared" si="28"/>
        <v>36</v>
      </c>
      <c r="I156" s="14">
        <f t="shared" si="29"/>
        <v>12</v>
      </c>
    </row>
    <row r="157">
      <c r="A157" s="11" t="s">
        <v>30</v>
      </c>
      <c r="B157" s="12">
        <f t="shared" si="26"/>
        <v>23</v>
      </c>
      <c r="C157" s="13">
        <v>1.0</v>
      </c>
      <c r="D157" s="11"/>
      <c r="E157" s="13">
        <v>3.0</v>
      </c>
      <c r="F157" s="13">
        <v>2.0</v>
      </c>
      <c r="G157" s="12">
        <f t="shared" si="27"/>
        <v>1</v>
      </c>
      <c r="H157" s="12">
        <f t="shared" si="28"/>
        <v>21</v>
      </c>
      <c r="I157" s="14">
        <f t="shared" si="29"/>
        <v>6</v>
      </c>
    </row>
    <row r="158">
      <c r="A158" s="18" t="s">
        <v>31</v>
      </c>
      <c r="B158" s="12">
        <f t="shared" si="26"/>
        <v>18</v>
      </c>
      <c r="C158" s="11"/>
      <c r="D158" s="11"/>
      <c r="E158" s="13">
        <v>2.0</v>
      </c>
      <c r="F158" s="13">
        <v>2.0</v>
      </c>
      <c r="G158" s="12">
        <f t="shared" si="27"/>
        <v>0</v>
      </c>
      <c r="H158" s="12">
        <f t="shared" si="28"/>
        <v>18</v>
      </c>
      <c r="I158" s="14">
        <f t="shared" si="29"/>
        <v>0</v>
      </c>
    </row>
    <row r="159">
      <c r="A159" s="18" t="s">
        <v>32</v>
      </c>
      <c r="B159" s="12">
        <f t="shared" si="26"/>
        <v>5</v>
      </c>
      <c r="C159" s="11"/>
      <c r="D159" s="11"/>
      <c r="E159" s="13">
        <v>2.0</v>
      </c>
      <c r="F159" s="13">
        <v>2.0</v>
      </c>
      <c r="G159" s="12">
        <f t="shared" si="27"/>
        <v>0</v>
      </c>
      <c r="H159" s="12">
        <f t="shared" si="28"/>
        <v>5</v>
      </c>
      <c r="I159" s="14">
        <f t="shared" si="29"/>
        <v>0</v>
      </c>
    </row>
    <row r="160">
      <c r="A160" s="19" t="s">
        <v>33</v>
      </c>
      <c r="B160" s="20">
        <f>SUM(B138:B159)</f>
        <v>566</v>
      </c>
      <c r="C160" s="19"/>
      <c r="D160" s="19"/>
      <c r="E160" s="20">
        <f t="shared" ref="E160:G160" si="30">SUM(E137:E159)</f>
        <v>99</v>
      </c>
      <c r="F160" s="20">
        <f t="shared" si="30"/>
        <v>79</v>
      </c>
      <c r="G160" s="20">
        <f t="shared" si="30"/>
        <v>20</v>
      </c>
      <c r="H160" s="20">
        <f>SUM(H138:H159)</f>
        <v>544</v>
      </c>
      <c r="I160" s="21">
        <f>SUM(I137:I159)</f>
        <v>120</v>
      </c>
    </row>
    <row r="161">
      <c r="A161" s="22"/>
      <c r="B161" s="22"/>
      <c r="C161" s="22"/>
      <c r="D161" s="22"/>
      <c r="E161" s="22"/>
      <c r="F161" s="23" t="s">
        <v>34</v>
      </c>
      <c r="G161" s="4"/>
      <c r="H161" s="24"/>
      <c r="I161" s="25"/>
    </row>
    <row r="163">
      <c r="A163" s="1"/>
      <c r="B163" s="2" t="s">
        <v>68</v>
      </c>
      <c r="C163" s="3"/>
      <c r="D163" s="3"/>
      <c r="E163" s="3"/>
      <c r="F163" s="3"/>
      <c r="G163" s="3"/>
      <c r="H163" s="3"/>
      <c r="I163" s="4"/>
    </row>
    <row r="164">
      <c r="A164" s="5" t="s">
        <v>1</v>
      </c>
      <c r="B164" s="6" t="s">
        <v>2</v>
      </c>
      <c r="C164" s="7" t="s">
        <v>3</v>
      </c>
      <c r="D164" s="8" t="s">
        <v>4</v>
      </c>
      <c r="E164" s="5" t="s">
        <v>5</v>
      </c>
      <c r="F164" s="5" t="s">
        <v>6</v>
      </c>
      <c r="G164" s="5" t="s">
        <v>7</v>
      </c>
      <c r="H164" s="9" t="s">
        <v>8</v>
      </c>
      <c r="I164" s="10" t="s">
        <v>9</v>
      </c>
    </row>
    <row r="165">
      <c r="A165" s="11" t="s">
        <v>10</v>
      </c>
      <c r="B165" s="12">
        <f t="shared" ref="B165:B186" si="31">H138</f>
        <v>44</v>
      </c>
      <c r="C165" s="11"/>
      <c r="D165" s="11"/>
      <c r="E165" s="13">
        <v>6.0</v>
      </c>
      <c r="F165" s="13">
        <v>0.0</v>
      </c>
      <c r="G165" s="12">
        <f t="shared" ref="G165:G186" si="32">E165-F165</f>
        <v>6</v>
      </c>
      <c r="H165" s="12">
        <f t="shared" ref="H165:H186" si="33">B165-C165+D165-G165</f>
        <v>38</v>
      </c>
      <c r="I165" s="14">
        <f t="shared" ref="I165:I186" si="34">G165*6</f>
        <v>36</v>
      </c>
    </row>
    <row r="166">
      <c r="A166" s="11" t="s">
        <v>11</v>
      </c>
      <c r="B166" s="12">
        <f t="shared" si="31"/>
        <v>37</v>
      </c>
      <c r="C166" s="17"/>
      <c r="D166" s="11"/>
      <c r="E166" s="13">
        <v>4.0</v>
      </c>
      <c r="F166" s="13">
        <v>2.0</v>
      </c>
      <c r="G166" s="12">
        <f t="shared" si="32"/>
        <v>2</v>
      </c>
      <c r="H166" s="12">
        <f t="shared" si="33"/>
        <v>35</v>
      </c>
      <c r="I166" s="14">
        <f t="shared" si="34"/>
        <v>12</v>
      </c>
    </row>
    <row r="167">
      <c r="A167" s="11" t="s">
        <v>12</v>
      </c>
      <c r="B167" s="12">
        <f t="shared" si="31"/>
        <v>32</v>
      </c>
      <c r="C167" s="11"/>
      <c r="D167" s="11"/>
      <c r="E167" s="13">
        <v>4.0</v>
      </c>
      <c r="F167" s="13">
        <v>1.0</v>
      </c>
      <c r="G167" s="12">
        <f t="shared" si="32"/>
        <v>3</v>
      </c>
      <c r="H167" s="12">
        <f t="shared" si="33"/>
        <v>29</v>
      </c>
      <c r="I167" s="14">
        <f t="shared" si="34"/>
        <v>18</v>
      </c>
    </row>
    <row r="168">
      <c r="A168" s="11" t="s">
        <v>13</v>
      </c>
      <c r="B168" s="12">
        <f t="shared" si="31"/>
        <v>25</v>
      </c>
      <c r="C168" s="13"/>
      <c r="D168" s="11"/>
      <c r="E168" s="13">
        <v>6.0</v>
      </c>
      <c r="F168" s="13">
        <v>1.0</v>
      </c>
      <c r="G168" s="12">
        <f t="shared" si="32"/>
        <v>5</v>
      </c>
      <c r="H168" s="12">
        <f t="shared" si="33"/>
        <v>20</v>
      </c>
      <c r="I168" s="14">
        <f t="shared" si="34"/>
        <v>30</v>
      </c>
    </row>
    <row r="169">
      <c r="A169" s="11" t="s">
        <v>14</v>
      </c>
      <c r="B169" s="12">
        <f t="shared" si="31"/>
        <v>19</v>
      </c>
      <c r="C169" s="11"/>
      <c r="D169" s="11"/>
      <c r="E169" s="13">
        <v>4.0</v>
      </c>
      <c r="F169" s="13">
        <v>0.0</v>
      </c>
      <c r="G169" s="12">
        <f t="shared" si="32"/>
        <v>4</v>
      </c>
      <c r="H169" s="12">
        <f t="shared" si="33"/>
        <v>15</v>
      </c>
      <c r="I169" s="14">
        <f t="shared" si="34"/>
        <v>24</v>
      </c>
    </row>
    <row r="170">
      <c r="A170" s="11" t="s">
        <v>15</v>
      </c>
      <c r="B170" s="12">
        <f t="shared" si="31"/>
        <v>37</v>
      </c>
      <c r="C170" s="11"/>
      <c r="D170" s="11"/>
      <c r="E170" s="13">
        <v>7.0</v>
      </c>
      <c r="F170" s="13">
        <v>1.0</v>
      </c>
      <c r="G170" s="12">
        <f t="shared" si="32"/>
        <v>6</v>
      </c>
      <c r="H170" s="12">
        <f t="shared" si="33"/>
        <v>31</v>
      </c>
      <c r="I170" s="14">
        <f t="shared" si="34"/>
        <v>36</v>
      </c>
    </row>
    <row r="171">
      <c r="A171" s="11" t="s">
        <v>16</v>
      </c>
      <c r="B171" s="12">
        <f t="shared" si="31"/>
        <v>21</v>
      </c>
      <c r="C171" s="11"/>
      <c r="D171" s="11"/>
      <c r="E171" s="13">
        <v>4.0</v>
      </c>
      <c r="F171" s="13">
        <v>4.0</v>
      </c>
      <c r="G171" s="12">
        <f t="shared" si="32"/>
        <v>0</v>
      </c>
      <c r="H171" s="12">
        <f t="shared" si="33"/>
        <v>21</v>
      </c>
      <c r="I171" s="14">
        <f t="shared" si="34"/>
        <v>0</v>
      </c>
    </row>
    <row r="172">
      <c r="A172" s="11" t="s">
        <v>17</v>
      </c>
      <c r="B172" s="12">
        <f t="shared" si="31"/>
        <v>24</v>
      </c>
      <c r="C172" s="11"/>
      <c r="D172" s="11"/>
      <c r="E172" s="13">
        <v>4.0</v>
      </c>
      <c r="F172" s="13">
        <v>3.0</v>
      </c>
      <c r="G172" s="12">
        <f t="shared" si="32"/>
        <v>1</v>
      </c>
      <c r="H172" s="12">
        <f t="shared" si="33"/>
        <v>23</v>
      </c>
      <c r="I172" s="14">
        <f t="shared" si="34"/>
        <v>6</v>
      </c>
    </row>
    <row r="173">
      <c r="A173" s="11" t="s">
        <v>18</v>
      </c>
      <c r="B173" s="12">
        <f t="shared" si="31"/>
        <v>19</v>
      </c>
      <c r="C173" s="11"/>
      <c r="D173" s="11"/>
      <c r="E173" s="13">
        <v>4.0</v>
      </c>
      <c r="F173" s="13">
        <v>0.0</v>
      </c>
      <c r="G173" s="12">
        <f t="shared" si="32"/>
        <v>4</v>
      </c>
      <c r="H173" s="12">
        <f t="shared" si="33"/>
        <v>15</v>
      </c>
      <c r="I173" s="14">
        <f t="shared" si="34"/>
        <v>24</v>
      </c>
    </row>
    <row r="174">
      <c r="A174" s="11" t="s">
        <v>19</v>
      </c>
      <c r="B174" s="12">
        <f t="shared" si="31"/>
        <v>33</v>
      </c>
      <c r="C174" s="11"/>
      <c r="D174" s="11"/>
      <c r="E174" s="13">
        <v>4.0</v>
      </c>
      <c r="F174" s="13">
        <v>0.0</v>
      </c>
      <c r="G174" s="12">
        <f t="shared" si="32"/>
        <v>4</v>
      </c>
      <c r="H174" s="12">
        <f t="shared" si="33"/>
        <v>29</v>
      </c>
      <c r="I174" s="14">
        <f t="shared" si="34"/>
        <v>24</v>
      </c>
    </row>
    <row r="175">
      <c r="A175" s="11" t="s">
        <v>20</v>
      </c>
      <c r="B175" s="12">
        <f t="shared" si="31"/>
        <v>30</v>
      </c>
      <c r="C175" s="11"/>
      <c r="D175" s="11"/>
      <c r="E175" s="13">
        <v>7.0</v>
      </c>
      <c r="F175" s="13">
        <v>5.0</v>
      </c>
      <c r="G175" s="12">
        <f t="shared" si="32"/>
        <v>2</v>
      </c>
      <c r="H175" s="12">
        <f t="shared" si="33"/>
        <v>28</v>
      </c>
      <c r="I175" s="14">
        <f t="shared" si="34"/>
        <v>12</v>
      </c>
    </row>
    <row r="176">
      <c r="A176" s="11" t="s">
        <v>21</v>
      </c>
      <c r="B176" s="12">
        <f t="shared" si="31"/>
        <v>9</v>
      </c>
      <c r="C176" s="11"/>
      <c r="D176" s="11"/>
      <c r="E176" s="13">
        <v>2.0</v>
      </c>
      <c r="F176" s="13">
        <v>2.0</v>
      </c>
      <c r="G176" s="12">
        <f t="shared" si="32"/>
        <v>0</v>
      </c>
      <c r="H176" s="12">
        <f t="shared" si="33"/>
        <v>9</v>
      </c>
      <c r="I176" s="14">
        <f t="shared" si="34"/>
        <v>0</v>
      </c>
    </row>
    <row r="177">
      <c r="A177" s="11" t="s">
        <v>22</v>
      </c>
      <c r="B177" s="12">
        <f t="shared" si="31"/>
        <v>33</v>
      </c>
      <c r="C177" s="11"/>
      <c r="D177" s="11"/>
      <c r="E177" s="13">
        <v>4.0</v>
      </c>
      <c r="F177" s="13">
        <v>3.0</v>
      </c>
      <c r="G177" s="12">
        <f t="shared" si="32"/>
        <v>1</v>
      </c>
      <c r="H177" s="12">
        <f t="shared" si="33"/>
        <v>32</v>
      </c>
      <c r="I177" s="14">
        <f t="shared" si="34"/>
        <v>6</v>
      </c>
    </row>
    <row r="178">
      <c r="A178" s="11" t="s">
        <v>23</v>
      </c>
      <c r="B178" s="12">
        <f t="shared" si="31"/>
        <v>15</v>
      </c>
      <c r="C178" s="15">
        <v>1.0</v>
      </c>
      <c r="D178" s="13">
        <v>30.0</v>
      </c>
      <c r="E178" s="13">
        <v>6.0</v>
      </c>
      <c r="F178" s="13">
        <v>2.0</v>
      </c>
      <c r="G178" s="12">
        <f t="shared" si="32"/>
        <v>4</v>
      </c>
      <c r="H178" s="12">
        <f t="shared" si="33"/>
        <v>40</v>
      </c>
      <c r="I178" s="14">
        <f t="shared" si="34"/>
        <v>24</v>
      </c>
    </row>
    <row r="179">
      <c r="A179" s="11" t="s">
        <v>24</v>
      </c>
      <c r="B179" s="12">
        <f t="shared" si="31"/>
        <v>22</v>
      </c>
      <c r="C179" s="11"/>
      <c r="D179" s="11"/>
      <c r="E179" s="13">
        <v>3.0</v>
      </c>
      <c r="F179" s="13">
        <v>2.0</v>
      </c>
      <c r="G179" s="12">
        <f t="shared" si="32"/>
        <v>1</v>
      </c>
      <c r="H179" s="12">
        <f t="shared" si="33"/>
        <v>21</v>
      </c>
      <c r="I179" s="14">
        <f t="shared" si="34"/>
        <v>6</v>
      </c>
    </row>
    <row r="180">
      <c r="A180" s="11" t="s">
        <v>25</v>
      </c>
      <c r="B180" s="12">
        <f t="shared" si="31"/>
        <v>27</v>
      </c>
      <c r="C180" s="11"/>
      <c r="D180" s="11"/>
      <c r="E180" s="13">
        <v>8.0</v>
      </c>
      <c r="F180" s="13">
        <v>1.0</v>
      </c>
      <c r="G180" s="12">
        <f t="shared" si="32"/>
        <v>7</v>
      </c>
      <c r="H180" s="12">
        <f t="shared" si="33"/>
        <v>20</v>
      </c>
      <c r="I180" s="14">
        <f t="shared" si="34"/>
        <v>42</v>
      </c>
    </row>
    <row r="181">
      <c r="A181" s="11" t="s">
        <v>26</v>
      </c>
      <c r="B181" s="12">
        <f t="shared" si="31"/>
        <v>7</v>
      </c>
      <c r="C181" s="11"/>
      <c r="D181" s="13">
        <v>31.0</v>
      </c>
      <c r="E181" s="13">
        <v>4.0</v>
      </c>
      <c r="F181" s="13">
        <v>0.0</v>
      </c>
      <c r="G181" s="12">
        <f t="shared" si="32"/>
        <v>4</v>
      </c>
      <c r="H181" s="12">
        <f t="shared" si="33"/>
        <v>34</v>
      </c>
      <c r="I181" s="14">
        <f t="shared" si="34"/>
        <v>24</v>
      </c>
    </row>
    <row r="182">
      <c r="A182" s="11" t="s">
        <v>27</v>
      </c>
      <c r="B182" s="12">
        <f t="shared" si="31"/>
        <v>30</v>
      </c>
      <c r="C182" s="11"/>
      <c r="D182" s="11"/>
      <c r="E182" s="13">
        <v>3.0</v>
      </c>
      <c r="F182" s="13">
        <v>3.0</v>
      </c>
      <c r="G182" s="12">
        <f t="shared" si="32"/>
        <v>0</v>
      </c>
      <c r="H182" s="12">
        <f t="shared" si="33"/>
        <v>30</v>
      </c>
      <c r="I182" s="14">
        <f t="shared" si="34"/>
        <v>0</v>
      </c>
    </row>
    <row r="183">
      <c r="A183" s="11" t="s">
        <v>28</v>
      </c>
      <c r="B183" s="12">
        <f t="shared" si="31"/>
        <v>36</v>
      </c>
      <c r="C183" s="11"/>
      <c r="D183" s="11"/>
      <c r="E183" s="13">
        <v>6.0</v>
      </c>
      <c r="F183" s="13">
        <v>2.0</v>
      </c>
      <c r="G183" s="12">
        <f t="shared" si="32"/>
        <v>4</v>
      </c>
      <c r="H183" s="12">
        <f t="shared" si="33"/>
        <v>32</v>
      </c>
      <c r="I183" s="14">
        <f t="shared" si="34"/>
        <v>24</v>
      </c>
    </row>
    <row r="184">
      <c r="A184" s="11" t="s">
        <v>30</v>
      </c>
      <c r="B184" s="12">
        <f t="shared" si="31"/>
        <v>21</v>
      </c>
      <c r="C184" s="11"/>
      <c r="D184" s="11"/>
      <c r="E184" s="13">
        <v>3.0</v>
      </c>
      <c r="F184" s="13">
        <v>2.0</v>
      </c>
      <c r="G184" s="12">
        <f t="shared" si="32"/>
        <v>1</v>
      </c>
      <c r="H184" s="12">
        <f t="shared" si="33"/>
        <v>20</v>
      </c>
      <c r="I184" s="14">
        <f t="shared" si="34"/>
        <v>6</v>
      </c>
    </row>
    <row r="185">
      <c r="A185" s="18" t="s">
        <v>31</v>
      </c>
      <c r="B185" s="12">
        <f t="shared" si="31"/>
        <v>18</v>
      </c>
      <c r="C185" s="13">
        <v>1.0</v>
      </c>
      <c r="D185" s="11"/>
      <c r="E185" s="13">
        <v>2.0</v>
      </c>
      <c r="F185" s="13">
        <v>1.0</v>
      </c>
      <c r="G185" s="12">
        <f t="shared" si="32"/>
        <v>1</v>
      </c>
      <c r="H185" s="12">
        <f t="shared" si="33"/>
        <v>16</v>
      </c>
      <c r="I185" s="14">
        <f t="shared" si="34"/>
        <v>6</v>
      </c>
    </row>
    <row r="186">
      <c r="A186" s="18" t="s">
        <v>32</v>
      </c>
      <c r="B186" s="12">
        <f t="shared" si="31"/>
        <v>5</v>
      </c>
      <c r="C186" s="11"/>
      <c r="D186" s="11"/>
      <c r="E186" s="13">
        <v>2.0</v>
      </c>
      <c r="F186" s="13">
        <v>1.0</v>
      </c>
      <c r="G186" s="12">
        <f t="shared" si="32"/>
        <v>1</v>
      </c>
      <c r="H186" s="12">
        <f t="shared" si="33"/>
        <v>4</v>
      </c>
      <c r="I186" s="14">
        <f t="shared" si="34"/>
        <v>6</v>
      </c>
    </row>
    <row r="187">
      <c r="A187" s="19" t="s">
        <v>33</v>
      </c>
      <c r="B187" s="20">
        <f>SUM(B165:B186)</f>
        <v>544</v>
      </c>
      <c r="C187" s="19"/>
      <c r="D187" s="19"/>
      <c r="E187" s="20">
        <f t="shared" ref="E187:G187" si="35">SUM(E164:E186)</f>
        <v>97</v>
      </c>
      <c r="F187" s="20">
        <f t="shared" si="35"/>
        <v>36</v>
      </c>
      <c r="G187" s="20">
        <f t="shared" si="35"/>
        <v>61</v>
      </c>
      <c r="H187" s="20">
        <f>SUM(H165:H186)</f>
        <v>542</v>
      </c>
      <c r="I187" s="21">
        <f>SUM(I164:I186)</f>
        <v>366</v>
      </c>
    </row>
    <row r="188">
      <c r="A188" s="22"/>
      <c r="B188" s="22"/>
      <c r="C188" s="22"/>
      <c r="D188" s="22"/>
      <c r="E188" s="22"/>
      <c r="F188" s="23" t="s">
        <v>34</v>
      </c>
      <c r="G188" s="4"/>
      <c r="H188" s="24"/>
      <c r="I188" s="25"/>
    </row>
    <row r="190">
      <c r="A190" s="1"/>
      <c r="B190" s="2" t="s">
        <v>69</v>
      </c>
      <c r="C190" s="3"/>
      <c r="D190" s="3"/>
      <c r="E190" s="3"/>
      <c r="F190" s="3"/>
      <c r="G190" s="3"/>
      <c r="H190" s="3"/>
      <c r="I190" s="4"/>
    </row>
    <row r="191">
      <c r="A191" s="5" t="s">
        <v>1</v>
      </c>
      <c r="B191" s="6" t="s">
        <v>2</v>
      </c>
      <c r="C191" s="7" t="s">
        <v>3</v>
      </c>
      <c r="D191" s="8" t="s">
        <v>4</v>
      </c>
      <c r="E191" s="5" t="s">
        <v>5</v>
      </c>
      <c r="F191" s="5" t="s">
        <v>6</v>
      </c>
      <c r="G191" s="5" t="s">
        <v>7</v>
      </c>
      <c r="H191" s="9" t="s">
        <v>8</v>
      </c>
      <c r="I191" s="10" t="s">
        <v>9</v>
      </c>
    </row>
    <row r="192">
      <c r="A192" s="11" t="s">
        <v>10</v>
      </c>
      <c r="B192" s="12">
        <f t="shared" ref="B192:B213" si="36">H165</f>
        <v>38</v>
      </c>
      <c r="C192" s="11"/>
      <c r="D192" s="11"/>
      <c r="E192" s="13">
        <v>6.0</v>
      </c>
      <c r="F192" s="13">
        <v>1.0</v>
      </c>
      <c r="G192" s="12">
        <f t="shared" ref="G192:G213" si="37">E192-F192</f>
        <v>5</v>
      </c>
      <c r="H192" s="12">
        <f t="shared" ref="H192:H213" si="38">B192-C192+D192-G192</f>
        <v>33</v>
      </c>
      <c r="I192" s="14">
        <f t="shared" ref="I192:I213" si="39">G192*6</f>
        <v>30</v>
      </c>
    </row>
    <row r="193">
      <c r="A193" s="11" t="s">
        <v>11</v>
      </c>
      <c r="B193" s="12">
        <f t="shared" si="36"/>
        <v>35</v>
      </c>
      <c r="C193" s="17"/>
      <c r="D193" s="11"/>
      <c r="E193" s="13">
        <v>5.0</v>
      </c>
      <c r="F193" s="13">
        <v>5.0</v>
      </c>
      <c r="G193" s="12">
        <f t="shared" si="37"/>
        <v>0</v>
      </c>
      <c r="H193" s="12">
        <f t="shared" si="38"/>
        <v>35</v>
      </c>
      <c r="I193" s="14">
        <f t="shared" si="39"/>
        <v>0</v>
      </c>
    </row>
    <row r="194">
      <c r="A194" s="11" t="s">
        <v>12</v>
      </c>
      <c r="B194" s="12">
        <f t="shared" si="36"/>
        <v>29</v>
      </c>
      <c r="C194" s="11"/>
      <c r="D194" s="11"/>
      <c r="E194" s="13">
        <v>5.0</v>
      </c>
      <c r="F194" s="13">
        <v>4.0</v>
      </c>
      <c r="G194" s="12">
        <f t="shared" si="37"/>
        <v>1</v>
      </c>
      <c r="H194" s="12">
        <f t="shared" si="38"/>
        <v>28</v>
      </c>
      <c r="I194" s="14">
        <f t="shared" si="39"/>
        <v>6</v>
      </c>
    </row>
    <row r="195">
      <c r="A195" s="11" t="s">
        <v>13</v>
      </c>
      <c r="B195" s="12">
        <f t="shared" si="36"/>
        <v>20</v>
      </c>
      <c r="C195" s="13"/>
      <c r="D195" s="11"/>
      <c r="E195" s="13">
        <v>6.0</v>
      </c>
      <c r="F195" s="13">
        <v>1.0</v>
      </c>
      <c r="G195" s="12">
        <f t="shared" si="37"/>
        <v>5</v>
      </c>
      <c r="H195" s="12">
        <f t="shared" si="38"/>
        <v>15</v>
      </c>
      <c r="I195" s="14">
        <f t="shared" si="39"/>
        <v>30</v>
      </c>
    </row>
    <row r="196">
      <c r="A196" s="11" t="s">
        <v>14</v>
      </c>
      <c r="B196" s="12">
        <f t="shared" si="36"/>
        <v>15</v>
      </c>
      <c r="C196" s="11"/>
      <c r="D196" s="11"/>
      <c r="E196" s="13">
        <v>4.0</v>
      </c>
      <c r="F196" s="13">
        <v>2.0</v>
      </c>
      <c r="G196" s="12">
        <f t="shared" si="37"/>
        <v>2</v>
      </c>
      <c r="H196" s="12">
        <f t="shared" si="38"/>
        <v>13</v>
      </c>
      <c r="I196" s="14">
        <f t="shared" si="39"/>
        <v>12</v>
      </c>
    </row>
    <row r="197">
      <c r="A197" s="11" t="s">
        <v>15</v>
      </c>
      <c r="B197" s="12">
        <f t="shared" si="36"/>
        <v>31</v>
      </c>
      <c r="C197" s="11"/>
      <c r="D197" s="11"/>
      <c r="E197" s="13">
        <v>6.0</v>
      </c>
      <c r="F197" s="13">
        <v>1.0</v>
      </c>
      <c r="G197" s="12">
        <f t="shared" si="37"/>
        <v>5</v>
      </c>
      <c r="H197" s="12">
        <f t="shared" si="38"/>
        <v>26</v>
      </c>
      <c r="I197" s="14">
        <f t="shared" si="39"/>
        <v>30</v>
      </c>
    </row>
    <row r="198">
      <c r="A198" s="11" t="s">
        <v>16</v>
      </c>
      <c r="B198" s="12">
        <f t="shared" si="36"/>
        <v>21</v>
      </c>
      <c r="C198" s="11"/>
      <c r="D198" s="11"/>
      <c r="E198" s="13">
        <v>4.0</v>
      </c>
      <c r="F198" s="13">
        <v>3.0</v>
      </c>
      <c r="G198" s="12">
        <f t="shared" si="37"/>
        <v>1</v>
      </c>
      <c r="H198" s="12">
        <f t="shared" si="38"/>
        <v>20</v>
      </c>
      <c r="I198" s="14">
        <f t="shared" si="39"/>
        <v>6</v>
      </c>
    </row>
    <row r="199">
      <c r="A199" s="11" t="s">
        <v>17</v>
      </c>
      <c r="B199" s="12">
        <f t="shared" si="36"/>
        <v>23</v>
      </c>
      <c r="C199" s="11"/>
      <c r="D199" s="11"/>
      <c r="E199" s="13">
        <v>4.0</v>
      </c>
      <c r="F199" s="13">
        <v>2.0</v>
      </c>
      <c r="G199" s="12">
        <f t="shared" si="37"/>
        <v>2</v>
      </c>
      <c r="H199" s="12">
        <f t="shared" si="38"/>
        <v>21</v>
      </c>
      <c r="I199" s="14">
        <f t="shared" si="39"/>
        <v>12</v>
      </c>
    </row>
    <row r="200">
      <c r="A200" s="11" t="s">
        <v>18</v>
      </c>
      <c r="B200" s="12">
        <f t="shared" si="36"/>
        <v>15</v>
      </c>
      <c r="C200" s="11"/>
      <c r="D200" s="11"/>
      <c r="E200" s="13">
        <v>4.0</v>
      </c>
      <c r="F200" s="13">
        <v>3.0</v>
      </c>
      <c r="G200" s="12">
        <f t="shared" si="37"/>
        <v>1</v>
      </c>
      <c r="H200" s="12">
        <f t="shared" si="38"/>
        <v>14</v>
      </c>
      <c r="I200" s="14">
        <f t="shared" si="39"/>
        <v>6</v>
      </c>
    </row>
    <row r="201">
      <c r="A201" s="11" t="s">
        <v>19</v>
      </c>
      <c r="B201" s="12">
        <f t="shared" si="36"/>
        <v>29</v>
      </c>
      <c r="C201" s="11"/>
      <c r="D201" s="11"/>
      <c r="E201" s="13">
        <v>5.0</v>
      </c>
      <c r="F201" s="13">
        <v>4.0</v>
      </c>
      <c r="G201" s="12">
        <f t="shared" si="37"/>
        <v>1</v>
      </c>
      <c r="H201" s="12">
        <f t="shared" si="38"/>
        <v>28</v>
      </c>
      <c r="I201" s="14">
        <f t="shared" si="39"/>
        <v>6</v>
      </c>
    </row>
    <row r="202">
      <c r="A202" s="11" t="s">
        <v>20</v>
      </c>
      <c r="B202" s="12">
        <f t="shared" si="36"/>
        <v>28</v>
      </c>
      <c r="C202" s="11"/>
      <c r="D202" s="11"/>
      <c r="E202" s="13">
        <v>5.0</v>
      </c>
      <c r="F202" s="13">
        <v>3.0</v>
      </c>
      <c r="G202" s="12">
        <f t="shared" si="37"/>
        <v>2</v>
      </c>
      <c r="H202" s="12">
        <f t="shared" si="38"/>
        <v>26</v>
      </c>
      <c r="I202" s="14">
        <f t="shared" si="39"/>
        <v>12</v>
      </c>
    </row>
    <row r="203">
      <c r="A203" s="11" t="s">
        <v>21</v>
      </c>
      <c r="B203" s="12">
        <f t="shared" si="36"/>
        <v>9</v>
      </c>
      <c r="C203" s="11"/>
      <c r="D203" s="11"/>
      <c r="E203" s="13">
        <v>2.0</v>
      </c>
      <c r="F203" s="13">
        <v>1.0</v>
      </c>
      <c r="G203" s="12">
        <f t="shared" si="37"/>
        <v>1</v>
      </c>
      <c r="H203" s="12">
        <f t="shared" si="38"/>
        <v>8</v>
      </c>
      <c r="I203" s="14">
        <f t="shared" si="39"/>
        <v>6</v>
      </c>
    </row>
    <row r="204">
      <c r="A204" s="11" t="s">
        <v>22</v>
      </c>
      <c r="B204" s="12">
        <f t="shared" si="36"/>
        <v>32</v>
      </c>
      <c r="C204" s="11"/>
      <c r="D204" s="11"/>
      <c r="E204" s="13">
        <v>5.0</v>
      </c>
      <c r="F204" s="13">
        <v>2.0</v>
      </c>
      <c r="G204" s="12">
        <f t="shared" si="37"/>
        <v>3</v>
      </c>
      <c r="H204" s="12">
        <f t="shared" si="38"/>
        <v>29</v>
      </c>
      <c r="I204" s="14">
        <f t="shared" si="39"/>
        <v>18</v>
      </c>
    </row>
    <row r="205">
      <c r="A205" s="11" t="s">
        <v>23</v>
      </c>
      <c r="B205" s="12">
        <f t="shared" si="36"/>
        <v>40</v>
      </c>
      <c r="C205" s="17"/>
      <c r="D205" s="11"/>
      <c r="E205" s="13">
        <v>6.0</v>
      </c>
      <c r="F205" s="13">
        <v>5.0</v>
      </c>
      <c r="G205" s="12">
        <f t="shared" si="37"/>
        <v>1</v>
      </c>
      <c r="H205" s="12">
        <f t="shared" si="38"/>
        <v>39</v>
      </c>
      <c r="I205" s="14">
        <f t="shared" si="39"/>
        <v>6</v>
      </c>
    </row>
    <row r="206">
      <c r="A206" s="11" t="s">
        <v>24</v>
      </c>
      <c r="B206" s="12">
        <f t="shared" si="36"/>
        <v>21</v>
      </c>
      <c r="C206" s="11"/>
      <c r="D206" s="11"/>
      <c r="E206" s="13">
        <v>3.0</v>
      </c>
      <c r="F206" s="13">
        <v>3.0</v>
      </c>
      <c r="G206" s="12">
        <f t="shared" si="37"/>
        <v>0</v>
      </c>
      <c r="H206" s="12">
        <f t="shared" si="38"/>
        <v>21</v>
      </c>
      <c r="I206" s="14">
        <f t="shared" si="39"/>
        <v>0</v>
      </c>
    </row>
    <row r="207">
      <c r="A207" s="11" t="s">
        <v>25</v>
      </c>
      <c r="B207" s="12">
        <f t="shared" si="36"/>
        <v>20</v>
      </c>
      <c r="C207" s="11"/>
      <c r="D207" s="11"/>
      <c r="E207" s="13">
        <v>10.0</v>
      </c>
      <c r="F207" s="13">
        <v>7.0</v>
      </c>
      <c r="G207" s="12">
        <f t="shared" si="37"/>
        <v>3</v>
      </c>
      <c r="H207" s="12">
        <f t="shared" si="38"/>
        <v>17</v>
      </c>
      <c r="I207" s="14">
        <f t="shared" si="39"/>
        <v>18</v>
      </c>
    </row>
    <row r="208">
      <c r="A208" s="11" t="s">
        <v>26</v>
      </c>
      <c r="B208" s="12">
        <f t="shared" si="36"/>
        <v>34</v>
      </c>
      <c r="C208" s="11"/>
      <c r="D208" s="11"/>
      <c r="E208" s="13">
        <v>5.0</v>
      </c>
      <c r="F208" s="13">
        <v>3.0</v>
      </c>
      <c r="G208" s="12">
        <f t="shared" si="37"/>
        <v>2</v>
      </c>
      <c r="H208" s="12">
        <f t="shared" si="38"/>
        <v>32</v>
      </c>
      <c r="I208" s="14">
        <f t="shared" si="39"/>
        <v>12</v>
      </c>
    </row>
    <row r="209">
      <c r="A209" s="11" t="s">
        <v>27</v>
      </c>
      <c r="B209" s="12">
        <f t="shared" si="36"/>
        <v>30</v>
      </c>
      <c r="C209" s="11"/>
      <c r="D209" s="11"/>
      <c r="E209" s="13">
        <v>3.0</v>
      </c>
      <c r="F209" s="13">
        <v>3.0</v>
      </c>
      <c r="G209" s="12">
        <f t="shared" si="37"/>
        <v>0</v>
      </c>
      <c r="H209" s="12">
        <f t="shared" si="38"/>
        <v>30</v>
      </c>
      <c r="I209" s="14">
        <f t="shared" si="39"/>
        <v>0</v>
      </c>
    </row>
    <row r="210">
      <c r="A210" s="11" t="s">
        <v>28</v>
      </c>
      <c r="B210" s="12">
        <f t="shared" si="36"/>
        <v>32</v>
      </c>
      <c r="C210" s="11"/>
      <c r="D210" s="11"/>
      <c r="E210" s="13">
        <v>8.0</v>
      </c>
      <c r="F210" s="13">
        <v>2.0</v>
      </c>
      <c r="G210" s="12">
        <f t="shared" si="37"/>
        <v>6</v>
      </c>
      <c r="H210" s="12">
        <f t="shared" si="38"/>
        <v>26</v>
      </c>
      <c r="I210" s="14">
        <f t="shared" si="39"/>
        <v>36</v>
      </c>
    </row>
    <row r="211">
      <c r="A211" s="11" t="s">
        <v>30</v>
      </c>
      <c r="B211" s="12">
        <f t="shared" si="36"/>
        <v>20</v>
      </c>
      <c r="C211" s="11"/>
      <c r="D211" s="11"/>
      <c r="E211" s="13">
        <v>3.0</v>
      </c>
      <c r="F211" s="13">
        <v>3.0</v>
      </c>
      <c r="G211" s="12">
        <f t="shared" si="37"/>
        <v>0</v>
      </c>
      <c r="H211" s="12">
        <f t="shared" si="38"/>
        <v>20</v>
      </c>
      <c r="I211" s="14">
        <f t="shared" si="39"/>
        <v>0</v>
      </c>
    </row>
    <row r="212">
      <c r="A212" s="18" t="s">
        <v>31</v>
      </c>
      <c r="B212" s="12">
        <f t="shared" si="36"/>
        <v>16</v>
      </c>
      <c r="C212" s="11"/>
      <c r="D212" s="11"/>
      <c r="E212" s="13">
        <v>2.0</v>
      </c>
      <c r="F212" s="13">
        <v>2.0</v>
      </c>
      <c r="G212" s="12">
        <f t="shared" si="37"/>
        <v>0</v>
      </c>
      <c r="H212" s="12">
        <f t="shared" si="38"/>
        <v>16</v>
      </c>
      <c r="I212" s="14">
        <f t="shared" si="39"/>
        <v>0</v>
      </c>
    </row>
    <row r="213">
      <c r="A213" s="18" t="s">
        <v>32</v>
      </c>
      <c r="B213" s="12">
        <f t="shared" si="36"/>
        <v>4</v>
      </c>
      <c r="C213" s="11"/>
      <c r="D213" s="11"/>
      <c r="E213" s="13">
        <v>2.0</v>
      </c>
      <c r="F213" s="13">
        <v>2.0</v>
      </c>
      <c r="G213" s="12">
        <f t="shared" si="37"/>
        <v>0</v>
      </c>
      <c r="H213" s="12">
        <f t="shared" si="38"/>
        <v>4</v>
      </c>
      <c r="I213" s="14">
        <f t="shared" si="39"/>
        <v>0</v>
      </c>
    </row>
    <row r="214">
      <c r="A214" s="19" t="s">
        <v>33</v>
      </c>
      <c r="B214" s="20">
        <f>SUM(B192:B213)</f>
        <v>542</v>
      </c>
      <c r="C214" s="19"/>
      <c r="D214" s="19"/>
      <c r="E214" s="20">
        <f t="shared" ref="E214:G214" si="40">SUM(E191:E213)</f>
        <v>103</v>
      </c>
      <c r="F214" s="20">
        <f t="shared" si="40"/>
        <v>62</v>
      </c>
      <c r="G214" s="20">
        <f t="shared" si="40"/>
        <v>41</v>
      </c>
      <c r="H214" s="20">
        <f>SUM(H192:H213)</f>
        <v>501</v>
      </c>
      <c r="I214" s="21">
        <f>SUM(I191:I213)</f>
        <v>246</v>
      </c>
    </row>
    <row r="215">
      <c r="A215" s="22"/>
      <c r="B215" s="22"/>
      <c r="C215" s="22"/>
      <c r="D215" s="22"/>
      <c r="E215" s="22"/>
      <c r="F215" s="23" t="s">
        <v>34</v>
      </c>
      <c r="G215" s="4"/>
      <c r="H215" s="24"/>
      <c r="I215" s="25"/>
    </row>
    <row r="217">
      <c r="A217" s="1"/>
      <c r="B217" s="2" t="s">
        <v>70</v>
      </c>
      <c r="C217" s="3"/>
      <c r="D217" s="3"/>
      <c r="E217" s="3"/>
      <c r="F217" s="3"/>
      <c r="G217" s="3"/>
      <c r="H217" s="3"/>
      <c r="I217" s="4"/>
    </row>
    <row r="218">
      <c r="A218" s="5" t="s">
        <v>1</v>
      </c>
      <c r="B218" s="6" t="s">
        <v>2</v>
      </c>
      <c r="C218" s="7" t="s">
        <v>3</v>
      </c>
      <c r="D218" s="8" t="s">
        <v>4</v>
      </c>
      <c r="E218" s="5" t="s">
        <v>5</v>
      </c>
      <c r="F218" s="5" t="s">
        <v>6</v>
      </c>
      <c r="G218" s="5" t="s">
        <v>7</v>
      </c>
      <c r="H218" s="9" t="s">
        <v>8</v>
      </c>
      <c r="I218" s="10" t="s">
        <v>9</v>
      </c>
    </row>
    <row r="219">
      <c r="A219" s="11" t="s">
        <v>10</v>
      </c>
      <c r="B219" s="12">
        <f t="shared" ref="B219:B240" si="41">H192</f>
        <v>33</v>
      </c>
      <c r="C219" s="11"/>
      <c r="D219" s="11"/>
      <c r="E219" s="13">
        <v>8.0</v>
      </c>
      <c r="F219" s="13">
        <v>8.0</v>
      </c>
      <c r="G219" s="12">
        <f t="shared" ref="G219:G240" si="42">E219-F219</f>
        <v>0</v>
      </c>
      <c r="H219" s="12">
        <f t="shared" ref="H219:H240" si="43">B219-C219+D219-G219</f>
        <v>33</v>
      </c>
      <c r="I219" s="14">
        <f t="shared" ref="I219:I240" si="44">G219*6</f>
        <v>0</v>
      </c>
    </row>
    <row r="220">
      <c r="A220" s="11" t="s">
        <v>11</v>
      </c>
      <c r="B220" s="12">
        <f t="shared" si="41"/>
        <v>35</v>
      </c>
      <c r="C220" s="17"/>
      <c r="D220" s="11"/>
      <c r="E220" s="13">
        <v>5.0</v>
      </c>
      <c r="F220" s="13">
        <v>4.0</v>
      </c>
      <c r="G220" s="12">
        <f t="shared" si="42"/>
        <v>1</v>
      </c>
      <c r="H220" s="12">
        <f t="shared" si="43"/>
        <v>34</v>
      </c>
      <c r="I220" s="14">
        <f t="shared" si="44"/>
        <v>6</v>
      </c>
    </row>
    <row r="221">
      <c r="A221" s="11" t="s">
        <v>12</v>
      </c>
      <c r="B221" s="12">
        <f t="shared" si="41"/>
        <v>28</v>
      </c>
      <c r="C221" s="11"/>
      <c r="D221" s="11"/>
      <c r="E221" s="13">
        <v>5.0</v>
      </c>
      <c r="F221" s="13">
        <v>4.0</v>
      </c>
      <c r="G221" s="12">
        <f t="shared" si="42"/>
        <v>1</v>
      </c>
      <c r="H221" s="12">
        <f t="shared" si="43"/>
        <v>27</v>
      </c>
      <c r="I221" s="14">
        <f t="shared" si="44"/>
        <v>6</v>
      </c>
    </row>
    <row r="222">
      <c r="A222" s="11" t="s">
        <v>13</v>
      </c>
      <c r="B222" s="12">
        <f t="shared" si="41"/>
        <v>15</v>
      </c>
      <c r="C222" s="13"/>
      <c r="D222" s="11"/>
      <c r="E222" s="13">
        <v>6.0</v>
      </c>
      <c r="F222" s="13">
        <v>0.0</v>
      </c>
      <c r="G222" s="12">
        <f t="shared" si="42"/>
        <v>6</v>
      </c>
      <c r="H222" s="12">
        <f t="shared" si="43"/>
        <v>9</v>
      </c>
      <c r="I222" s="14">
        <f t="shared" si="44"/>
        <v>36</v>
      </c>
    </row>
    <row r="223">
      <c r="A223" s="11" t="s">
        <v>14</v>
      </c>
      <c r="B223" s="12">
        <f t="shared" si="41"/>
        <v>13</v>
      </c>
      <c r="C223" s="11"/>
      <c r="D223" s="11"/>
      <c r="E223" s="13">
        <v>4.0</v>
      </c>
      <c r="F223" s="13">
        <v>4.0</v>
      </c>
      <c r="G223" s="12">
        <f t="shared" si="42"/>
        <v>0</v>
      </c>
      <c r="H223" s="12">
        <f t="shared" si="43"/>
        <v>13</v>
      </c>
      <c r="I223" s="14">
        <f t="shared" si="44"/>
        <v>0</v>
      </c>
    </row>
    <row r="224">
      <c r="A224" s="11" t="s">
        <v>15</v>
      </c>
      <c r="B224" s="12">
        <f t="shared" si="41"/>
        <v>26</v>
      </c>
      <c r="C224" s="11"/>
      <c r="D224" s="11"/>
      <c r="E224" s="13">
        <v>7.0</v>
      </c>
      <c r="F224" s="13">
        <v>7.0</v>
      </c>
      <c r="G224" s="12">
        <f t="shared" si="42"/>
        <v>0</v>
      </c>
      <c r="H224" s="12">
        <f t="shared" si="43"/>
        <v>26</v>
      </c>
      <c r="I224" s="14">
        <f t="shared" si="44"/>
        <v>0</v>
      </c>
    </row>
    <row r="225">
      <c r="A225" s="11" t="s">
        <v>16</v>
      </c>
      <c r="B225" s="12">
        <f t="shared" si="41"/>
        <v>20</v>
      </c>
      <c r="C225" s="11"/>
      <c r="D225" s="11"/>
      <c r="E225" s="13">
        <v>4.0</v>
      </c>
      <c r="F225" s="13">
        <v>2.0</v>
      </c>
      <c r="G225" s="12">
        <f t="shared" si="42"/>
        <v>2</v>
      </c>
      <c r="H225" s="12">
        <f t="shared" si="43"/>
        <v>18</v>
      </c>
      <c r="I225" s="14">
        <f t="shared" si="44"/>
        <v>12</v>
      </c>
    </row>
    <row r="226">
      <c r="A226" s="11" t="s">
        <v>17</v>
      </c>
      <c r="B226" s="12">
        <f t="shared" si="41"/>
        <v>21</v>
      </c>
      <c r="C226" s="11"/>
      <c r="D226" s="11"/>
      <c r="E226" s="13">
        <v>4.0</v>
      </c>
      <c r="F226" s="13">
        <v>4.0</v>
      </c>
      <c r="G226" s="12">
        <f t="shared" si="42"/>
        <v>0</v>
      </c>
      <c r="H226" s="12">
        <f t="shared" si="43"/>
        <v>21</v>
      </c>
      <c r="I226" s="14">
        <f t="shared" si="44"/>
        <v>0</v>
      </c>
    </row>
    <row r="227">
      <c r="A227" s="11" t="s">
        <v>18</v>
      </c>
      <c r="B227" s="12">
        <f t="shared" si="41"/>
        <v>14</v>
      </c>
      <c r="C227" s="11"/>
      <c r="D227" s="11"/>
      <c r="E227" s="13">
        <v>5.0</v>
      </c>
      <c r="F227" s="13">
        <v>3.0</v>
      </c>
      <c r="G227" s="12">
        <f t="shared" si="42"/>
        <v>2</v>
      </c>
      <c r="H227" s="12">
        <f t="shared" si="43"/>
        <v>12</v>
      </c>
      <c r="I227" s="14">
        <f t="shared" si="44"/>
        <v>12</v>
      </c>
    </row>
    <row r="228">
      <c r="A228" s="11" t="s">
        <v>19</v>
      </c>
      <c r="B228" s="12">
        <f t="shared" si="41"/>
        <v>28</v>
      </c>
      <c r="C228" s="11"/>
      <c r="D228" s="11"/>
      <c r="E228" s="13">
        <v>5.0</v>
      </c>
      <c r="F228" s="13">
        <v>3.0</v>
      </c>
      <c r="G228" s="12">
        <f t="shared" si="42"/>
        <v>2</v>
      </c>
      <c r="H228" s="12">
        <f t="shared" si="43"/>
        <v>26</v>
      </c>
      <c r="I228" s="14">
        <f t="shared" si="44"/>
        <v>12</v>
      </c>
    </row>
    <row r="229">
      <c r="A229" s="11" t="s">
        <v>20</v>
      </c>
      <c r="B229" s="12">
        <f t="shared" si="41"/>
        <v>26</v>
      </c>
      <c r="C229" s="11"/>
      <c r="D229" s="11"/>
      <c r="E229" s="13">
        <v>5.0</v>
      </c>
      <c r="F229" s="13">
        <v>4.0</v>
      </c>
      <c r="G229" s="12">
        <f t="shared" si="42"/>
        <v>1</v>
      </c>
      <c r="H229" s="12">
        <f t="shared" si="43"/>
        <v>25</v>
      </c>
      <c r="I229" s="14">
        <f t="shared" si="44"/>
        <v>6</v>
      </c>
    </row>
    <row r="230">
      <c r="A230" s="11" t="s">
        <v>21</v>
      </c>
      <c r="B230" s="12">
        <f t="shared" si="41"/>
        <v>8</v>
      </c>
      <c r="C230" s="11"/>
      <c r="D230" s="11"/>
      <c r="E230" s="13">
        <v>2.0</v>
      </c>
      <c r="F230" s="13">
        <v>2.0</v>
      </c>
      <c r="G230" s="12">
        <f t="shared" si="42"/>
        <v>0</v>
      </c>
      <c r="H230" s="12">
        <f t="shared" si="43"/>
        <v>8</v>
      </c>
      <c r="I230" s="14">
        <f t="shared" si="44"/>
        <v>0</v>
      </c>
    </row>
    <row r="231">
      <c r="A231" s="11" t="s">
        <v>22</v>
      </c>
      <c r="B231" s="12">
        <f t="shared" si="41"/>
        <v>29</v>
      </c>
      <c r="C231" s="11"/>
      <c r="D231" s="11"/>
      <c r="E231" s="13">
        <v>4.0</v>
      </c>
      <c r="F231" s="13">
        <v>4.0</v>
      </c>
      <c r="G231" s="12">
        <f t="shared" si="42"/>
        <v>0</v>
      </c>
      <c r="H231" s="12">
        <f t="shared" si="43"/>
        <v>29</v>
      </c>
      <c r="I231" s="14">
        <f t="shared" si="44"/>
        <v>0</v>
      </c>
    </row>
    <row r="232">
      <c r="A232" s="11" t="s">
        <v>23</v>
      </c>
      <c r="B232" s="12">
        <f t="shared" si="41"/>
        <v>39</v>
      </c>
      <c r="C232" s="17"/>
      <c r="D232" s="11"/>
      <c r="E232" s="13">
        <v>6.0</v>
      </c>
      <c r="F232" s="13">
        <v>5.0</v>
      </c>
      <c r="G232" s="12">
        <f t="shared" si="42"/>
        <v>1</v>
      </c>
      <c r="H232" s="12">
        <f t="shared" si="43"/>
        <v>38</v>
      </c>
      <c r="I232" s="14">
        <f t="shared" si="44"/>
        <v>6</v>
      </c>
    </row>
    <row r="233">
      <c r="A233" s="11" t="s">
        <v>24</v>
      </c>
      <c r="B233" s="12">
        <f t="shared" si="41"/>
        <v>21</v>
      </c>
      <c r="C233" s="11"/>
      <c r="D233" s="11"/>
      <c r="E233" s="13">
        <v>3.0</v>
      </c>
      <c r="F233" s="13">
        <v>3.0</v>
      </c>
      <c r="G233" s="12">
        <f t="shared" si="42"/>
        <v>0</v>
      </c>
      <c r="H233" s="12">
        <f t="shared" si="43"/>
        <v>21</v>
      </c>
      <c r="I233" s="14">
        <f t="shared" si="44"/>
        <v>0</v>
      </c>
    </row>
    <row r="234">
      <c r="A234" s="11" t="s">
        <v>25</v>
      </c>
      <c r="B234" s="12">
        <f t="shared" si="41"/>
        <v>17</v>
      </c>
      <c r="C234" s="11"/>
      <c r="D234" s="11"/>
      <c r="E234" s="13">
        <v>10.0</v>
      </c>
      <c r="F234" s="13">
        <v>2.0</v>
      </c>
      <c r="G234" s="12">
        <f t="shared" si="42"/>
        <v>8</v>
      </c>
      <c r="H234" s="12">
        <f t="shared" si="43"/>
        <v>9</v>
      </c>
      <c r="I234" s="14">
        <f t="shared" si="44"/>
        <v>48</v>
      </c>
    </row>
    <row r="235">
      <c r="A235" s="11" t="s">
        <v>26</v>
      </c>
      <c r="B235" s="12">
        <f t="shared" si="41"/>
        <v>32</v>
      </c>
      <c r="C235" s="13">
        <v>1.0</v>
      </c>
      <c r="D235" s="11"/>
      <c r="E235" s="13">
        <v>5.0</v>
      </c>
      <c r="F235" s="13">
        <v>5.0</v>
      </c>
      <c r="G235" s="12">
        <f t="shared" si="42"/>
        <v>0</v>
      </c>
      <c r="H235" s="12">
        <f t="shared" si="43"/>
        <v>31</v>
      </c>
      <c r="I235" s="14">
        <f t="shared" si="44"/>
        <v>0</v>
      </c>
    </row>
    <row r="236">
      <c r="A236" s="11" t="s">
        <v>27</v>
      </c>
      <c r="B236" s="12">
        <f t="shared" si="41"/>
        <v>30</v>
      </c>
      <c r="C236" s="11"/>
      <c r="D236" s="11"/>
      <c r="E236" s="13">
        <v>3.0</v>
      </c>
      <c r="F236" s="13">
        <v>1.0</v>
      </c>
      <c r="G236" s="12">
        <f t="shared" si="42"/>
        <v>2</v>
      </c>
      <c r="H236" s="12">
        <f t="shared" si="43"/>
        <v>28</v>
      </c>
      <c r="I236" s="14">
        <f t="shared" si="44"/>
        <v>12</v>
      </c>
    </row>
    <row r="237">
      <c r="A237" s="11" t="s">
        <v>28</v>
      </c>
      <c r="B237" s="12">
        <f t="shared" si="41"/>
        <v>26</v>
      </c>
      <c r="C237" s="11"/>
      <c r="D237" s="11"/>
      <c r="E237" s="13">
        <v>8.0</v>
      </c>
      <c r="F237" s="13">
        <v>1.0</v>
      </c>
      <c r="G237" s="12">
        <f t="shared" si="42"/>
        <v>7</v>
      </c>
      <c r="H237" s="12">
        <f t="shared" si="43"/>
        <v>19</v>
      </c>
      <c r="I237" s="14">
        <f t="shared" si="44"/>
        <v>42</v>
      </c>
    </row>
    <row r="238">
      <c r="A238" s="11" t="s">
        <v>30</v>
      </c>
      <c r="B238" s="12">
        <f t="shared" si="41"/>
        <v>20</v>
      </c>
      <c r="C238" s="11"/>
      <c r="D238" s="11"/>
      <c r="E238" s="13">
        <v>3.0</v>
      </c>
      <c r="F238" s="13">
        <v>3.0</v>
      </c>
      <c r="G238" s="12">
        <f t="shared" si="42"/>
        <v>0</v>
      </c>
      <c r="H238" s="12">
        <f t="shared" si="43"/>
        <v>20</v>
      </c>
      <c r="I238" s="14">
        <f t="shared" si="44"/>
        <v>0</v>
      </c>
    </row>
    <row r="239">
      <c r="A239" s="18" t="s">
        <v>31</v>
      </c>
      <c r="B239" s="12">
        <f t="shared" si="41"/>
        <v>16</v>
      </c>
      <c r="C239" s="11"/>
      <c r="D239" s="11"/>
      <c r="E239" s="13">
        <v>2.0</v>
      </c>
      <c r="F239" s="13">
        <v>2.0</v>
      </c>
      <c r="G239" s="12">
        <f t="shared" si="42"/>
        <v>0</v>
      </c>
      <c r="H239" s="12">
        <f t="shared" si="43"/>
        <v>16</v>
      </c>
      <c r="I239" s="14">
        <f t="shared" si="44"/>
        <v>0</v>
      </c>
    </row>
    <row r="240">
      <c r="A240" s="18" t="s">
        <v>32</v>
      </c>
      <c r="B240" s="12">
        <f t="shared" si="41"/>
        <v>4</v>
      </c>
      <c r="C240" s="11"/>
      <c r="D240" s="11"/>
      <c r="E240" s="13">
        <v>2.0</v>
      </c>
      <c r="F240" s="13">
        <v>2.0</v>
      </c>
      <c r="G240" s="12">
        <f t="shared" si="42"/>
        <v>0</v>
      </c>
      <c r="H240" s="12">
        <f t="shared" si="43"/>
        <v>4</v>
      </c>
      <c r="I240" s="14">
        <f t="shared" si="44"/>
        <v>0</v>
      </c>
    </row>
    <row r="241">
      <c r="A241" s="19" t="s">
        <v>33</v>
      </c>
      <c r="B241" s="20">
        <f>SUM(B219:B240)</f>
        <v>501</v>
      </c>
      <c r="C241" s="19"/>
      <c r="D241" s="19"/>
      <c r="E241" s="20">
        <f t="shared" ref="E241:G241" si="45">SUM(E218:E240)</f>
        <v>106</v>
      </c>
      <c r="F241" s="20">
        <f t="shared" si="45"/>
        <v>73</v>
      </c>
      <c r="G241" s="20">
        <f t="shared" si="45"/>
        <v>33</v>
      </c>
      <c r="H241" s="20">
        <f>SUM(H219:H240)</f>
        <v>467</v>
      </c>
      <c r="I241" s="21">
        <f>SUM(I218:I240)</f>
        <v>198</v>
      </c>
    </row>
    <row r="242">
      <c r="A242" s="22"/>
      <c r="B242" s="22"/>
      <c r="C242" s="22"/>
      <c r="D242" s="22"/>
      <c r="E242" s="22"/>
      <c r="F242" s="23" t="s">
        <v>34</v>
      </c>
      <c r="G242" s="4"/>
      <c r="H242" s="24"/>
      <c r="I242" s="25"/>
    </row>
    <row r="244">
      <c r="A244" s="1"/>
      <c r="B244" s="2" t="s">
        <v>71</v>
      </c>
      <c r="C244" s="3"/>
      <c r="D244" s="3"/>
      <c r="E244" s="3"/>
      <c r="F244" s="3"/>
      <c r="G244" s="3"/>
      <c r="H244" s="3"/>
      <c r="I244" s="4"/>
    </row>
    <row r="245">
      <c r="A245" s="5" t="s">
        <v>1</v>
      </c>
      <c r="B245" s="9" t="s">
        <v>2</v>
      </c>
      <c r="C245" s="7" t="s">
        <v>3</v>
      </c>
      <c r="D245" s="8" t="s">
        <v>4</v>
      </c>
      <c r="E245" s="5" t="s">
        <v>5</v>
      </c>
      <c r="F245" s="5" t="s">
        <v>6</v>
      </c>
      <c r="G245" s="5" t="s">
        <v>7</v>
      </c>
      <c r="H245" s="9" t="s">
        <v>8</v>
      </c>
      <c r="I245" s="10" t="s">
        <v>9</v>
      </c>
    </row>
    <row r="246">
      <c r="A246" s="11" t="s">
        <v>10</v>
      </c>
      <c r="B246" s="12">
        <f t="shared" ref="B246:B267" si="46">H219</f>
        <v>33</v>
      </c>
      <c r="C246" s="11"/>
      <c r="D246" s="11"/>
      <c r="E246" s="13">
        <v>9.0</v>
      </c>
      <c r="F246" s="13">
        <v>6.0</v>
      </c>
      <c r="G246" s="12">
        <f t="shared" ref="G246:G267" si="47">E246-F246</f>
        <v>3</v>
      </c>
      <c r="H246" s="12">
        <f t="shared" ref="H246:H267" si="48">B246-C246+D246-G246</f>
        <v>30</v>
      </c>
      <c r="I246" s="14">
        <f t="shared" ref="I246:I267" si="49">G246*6</f>
        <v>18</v>
      </c>
    </row>
    <row r="247">
      <c r="A247" s="11" t="s">
        <v>11</v>
      </c>
      <c r="B247" s="12">
        <f t="shared" si="46"/>
        <v>34</v>
      </c>
      <c r="C247" s="17"/>
      <c r="D247" s="11"/>
      <c r="E247" s="13">
        <v>5.0</v>
      </c>
      <c r="F247" s="13">
        <v>5.0</v>
      </c>
      <c r="G247" s="12">
        <f t="shared" si="47"/>
        <v>0</v>
      </c>
      <c r="H247" s="12">
        <f t="shared" si="48"/>
        <v>34</v>
      </c>
      <c r="I247" s="14">
        <f t="shared" si="49"/>
        <v>0</v>
      </c>
    </row>
    <row r="248">
      <c r="A248" s="11" t="s">
        <v>12</v>
      </c>
      <c r="B248" s="12">
        <f t="shared" si="46"/>
        <v>27</v>
      </c>
      <c r="C248" s="11"/>
      <c r="D248" s="11"/>
      <c r="E248" s="13">
        <v>6.0</v>
      </c>
      <c r="F248" s="13">
        <v>5.0</v>
      </c>
      <c r="G248" s="12">
        <f t="shared" si="47"/>
        <v>1</v>
      </c>
      <c r="H248" s="12">
        <f t="shared" si="48"/>
        <v>26</v>
      </c>
      <c r="I248" s="14">
        <f t="shared" si="49"/>
        <v>6</v>
      </c>
    </row>
    <row r="249">
      <c r="A249" s="11" t="s">
        <v>13</v>
      </c>
      <c r="B249" s="12">
        <f t="shared" si="46"/>
        <v>9</v>
      </c>
      <c r="C249" s="13"/>
      <c r="D249" s="13">
        <v>30.0</v>
      </c>
      <c r="E249" s="13">
        <v>6.0</v>
      </c>
      <c r="F249" s="13">
        <v>3.0</v>
      </c>
      <c r="G249" s="12">
        <f t="shared" si="47"/>
        <v>3</v>
      </c>
      <c r="H249" s="12">
        <f t="shared" si="48"/>
        <v>36</v>
      </c>
      <c r="I249" s="14">
        <f t="shared" si="49"/>
        <v>18</v>
      </c>
    </row>
    <row r="250">
      <c r="A250" s="11" t="s">
        <v>14</v>
      </c>
      <c r="B250" s="12">
        <f t="shared" si="46"/>
        <v>13</v>
      </c>
      <c r="C250" s="11"/>
      <c r="D250" s="11"/>
      <c r="E250" s="13">
        <v>4.0</v>
      </c>
      <c r="F250" s="13">
        <v>2.0</v>
      </c>
      <c r="G250" s="12">
        <f t="shared" si="47"/>
        <v>2</v>
      </c>
      <c r="H250" s="12">
        <f t="shared" si="48"/>
        <v>11</v>
      </c>
      <c r="I250" s="14">
        <f t="shared" si="49"/>
        <v>12</v>
      </c>
    </row>
    <row r="251">
      <c r="A251" s="11" t="s">
        <v>15</v>
      </c>
      <c r="B251" s="12">
        <f t="shared" si="46"/>
        <v>26</v>
      </c>
      <c r="C251" s="11"/>
      <c r="D251" s="11"/>
      <c r="E251" s="13">
        <v>7.0</v>
      </c>
      <c r="F251" s="13">
        <v>7.0</v>
      </c>
      <c r="G251" s="12">
        <f t="shared" si="47"/>
        <v>0</v>
      </c>
      <c r="H251" s="12">
        <f t="shared" si="48"/>
        <v>26</v>
      </c>
      <c r="I251" s="14">
        <f t="shared" si="49"/>
        <v>0</v>
      </c>
    </row>
    <row r="252">
      <c r="A252" s="11" t="s">
        <v>16</v>
      </c>
      <c r="B252" s="12">
        <f t="shared" si="46"/>
        <v>18</v>
      </c>
      <c r="C252" s="11"/>
      <c r="D252" s="11"/>
      <c r="E252" s="13">
        <v>7.0</v>
      </c>
      <c r="F252" s="13">
        <v>4.0</v>
      </c>
      <c r="G252" s="12">
        <f t="shared" si="47"/>
        <v>3</v>
      </c>
      <c r="H252" s="12">
        <f t="shared" si="48"/>
        <v>15</v>
      </c>
      <c r="I252" s="14">
        <f t="shared" si="49"/>
        <v>18</v>
      </c>
    </row>
    <row r="253">
      <c r="A253" s="11" t="s">
        <v>17</v>
      </c>
      <c r="B253" s="12">
        <f t="shared" si="46"/>
        <v>21</v>
      </c>
      <c r="C253" s="11"/>
      <c r="D253" s="11"/>
      <c r="E253" s="13">
        <v>5.0</v>
      </c>
      <c r="F253" s="13">
        <v>4.0</v>
      </c>
      <c r="G253" s="12">
        <f t="shared" si="47"/>
        <v>1</v>
      </c>
      <c r="H253" s="12">
        <f t="shared" si="48"/>
        <v>20</v>
      </c>
      <c r="I253" s="14">
        <f t="shared" si="49"/>
        <v>6</v>
      </c>
    </row>
    <row r="254">
      <c r="A254" s="11" t="s">
        <v>18</v>
      </c>
      <c r="B254" s="12">
        <f t="shared" si="46"/>
        <v>12</v>
      </c>
      <c r="C254" s="11"/>
      <c r="D254" s="11"/>
      <c r="E254" s="13">
        <v>5.0</v>
      </c>
      <c r="F254" s="13">
        <v>0.0</v>
      </c>
      <c r="G254" s="12">
        <f t="shared" si="47"/>
        <v>5</v>
      </c>
      <c r="H254" s="12">
        <f t="shared" si="48"/>
        <v>7</v>
      </c>
      <c r="I254" s="14">
        <f t="shared" si="49"/>
        <v>30</v>
      </c>
    </row>
    <row r="255">
      <c r="A255" s="11" t="s">
        <v>19</v>
      </c>
      <c r="B255" s="12">
        <f t="shared" si="46"/>
        <v>26</v>
      </c>
      <c r="C255" s="11"/>
      <c r="D255" s="11"/>
      <c r="E255" s="13">
        <v>5.0</v>
      </c>
      <c r="F255" s="13">
        <v>2.0</v>
      </c>
      <c r="G255" s="12">
        <f t="shared" si="47"/>
        <v>3</v>
      </c>
      <c r="H255" s="12">
        <f t="shared" si="48"/>
        <v>23</v>
      </c>
      <c r="I255" s="14">
        <f t="shared" si="49"/>
        <v>18</v>
      </c>
    </row>
    <row r="256">
      <c r="A256" s="11" t="s">
        <v>20</v>
      </c>
      <c r="B256" s="12">
        <f t="shared" si="46"/>
        <v>25</v>
      </c>
      <c r="C256" s="11"/>
      <c r="D256" s="11"/>
      <c r="E256" s="13">
        <v>6.0</v>
      </c>
      <c r="F256" s="13">
        <v>4.0</v>
      </c>
      <c r="G256" s="12">
        <f t="shared" si="47"/>
        <v>2</v>
      </c>
      <c r="H256" s="12">
        <f t="shared" si="48"/>
        <v>23</v>
      </c>
      <c r="I256" s="14">
        <f t="shared" si="49"/>
        <v>12</v>
      </c>
    </row>
    <row r="257">
      <c r="A257" s="11" t="s">
        <v>21</v>
      </c>
      <c r="B257" s="12">
        <f t="shared" si="46"/>
        <v>8</v>
      </c>
      <c r="C257" s="11"/>
      <c r="D257" s="11"/>
      <c r="E257" s="13">
        <v>2.0</v>
      </c>
      <c r="F257" s="13">
        <v>2.0</v>
      </c>
      <c r="G257" s="12">
        <f t="shared" si="47"/>
        <v>0</v>
      </c>
      <c r="H257" s="12">
        <f t="shared" si="48"/>
        <v>8</v>
      </c>
      <c r="I257" s="14">
        <f t="shared" si="49"/>
        <v>0</v>
      </c>
    </row>
    <row r="258">
      <c r="A258" s="11" t="s">
        <v>22</v>
      </c>
      <c r="B258" s="12">
        <f t="shared" si="46"/>
        <v>29</v>
      </c>
      <c r="C258" s="11"/>
      <c r="D258" s="11"/>
      <c r="E258" s="13">
        <v>4.0</v>
      </c>
      <c r="F258" s="13">
        <v>4.0</v>
      </c>
      <c r="G258" s="12">
        <f t="shared" si="47"/>
        <v>0</v>
      </c>
      <c r="H258" s="12">
        <f t="shared" si="48"/>
        <v>29</v>
      </c>
      <c r="I258" s="14">
        <f t="shared" si="49"/>
        <v>0</v>
      </c>
    </row>
    <row r="259">
      <c r="A259" s="11" t="s">
        <v>23</v>
      </c>
      <c r="B259" s="12">
        <f t="shared" si="46"/>
        <v>38</v>
      </c>
      <c r="C259" s="17"/>
      <c r="D259" s="11"/>
      <c r="E259" s="13">
        <v>7.0</v>
      </c>
      <c r="F259" s="13">
        <v>3.0</v>
      </c>
      <c r="G259" s="12">
        <f t="shared" si="47"/>
        <v>4</v>
      </c>
      <c r="H259" s="12">
        <f t="shared" si="48"/>
        <v>34</v>
      </c>
      <c r="I259" s="14">
        <f t="shared" si="49"/>
        <v>24</v>
      </c>
    </row>
    <row r="260">
      <c r="A260" s="11" t="s">
        <v>24</v>
      </c>
      <c r="B260" s="12">
        <f t="shared" si="46"/>
        <v>21</v>
      </c>
      <c r="C260" s="11"/>
      <c r="D260" s="11"/>
      <c r="E260" s="13">
        <v>3.0</v>
      </c>
      <c r="F260" s="13">
        <v>3.0</v>
      </c>
      <c r="G260" s="12">
        <f t="shared" si="47"/>
        <v>0</v>
      </c>
      <c r="H260" s="12">
        <f t="shared" si="48"/>
        <v>21</v>
      </c>
      <c r="I260" s="14">
        <f t="shared" si="49"/>
        <v>0</v>
      </c>
    </row>
    <row r="261">
      <c r="A261" s="11" t="s">
        <v>25</v>
      </c>
      <c r="B261" s="12">
        <f t="shared" si="46"/>
        <v>9</v>
      </c>
      <c r="C261" s="11"/>
      <c r="D261" s="13">
        <v>32.0</v>
      </c>
      <c r="E261" s="13">
        <v>9.0</v>
      </c>
      <c r="F261" s="13">
        <v>5.0</v>
      </c>
      <c r="G261" s="12">
        <f t="shared" si="47"/>
        <v>4</v>
      </c>
      <c r="H261" s="12">
        <f t="shared" si="48"/>
        <v>37</v>
      </c>
      <c r="I261" s="14">
        <f t="shared" si="49"/>
        <v>24</v>
      </c>
    </row>
    <row r="262">
      <c r="A262" s="11" t="s">
        <v>26</v>
      </c>
      <c r="B262" s="12">
        <f t="shared" si="46"/>
        <v>31</v>
      </c>
      <c r="C262" s="11"/>
      <c r="D262" s="11"/>
      <c r="E262" s="13">
        <v>6.0</v>
      </c>
      <c r="F262" s="13">
        <v>4.0</v>
      </c>
      <c r="G262" s="12">
        <f t="shared" si="47"/>
        <v>2</v>
      </c>
      <c r="H262" s="12">
        <f t="shared" si="48"/>
        <v>29</v>
      </c>
      <c r="I262" s="14">
        <f t="shared" si="49"/>
        <v>12</v>
      </c>
    </row>
    <row r="263">
      <c r="A263" s="11" t="s">
        <v>27</v>
      </c>
      <c r="B263" s="12">
        <f t="shared" si="46"/>
        <v>28</v>
      </c>
      <c r="C263" s="11"/>
      <c r="D263" s="11"/>
      <c r="E263" s="13">
        <v>4.0</v>
      </c>
      <c r="F263" s="13">
        <v>4.0</v>
      </c>
      <c r="G263" s="12">
        <f t="shared" si="47"/>
        <v>0</v>
      </c>
      <c r="H263" s="12">
        <f t="shared" si="48"/>
        <v>28</v>
      </c>
      <c r="I263" s="14">
        <f t="shared" si="49"/>
        <v>0</v>
      </c>
    </row>
    <row r="264">
      <c r="A264" s="11" t="s">
        <v>28</v>
      </c>
      <c r="B264" s="12">
        <f t="shared" si="46"/>
        <v>19</v>
      </c>
      <c r="C264" s="11"/>
      <c r="D264" s="11"/>
      <c r="E264" s="13">
        <v>8.0</v>
      </c>
      <c r="F264" s="13">
        <v>4.0</v>
      </c>
      <c r="G264" s="12">
        <f t="shared" si="47"/>
        <v>4</v>
      </c>
      <c r="H264" s="12">
        <f t="shared" si="48"/>
        <v>15</v>
      </c>
      <c r="I264" s="14">
        <f t="shared" si="49"/>
        <v>24</v>
      </c>
    </row>
    <row r="265">
      <c r="A265" s="11" t="s">
        <v>30</v>
      </c>
      <c r="B265" s="12">
        <f t="shared" si="46"/>
        <v>20</v>
      </c>
      <c r="C265" s="11"/>
      <c r="D265" s="11"/>
      <c r="E265" s="13">
        <v>3.0</v>
      </c>
      <c r="F265" s="13">
        <v>2.0</v>
      </c>
      <c r="G265" s="12">
        <f t="shared" si="47"/>
        <v>1</v>
      </c>
      <c r="H265" s="12">
        <f t="shared" si="48"/>
        <v>19</v>
      </c>
      <c r="I265" s="14">
        <f t="shared" si="49"/>
        <v>6</v>
      </c>
    </row>
    <row r="266">
      <c r="A266" s="18" t="s">
        <v>31</v>
      </c>
      <c r="B266" s="12">
        <f t="shared" si="46"/>
        <v>16</v>
      </c>
      <c r="C266" s="11"/>
      <c r="D266" s="11"/>
      <c r="E266" s="13">
        <v>2.0</v>
      </c>
      <c r="F266" s="13">
        <v>1.0</v>
      </c>
      <c r="G266" s="12">
        <f t="shared" si="47"/>
        <v>1</v>
      </c>
      <c r="H266" s="12">
        <f t="shared" si="48"/>
        <v>15</v>
      </c>
      <c r="I266" s="14">
        <f t="shared" si="49"/>
        <v>6</v>
      </c>
    </row>
    <row r="267">
      <c r="A267" s="18" t="s">
        <v>32</v>
      </c>
      <c r="B267" s="12">
        <f t="shared" si="46"/>
        <v>4</v>
      </c>
      <c r="C267" s="11"/>
      <c r="D267" s="11"/>
      <c r="E267" s="13">
        <v>2.0</v>
      </c>
      <c r="F267" s="13">
        <v>1.0</v>
      </c>
      <c r="G267" s="12">
        <f t="shared" si="47"/>
        <v>1</v>
      </c>
      <c r="H267" s="12">
        <f t="shared" si="48"/>
        <v>3</v>
      </c>
      <c r="I267" s="14">
        <f t="shared" si="49"/>
        <v>6</v>
      </c>
    </row>
    <row r="268">
      <c r="A268" s="19" t="s">
        <v>33</v>
      </c>
      <c r="B268" s="20">
        <f>SUM(B246:B267)</f>
        <v>467</v>
      </c>
      <c r="C268" s="19"/>
      <c r="D268" s="19"/>
      <c r="E268" s="20">
        <f t="shared" ref="E268:G268" si="50">SUM(E245:E267)</f>
        <v>115</v>
      </c>
      <c r="F268" s="20">
        <f t="shared" si="50"/>
        <v>75</v>
      </c>
      <c r="G268" s="20">
        <f t="shared" si="50"/>
        <v>40</v>
      </c>
      <c r="H268" s="20">
        <f>SUM(H246:H267)</f>
        <v>489</v>
      </c>
      <c r="I268" s="21">
        <f>SUM(I245:I267)</f>
        <v>240</v>
      </c>
    </row>
    <row r="269">
      <c r="A269" s="22"/>
      <c r="B269" s="22"/>
      <c r="C269" s="22"/>
      <c r="D269" s="22"/>
      <c r="E269" s="22"/>
      <c r="F269" s="23" t="s">
        <v>34</v>
      </c>
      <c r="G269" s="4"/>
      <c r="H269" s="24"/>
      <c r="I269" s="25"/>
    </row>
    <row r="271">
      <c r="A271" s="1"/>
      <c r="B271" s="2" t="s">
        <v>72</v>
      </c>
      <c r="C271" s="3"/>
      <c r="D271" s="3"/>
      <c r="E271" s="3"/>
      <c r="F271" s="3"/>
      <c r="G271" s="3"/>
      <c r="H271" s="3"/>
      <c r="I271" s="4"/>
    </row>
    <row r="272">
      <c r="A272" s="5" t="s">
        <v>1</v>
      </c>
      <c r="B272" s="9" t="s">
        <v>2</v>
      </c>
      <c r="C272" s="7" t="s">
        <v>3</v>
      </c>
      <c r="D272" s="8" t="s">
        <v>4</v>
      </c>
      <c r="E272" s="5" t="s">
        <v>5</v>
      </c>
      <c r="F272" s="5" t="s">
        <v>6</v>
      </c>
      <c r="G272" s="5" t="s">
        <v>7</v>
      </c>
      <c r="H272" s="9" t="s">
        <v>8</v>
      </c>
      <c r="I272" s="10" t="s">
        <v>9</v>
      </c>
    </row>
    <row r="273">
      <c r="A273" s="11" t="s">
        <v>10</v>
      </c>
      <c r="B273" s="12">
        <f t="shared" ref="B273:B294" si="51">H246</f>
        <v>30</v>
      </c>
      <c r="C273" s="11"/>
      <c r="D273" s="11"/>
      <c r="E273" s="13">
        <v>6.0</v>
      </c>
      <c r="F273" s="13">
        <v>5.0</v>
      </c>
      <c r="G273" s="12">
        <f t="shared" ref="G273:G294" si="52">E273-F273</f>
        <v>1</v>
      </c>
      <c r="H273" s="12">
        <f t="shared" ref="H273:H294" si="53">B273-C273+D273-G273</f>
        <v>29</v>
      </c>
      <c r="I273" s="14">
        <f t="shared" ref="I273:I294" si="54">G273*6</f>
        <v>6</v>
      </c>
    </row>
    <row r="274">
      <c r="A274" s="11" t="s">
        <v>11</v>
      </c>
      <c r="B274" s="12">
        <f t="shared" si="51"/>
        <v>34</v>
      </c>
      <c r="C274" s="17"/>
      <c r="D274" s="11"/>
      <c r="E274" s="13">
        <v>5.0</v>
      </c>
      <c r="F274" s="13">
        <v>5.0</v>
      </c>
      <c r="G274" s="12">
        <f t="shared" si="52"/>
        <v>0</v>
      </c>
      <c r="H274" s="12">
        <f t="shared" si="53"/>
        <v>34</v>
      </c>
      <c r="I274" s="14">
        <f t="shared" si="54"/>
        <v>0</v>
      </c>
    </row>
    <row r="275">
      <c r="A275" s="11" t="s">
        <v>12</v>
      </c>
      <c r="B275" s="12">
        <f t="shared" si="51"/>
        <v>26</v>
      </c>
      <c r="C275" s="11"/>
      <c r="D275" s="11"/>
      <c r="E275" s="13">
        <v>5.0</v>
      </c>
      <c r="F275" s="13">
        <v>5.0</v>
      </c>
      <c r="G275" s="12">
        <f t="shared" si="52"/>
        <v>0</v>
      </c>
      <c r="H275" s="12">
        <f t="shared" si="53"/>
        <v>26</v>
      </c>
      <c r="I275" s="14">
        <f t="shared" si="54"/>
        <v>0</v>
      </c>
    </row>
    <row r="276">
      <c r="A276" s="11" t="s">
        <v>13</v>
      </c>
      <c r="B276" s="12">
        <f t="shared" si="51"/>
        <v>36</v>
      </c>
      <c r="C276" s="13">
        <v>1.0</v>
      </c>
      <c r="D276" s="13"/>
      <c r="E276" s="13">
        <v>6.0</v>
      </c>
      <c r="F276" s="13">
        <v>4.0</v>
      </c>
      <c r="G276" s="12">
        <f t="shared" si="52"/>
        <v>2</v>
      </c>
      <c r="H276" s="12">
        <f t="shared" si="53"/>
        <v>33</v>
      </c>
      <c r="I276" s="14">
        <f t="shared" si="54"/>
        <v>12</v>
      </c>
    </row>
    <row r="277">
      <c r="A277" s="11" t="s">
        <v>14</v>
      </c>
      <c r="B277" s="12">
        <f t="shared" si="51"/>
        <v>11</v>
      </c>
      <c r="C277" s="11"/>
      <c r="D277" s="11"/>
      <c r="E277" s="13">
        <v>4.0</v>
      </c>
      <c r="F277" s="13">
        <v>3.0</v>
      </c>
      <c r="G277" s="12">
        <f t="shared" si="52"/>
        <v>1</v>
      </c>
      <c r="H277" s="12">
        <f t="shared" si="53"/>
        <v>10</v>
      </c>
      <c r="I277" s="14">
        <f t="shared" si="54"/>
        <v>6</v>
      </c>
    </row>
    <row r="278">
      <c r="A278" s="11" t="s">
        <v>15</v>
      </c>
      <c r="B278" s="12">
        <f t="shared" si="51"/>
        <v>26</v>
      </c>
      <c r="C278" s="11"/>
      <c r="D278" s="11"/>
      <c r="E278" s="13">
        <v>7.0</v>
      </c>
      <c r="F278" s="13">
        <v>6.0</v>
      </c>
      <c r="G278" s="12">
        <f t="shared" si="52"/>
        <v>1</v>
      </c>
      <c r="H278" s="12">
        <f t="shared" si="53"/>
        <v>25</v>
      </c>
      <c r="I278" s="14">
        <f t="shared" si="54"/>
        <v>6</v>
      </c>
    </row>
    <row r="279">
      <c r="A279" s="11" t="s">
        <v>16</v>
      </c>
      <c r="B279" s="12">
        <f t="shared" si="51"/>
        <v>15</v>
      </c>
      <c r="C279" s="11"/>
      <c r="D279" s="11"/>
      <c r="E279" s="13">
        <v>4.0</v>
      </c>
      <c r="F279" s="13">
        <v>4.0</v>
      </c>
      <c r="G279" s="12">
        <f t="shared" si="52"/>
        <v>0</v>
      </c>
      <c r="H279" s="12">
        <f t="shared" si="53"/>
        <v>15</v>
      </c>
      <c r="I279" s="14">
        <f t="shared" si="54"/>
        <v>0</v>
      </c>
    </row>
    <row r="280">
      <c r="A280" s="11" t="s">
        <v>17</v>
      </c>
      <c r="B280" s="12">
        <f t="shared" si="51"/>
        <v>20</v>
      </c>
      <c r="C280" s="11"/>
      <c r="D280" s="11"/>
      <c r="E280" s="13">
        <v>4.0</v>
      </c>
      <c r="F280" s="13">
        <v>3.0</v>
      </c>
      <c r="G280" s="12">
        <f t="shared" si="52"/>
        <v>1</v>
      </c>
      <c r="H280" s="12">
        <f t="shared" si="53"/>
        <v>19</v>
      </c>
      <c r="I280" s="14">
        <f t="shared" si="54"/>
        <v>6</v>
      </c>
    </row>
    <row r="281">
      <c r="A281" s="11" t="s">
        <v>18</v>
      </c>
      <c r="B281" s="12">
        <f t="shared" si="51"/>
        <v>7</v>
      </c>
      <c r="C281" s="11"/>
      <c r="D281" s="13">
        <v>32.0</v>
      </c>
      <c r="E281" s="13">
        <v>5.0</v>
      </c>
      <c r="F281" s="13">
        <v>4.0</v>
      </c>
      <c r="G281" s="12">
        <f t="shared" si="52"/>
        <v>1</v>
      </c>
      <c r="H281" s="12">
        <f t="shared" si="53"/>
        <v>38</v>
      </c>
      <c r="I281" s="14">
        <f t="shared" si="54"/>
        <v>6</v>
      </c>
    </row>
    <row r="282">
      <c r="A282" s="11" t="s">
        <v>19</v>
      </c>
      <c r="B282" s="12">
        <f t="shared" si="51"/>
        <v>23</v>
      </c>
      <c r="C282" s="11"/>
      <c r="D282" s="13"/>
      <c r="E282" s="13">
        <v>5.0</v>
      </c>
      <c r="F282" s="13">
        <v>5.0</v>
      </c>
      <c r="G282" s="12">
        <f t="shared" si="52"/>
        <v>0</v>
      </c>
      <c r="H282" s="12">
        <f t="shared" si="53"/>
        <v>23</v>
      </c>
      <c r="I282" s="14">
        <f t="shared" si="54"/>
        <v>0</v>
      </c>
    </row>
    <row r="283">
      <c r="A283" s="11" t="s">
        <v>20</v>
      </c>
      <c r="B283" s="12">
        <f t="shared" si="51"/>
        <v>23</v>
      </c>
      <c r="C283" s="11"/>
      <c r="D283" s="11"/>
      <c r="E283" s="13">
        <v>5.0</v>
      </c>
      <c r="F283" s="13">
        <v>4.0</v>
      </c>
      <c r="G283" s="12">
        <f t="shared" si="52"/>
        <v>1</v>
      </c>
      <c r="H283" s="12">
        <f t="shared" si="53"/>
        <v>22</v>
      </c>
      <c r="I283" s="14">
        <f t="shared" si="54"/>
        <v>6</v>
      </c>
    </row>
    <row r="284">
      <c r="A284" s="11" t="s">
        <v>21</v>
      </c>
      <c r="B284" s="12">
        <f t="shared" si="51"/>
        <v>8</v>
      </c>
      <c r="C284" s="11"/>
      <c r="D284" s="11"/>
      <c r="E284" s="13">
        <v>2.0</v>
      </c>
      <c r="F284" s="13">
        <v>2.0</v>
      </c>
      <c r="G284" s="12">
        <f t="shared" si="52"/>
        <v>0</v>
      </c>
      <c r="H284" s="12">
        <f t="shared" si="53"/>
        <v>8</v>
      </c>
      <c r="I284" s="14">
        <f t="shared" si="54"/>
        <v>0</v>
      </c>
    </row>
    <row r="285">
      <c r="A285" s="11" t="s">
        <v>22</v>
      </c>
      <c r="B285" s="12">
        <f t="shared" si="51"/>
        <v>29</v>
      </c>
      <c r="C285" s="11"/>
      <c r="D285" s="11"/>
      <c r="E285" s="13">
        <v>4.0</v>
      </c>
      <c r="F285" s="13">
        <v>2.0</v>
      </c>
      <c r="G285" s="12">
        <f t="shared" si="52"/>
        <v>2</v>
      </c>
      <c r="H285" s="12">
        <f t="shared" si="53"/>
        <v>27</v>
      </c>
      <c r="I285" s="14">
        <f t="shared" si="54"/>
        <v>12</v>
      </c>
    </row>
    <row r="286">
      <c r="A286" s="11" t="s">
        <v>23</v>
      </c>
      <c r="B286" s="12">
        <f t="shared" si="51"/>
        <v>34</v>
      </c>
      <c r="C286" s="17"/>
      <c r="D286" s="11"/>
      <c r="E286" s="13">
        <v>6.0</v>
      </c>
      <c r="F286" s="13">
        <v>5.0</v>
      </c>
      <c r="G286" s="12">
        <f t="shared" si="52"/>
        <v>1</v>
      </c>
      <c r="H286" s="12">
        <f t="shared" si="53"/>
        <v>33</v>
      </c>
      <c r="I286" s="14">
        <f t="shared" si="54"/>
        <v>6</v>
      </c>
    </row>
    <row r="287">
      <c r="A287" s="11" t="s">
        <v>24</v>
      </c>
      <c r="B287" s="12">
        <f t="shared" si="51"/>
        <v>21</v>
      </c>
      <c r="C287" s="11"/>
      <c r="D287" s="11"/>
      <c r="E287" s="13">
        <v>3.0</v>
      </c>
      <c r="F287" s="13">
        <v>2.0</v>
      </c>
      <c r="G287" s="12">
        <f t="shared" si="52"/>
        <v>1</v>
      </c>
      <c r="H287" s="12">
        <f t="shared" si="53"/>
        <v>20</v>
      </c>
      <c r="I287" s="14">
        <f t="shared" si="54"/>
        <v>6</v>
      </c>
    </row>
    <row r="288">
      <c r="A288" s="11" t="s">
        <v>25</v>
      </c>
      <c r="B288" s="12">
        <f t="shared" si="51"/>
        <v>37</v>
      </c>
      <c r="C288" s="11"/>
      <c r="D288" s="13"/>
      <c r="E288" s="13">
        <v>10.0</v>
      </c>
      <c r="F288" s="13">
        <v>7.0</v>
      </c>
      <c r="G288" s="12">
        <f t="shared" si="52"/>
        <v>3</v>
      </c>
      <c r="H288" s="12">
        <f t="shared" si="53"/>
        <v>34</v>
      </c>
      <c r="I288" s="14">
        <f t="shared" si="54"/>
        <v>18</v>
      </c>
    </row>
    <row r="289">
      <c r="A289" s="11" t="s">
        <v>26</v>
      </c>
      <c r="B289" s="12">
        <f t="shared" si="51"/>
        <v>29</v>
      </c>
      <c r="C289" s="11"/>
      <c r="D289" s="11"/>
      <c r="E289" s="13">
        <v>5.0</v>
      </c>
      <c r="F289" s="13">
        <v>5.0</v>
      </c>
      <c r="G289" s="12">
        <f t="shared" si="52"/>
        <v>0</v>
      </c>
      <c r="H289" s="12">
        <f t="shared" si="53"/>
        <v>29</v>
      </c>
      <c r="I289" s="14">
        <f t="shared" si="54"/>
        <v>0</v>
      </c>
    </row>
    <row r="290">
      <c r="A290" s="11" t="s">
        <v>27</v>
      </c>
      <c r="B290" s="12">
        <f t="shared" si="51"/>
        <v>28</v>
      </c>
      <c r="C290" s="11"/>
      <c r="D290" s="11"/>
      <c r="E290" s="13">
        <v>3.0</v>
      </c>
      <c r="F290" s="13">
        <v>3.0</v>
      </c>
      <c r="G290" s="12">
        <f t="shared" si="52"/>
        <v>0</v>
      </c>
      <c r="H290" s="12">
        <f t="shared" si="53"/>
        <v>28</v>
      </c>
      <c r="I290" s="14">
        <f t="shared" si="54"/>
        <v>0</v>
      </c>
    </row>
    <row r="291">
      <c r="A291" s="11" t="s">
        <v>28</v>
      </c>
      <c r="B291" s="12">
        <f t="shared" si="51"/>
        <v>15</v>
      </c>
      <c r="C291" s="11"/>
      <c r="D291" s="11"/>
      <c r="E291" s="13">
        <v>8.0</v>
      </c>
      <c r="F291" s="13">
        <v>7.0</v>
      </c>
      <c r="G291" s="12">
        <f t="shared" si="52"/>
        <v>1</v>
      </c>
      <c r="H291" s="12">
        <f t="shared" si="53"/>
        <v>14</v>
      </c>
      <c r="I291" s="14">
        <f t="shared" si="54"/>
        <v>6</v>
      </c>
    </row>
    <row r="292">
      <c r="A292" s="11" t="s">
        <v>30</v>
      </c>
      <c r="B292" s="12">
        <f t="shared" si="51"/>
        <v>19</v>
      </c>
      <c r="C292" s="11"/>
      <c r="D292" s="11"/>
      <c r="E292" s="13">
        <v>3.0</v>
      </c>
      <c r="F292" s="13">
        <v>3.0</v>
      </c>
      <c r="G292" s="12">
        <f t="shared" si="52"/>
        <v>0</v>
      </c>
      <c r="H292" s="12">
        <f t="shared" si="53"/>
        <v>19</v>
      </c>
      <c r="I292" s="14">
        <f t="shared" si="54"/>
        <v>0</v>
      </c>
    </row>
    <row r="293">
      <c r="A293" s="18" t="s">
        <v>31</v>
      </c>
      <c r="B293" s="12">
        <f t="shared" si="51"/>
        <v>15</v>
      </c>
      <c r="C293" s="11"/>
      <c r="D293" s="11"/>
      <c r="E293" s="13">
        <v>2.0</v>
      </c>
      <c r="F293" s="13">
        <v>1.0</v>
      </c>
      <c r="G293" s="12">
        <f t="shared" si="52"/>
        <v>1</v>
      </c>
      <c r="H293" s="12">
        <f t="shared" si="53"/>
        <v>14</v>
      </c>
      <c r="I293" s="14">
        <f t="shared" si="54"/>
        <v>6</v>
      </c>
    </row>
    <row r="294">
      <c r="A294" s="18" t="s">
        <v>32</v>
      </c>
      <c r="B294" s="12">
        <f t="shared" si="51"/>
        <v>3</v>
      </c>
      <c r="C294" s="11"/>
      <c r="D294" s="11"/>
      <c r="E294" s="13">
        <v>2.0</v>
      </c>
      <c r="F294" s="13">
        <v>2.0</v>
      </c>
      <c r="G294" s="12">
        <f t="shared" si="52"/>
        <v>0</v>
      </c>
      <c r="H294" s="12">
        <f t="shared" si="53"/>
        <v>3</v>
      </c>
      <c r="I294" s="14">
        <f t="shared" si="54"/>
        <v>0</v>
      </c>
    </row>
    <row r="295">
      <c r="A295" s="19" t="s">
        <v>33</v>
      </c>
      <c r="B295" s="20">
        <f>SUM(B273:B294)</f>
        <v>489</v>
      </c>
      <c r="C295" s="19"/>
      <c r="D295" s="19"/>
      <c r="E295" s="20">
        <f t="shared" ref="E295:G295" si="55">SUM(E272:E294)</f>
        <v>104</v>
      </c>
      <c r="F295" s="20">
        <f t="shared" si="55"/>
        <v>87</v>
      </c>
      <c r="G295" s="20">
        <f t="shared" si="55"/>
        <v>17</v>
      </c>
      <c r="H295" s="20">
        <f>SUM(H273:H294)</f>
        <v>503</v>
      </c>
      <c r="I295" s="21">
        <f>SUM(I272:I294)</f>
        <v>102</v>
      </c>
    </row>
    <row r="296">
      <c r="A296" s="22"/>
      <c r="B296" s="22"/>
      <c r="C296" s="22"/>
      <c r="D296" s="22"/>
      <c r="E296" s="22"/>
      <c r="F296" s="23" t="s">
        <v>34</v>
      </c>
      <c r="G296" s="4"/>
      <c r="H296" s="24"/>
      <c r="I296" s="25"/>
    </row>
    <row r="298">
      <c r="A298" s="1"/>
      <c r="B298" s="2" t="s">
        <v>73</v>
      </c>
      <c r="C298" s="3"/>
      <c r="D298" s="3"/>
      <c r="E298" s="3"/>
      <c r="F298" s="3"/>
      <c r="G298" s="3"/>
      <c r="H298" s="3"/>
      <c r="I298" s="4"/>
    </row>
    <row r="299">
      <c r="A299" s="5" t="s">
        <v>1</v>
      </c>
      <c r="B299" s="9" t="s">
        <v>2</v>
      </c>
      <c r="C299" s="7" t="s">
        <v>3</v>
      </c>
      <c r="D299" s="8" t="s">
        <v>4</v>
      </c>
      <c r="E299" s="5" t="s">
        <v>5</v>
      </c>
      <c r="F299" s="5" t="s">
        <v>6</v>
      </c>
      <c r="G299" s="5" t="s">
        <v>7</v>
      </c>
      <c r="H299" s="9" t="s">
        <v>8</v>
      </c>
      <c r="I299" s="10" t="s">
        <v>9</v>
      </c>
    </row>
    <row r="300">
      <c r="A300" s="11" t="s">
        <v>10</v>
      </c>
      <c r="B300" s="12">
        <f t="shared" ref="B300:B321" si="56">H273</f>
        <v>29</v>
      </c>
      <c r="C300" s="11"/>
      <c r="D300" s="11"/>
      <c r="E300" s="13">
        <v>6.0</v>
      </c>
      <c r="F300" s="13">
        <v>6.0</v>
      </c>
      <c r="G300" s="12">
        <f t="shared" ref="G300:G322" si="57">E300-F300</f>
        <v>0</v>
      </c>
      <c r="H300" s="12">
        <f t="shared" ref="H300:H321" si="58">B300-C300+D300-G300</f>
        <v>29</v>
      </c>
      <c r="I300" s="14">
        <f t="shared" ref="I300:I321" si="59">G300*6</f>
        <v>0</v>
      </c>
    </row>
    <row r="301">
      <c r="A301" s="11" t="s">
        <v>11</v>
      </c>
      <c r="B301" s="12">
        <f t="shared" si="56"/>
        <v>34</v>
      </c>
      <c r="C301" s="17"/>
      <c r="D301" s="11"/>
      <c r="E301" s="13">
        <v>5.0</v>
      </c>
      <c r="F301" s="13">
        <v>5.0</v>
      </c>
      <c r="G301" s="12">
        <f t="shared" si="57"/>
        <v>0</v>
      </c>
      <c r="H301" s="12">
        <f t="shared" si="58"/>
        <v>34</v>
      </c>
      <c r="I301" s="14">
        <f t="shared" si="59"/>
        <v>0</v>
      </c>
    </row>
    <row r="302">
      <c r="A302" s="11" t="s">
        <v>12</v>
      </c>
      <c r="B302" s="12">
        <f t="shared" si="56"/>
        <v>26</v>
      </c>
      <c r="C302" s="11"/>
      <c r="D302" s="11"/>
      <c r="E302" s="13">
        <v>5.0</v>
      </c>
      <c r="F302" s="13">
        <v>2.0</v>
      </c>
      <c r="G302" s="12">
        <f t="shared" si="57"/>
        <v>3</v>
      </c>
      <c r="H302" s="12">
        <f t="shared" si="58"/>
        <v>23</v>
      </c>
      <c r="I302" s="14">
        <f t="shared" si="59"/>
        <v>18</v>
      </c>
    </row>
    <row r="303">
      <c r="A303" s="11" t="s">
        <v>13</v>
      </c>
      <c r="B303" s="12">
        <f t="shared" si="56"/>
        <v>33</v>
      </c>
      <c r="C303" s="13"/>
      <c r="D303" s="13"/>
      <c r="E303" s="13">
        <v>6.0</v>
      </c>
      <c r="F303" s="13">
        <v>5.0</v>
      </c>
      <c r="G303" s="12">
        <f t="shared" si="57"/>
        <v>1</v>
      </c>
      <c r="H303" s="12">
        <f t="shared" si="58"/>
        <v>32</v>
      </c>
      <c r="I303" s="14">
        <f t="shared" si="59"/>
        <v>6</v>
      </c>
    </row>
    <row r="304">
      <c r="A304" s="11" t="s">
        <v>14</v>
      </c>
      <c r="B304" s="12">
        <f t="shared" si="56"/>
        <v>10</v>
      </c>
      <c r="C304" s="11"/>
      <c r="D304" s="11"/>
      <c r="E304" s="13">
        <v>4.0</v>
      </c>
      <c r="F304" s="13">
        <v>2.0</v>
      </c>
      <c r="G304" s="12">
        <f t="shared" si="57"/>
        <v>2</v>
      </c>
      <c r="H304" s="12">
        <f t="shared" si="58"/>
        <v>8</v>
      </c>
      <c r="I304" s="14">
        <f t="shared" si="59"/>
        <v>12</v>
      </c>
    </row>
    <row r="305">
      <c r="A305" s="11" t="s">
        <v>15</v>
      </c>
      <c r="B305" s="12">
        <f t="shared" si="56"/>
        <v>25</v>
      </c>
      <c r="C305" s="13">
        <v>1.0</v>
      </c>
      <c r="D305" s="11"/>
      <c r="E305" s="13">
        <v>6.0</v>
      </c>
      <c r="F305" s="13">
        <v>6.0</v>
      </c>
      <c r="G305" s="12">
        <f t="shared" si="57"/>
        <v>0</v>
      </c>
      <c r="H305" s="12">
        <f t="shared" si="58"/>
        <v>24</v>
      </c>
      <c r="I305" s="14">
        <f t="shared" si="59"/>
        <v>0</v>
      </c>
    </row>
    <row r="306">
      <c r="A306" s="11" t="s">
        <v>16</v>
      </c>
      <c r="B306" s="12">
        <f t="shared" si="56"/>
        <v>15</v>
      </c>
      <c r="C306" s="11"/>
      <c r="D306" s="11"/>
      <c r="E306" s="13">
        <v>4.0</v>
      </c>
      <c r="F306" s="13">
        <v>3.0</v>
      </c>
      <c r="G306" s="12">
        <f t="shared" si="57"/>
        <v>1</v>
      </c>
      <c r="H306" s="12">
        <f t="shared" si="58"/>
        <v>14</v>
      </c>
      <c r="I306" s="14">
        <f t="shared" si="59"/>
        <v>6</v>
      </c>
    </row>
    <row r="307">
      <c r="A307" s="11" t="s">
        <v>17</v>
      </c>
      <c r="B307" s="12">
        <f t="shared" si="56"/>
        <v>19</v>
      </c>
      <c r="C307" s="13">
        <v>1.0</v>
      </c>
      <c r="D307" s="11"/>
      <c r="E307" s="13">
        <v>4.0</v>
      </c>
      <c r="F307" s="13">
        <v>4.0</v>
      </c>
      <c r="G307" s="12">
        <f t="shared" si="57"/>
        <v>0</v>
      </c>
      <c r="H307" s="12">
        <f t="shared" si="58"/>
        <v>18</v>
      </c>
      <c r="I307" s="14">
        <f t="shared" si="59"/>
        <v>0</v>
      </c>
    </row>
    <row r="308">
      <c r="A308" s="11" t="s">
        <v>18</v>
      </c>
      <c r="B308" s="12">
        <f t="shared" si="56"/>
        <v>38</v>
      </c>
      <c r="C308" s="11"/>
      <c r="D308" s="11"/>
      <c r="E308" s="13">
        <v>5.0</v>
      </c>
      <c r="F308" s="13">
        <v>5.0</v>
      </c>
      <c r="G308" s="12">
        <f t="shared" si="57"/>
        <v>0</v>
      </c>
      <c r="H308" s="12">
        <f t="shared" si="58"/>
        <v>38</v>
      </c>
      <c r="I308" s="14">
        <f t="shared" si="59"/>
        <v>0</v>
      </c>
    </row>
    <row r="309">
      <c r="A309" s="11" t="s">
        <v>19</v>
      </c>
      <c r="B309" s="12">
        <f t="shared" si="56"/>
        <v>23</v>
      </c>
      <c r="C309" s="11"/>
      <c r="D309" s="11"/>
      <c r="E309" s="13">
        <v>5.0</v>
      </c>
      <c r="F309" s="13">
        <v>5.0</v>
      </c>
      <c r="G309" s="12">
        <f t="shared" si="57"/>
        <v>0</v>
      </c>
      <c r="H309" s="12">
        <f t="shared" si="58"/>
        <v>23</v>
      </c>
      <c r="I309" s="14">
        <f t="shared" si="59"/>
        <v>0</v>
      </c>
    </row>
    <row r="310">
      <c r="A310" s="11" t="s">
        <v>20</v>
      </c>
      <c r="B310" s="12">
        <f t="shared" si="56"/>
        <v>22</v>
      </c>
      <c r="C310" s="11"/>
      <c r="D310" s="11"/>
      <c r="E310" s="13">
        <v>5.0</v>
      </c>
      <c r="F310" s="13">
        <v>4.0</v>
      </c>
      <c r="G310" s="12">
        <f t="shared" si="57"/>
        <v>1</v>
      </c>
      <c r="H310" s="12">
        <f t="shared" si="58"/>
        <v>21</v>
      </c>
      <c r="I310" s="14">
        <f t="shared" si="59"/>
        <v>6</v>
      </c>
    </row>
    <row r="311">
      <c r="A311" s="11" t="s">
        <v>21</v>
      </c>
      <c r="B311" s="12">
        <f t="shared" si="56"/>
        <v>8</v>
      </c>
      <c r="C311" s="11"/>
      <c r="D311" s="11"/>
      <c r="E311" s="13">
        <v>2.0</v>
      </c>
      <c r="F311" s="13">
        <v>2.0</v>
      </c>
      <c r="G311" s="12">
        <f t="shared" si="57"/>
        <v>0</v>
      </c>
      <c r="H311" s="12">
        <f t="shared" si="58"/>
        <v>8</v>
      </c>
      <c r="I311" s="14">
        <f t="shared" si="59"/>
        <v>0</v>
      </c>
    </row>
    <row r="312">
      <c r="A312" s="11" t="s">
        <v>22</v>
      </c>
      <c r="B312" s="12">
        <f t="shared" si="56"/>
        <v>27</v>
      </c>
      <c r="C312" s="11"/>
      <c r="D312" s="11"/>
      <c r="E312" s="13">
        <v>4.0</v>
      </c>
      <c r="F312" s="13">
        <v>4.0</v>
      </c>
      <c r="G312" s="12">
        <f t="shared" si="57"/>
        <v>0</v>
      </c>
      <c r="H312" s="12">
        <f t="shared" si="58"/>
        <v>27</v>
      </c>
      <c r="I312" s="14">
        <f t="shared" si="59"/>
        <v>0</v>
      </c>
    </row>
    <row r="313">
      <c r="A313" s="11" t="s">
        <v>23</v>
      </c>
      <c r="B313" s="12">
        <f t="shared" si="56"/>
        <v>33</v>
      </c>
      <c r="C313" s="17"/>
      <c r="D313" s="11"/>
      <c r="E313" s="13">
        <v>6.0</v>
      </c>
      <c r="F313" s="13">
        <v>3.0</v>
      </c>
      <c r="G313" s="12">
        <f t="shared" si="57"/>
        <v>3</v>
      </c>
      <c r="H313" s="12">
        <f t="shared" si="58"/>
        <v>30</v>
      </c>
      <c r="I313" s="14">
        <f t="shared" si="59"/>
        <v>18</v>
      </c>
    </row>
    <row r="314">
      <c r="A314" s="11" t="s">
        <v>24</v>
      </c>
      <c r="B314" s="12">
        <f t="shared" si="56"/>
        <v>20</v>
      </c>
      <c r="C314" s="11"/>
      <c r="D314" s="11"/>
      <c r="E314" s="13">
        <v>3.0</v>
      </c>
      <c r="F314" s="13">
        <v>2.0</v>
      </c>
      <c r="G314" s="12">
        <f t="shared" si="57"/>
        <v>1</v>
      </c>
      <c r="H314" s="12">
        <f t="shared" si="58"/>
        <v>19</v>
      </c>
      <c r="I314" s="14">
        <f t="shared" si="59"/>
        <v>6</v>
      </c>
    </row>
    <row r="315">
      <c r="A315" s="11" t="s">
        <v>25</v>
      </c>
      <c r="B315" s="12">
        <f t="shared" si="56"/>
        <v>34</v>
      </c>
      <c r="C315" s="11"/>
      <c r="D315" s="13"/>
      <c r="E315" s="13">
        <v>10.0</v>
      </c>
      <c r="F315" s="13">
        <v>4.0</v>
      </c>
      <c r="G315" s="12">
        <f t="shared" si="57"/>
        <v>6</v>
      </c>
      <c r="H315" s="12">
        <f t="shared" si="58"/>
        <v>28</v>
      </c>
      <c r="I315" s="14">
        <f t="shared" si="59"/>
        <v>36</v>
      </c>
    </row>
    <row r="316">
      <c r="A316" s="11" t="s">
        <v>26</v>
      </c>
      <c r="B316" s="12">
        <f t="shared" si="56"/>
        <v>29</v>
      </c>
      <c r="C316" s="11"/>
      <c r="D316" s="11"/>
      <c r="E316" s="13">
        <v>5.0</v>
      </c>
      <c r="F316" s="13">
        <v>4.0</v>
      </c>
      <c r="G316" s="12">
        <f t="shared" si="57"/>
        <v>1</v>
      </c>
      <c r="H316" s="12">
        <f t="shared" si="58"/>
        <v>28</v>
      </c>
      <c r="I316" s="14">
        <f t="shared" si="59"/>
        <v>6</v>
      </c>
    </row>
    <row r="317">
      <c r="A317" s="11" t="s">
        <v>27</v>
      </c>
      <c r="B317" s="12">
        <f t="shared" si="56"/>
        <v>28</v>
      </c>
      <c r="C317" s="11"/>
      <c r="D317" s="11"/>
      <c r="E317" s="13">
        <v>3.0</v>
      </c>
      <c r="F317" s="13">
        <v>0.0</v>
      </c>
      <c r="G317" s="12">
        <f t="shared" si="57"/>
        <v>3</v>
      </c>
      <c r="H317" s="12">
        <f t="shared" si="58"/>
        <v>25</v>
      </c>
      <c r="I317" s="14">
        <f t="shared" si="59"/>
        <v>18</v>
      </c>
    </row>
    <row r="318">
      <c r="A318" s="11" t="s">
        <v>28</v>
      </c>
      <c r="B318" s="12">
        <f t="shared" si="56"/>
        <v>14</v>
      </c>
      <c r="C318" s="11"/>
      <c r="D318" s="13">
        <v>34.0</v>
      </c>
      <c r="E318" s="13">
        <v>8.0</v>
      </c>
      <c r="F318" s="13">
        <v>3.0</v>
      </c>
      <c r="G318" s="12">
        <f t="shared" si="57"/>
        <v>5</v>
      </c>
      <c r="H318" s="12">
        <f t="shared" si="58"/>
        <v>43</v>
      </c>
      <c r="I318" s="14">
        <f t="shared" si="59"/>
        <v>30</v>
      </c>
    </row>
    <row r="319">
      <c r="A319" s="11" t="s">
        <v>30</v>
      </c>
      <c r="B319" s="12">
        <f t="shared" si="56"/>
        <v>19</v>
      </c>
      <c r="C319" s="11"/>
      <c r="D319" s="11"/>
      <c r="E319" s="13">
        <v>3.0</v>
      </c>
      <c r="F319" s="13">
        <v>3.0</v>
      </c>
      <c r="G319" s="12">
        <f t="shared" si="57"/>
        <v>0</v>
      </c>
      <c r="H319" s="12">
        <f t="shared" si="58"/>
        <v>19</v>
      </c>
      <c r="I319" s="14">
        <f t="shared" si="59"/>
        <v>0</v>
      </c>
    </row>
    <row r="320">
      <c r="A320" s="18" t="s">
        <v>31</v>
      </c>
      <c r="B320" s="12">
        <f t="shared" si="56"/>
        <v>14</v>
      </c>
      <c r="C320" s="11"/>
      <c r="D320" s="11"/>
      <c r="E320" s="13">
        <v>2.0</v>
      </c>
      <c r="F320" s="13">
        <v>2.0</v>
      </c>
      <c r="G320" s="12">
        <f t="shared" si="57"/>
        <v>0</v>
      </c>
      <c r="H320" s="12">
        <f t="shared" si="58"/>
        <v>14</v>
      </c>
      <c r="I320" s="14">
        <f t="shared" si="59"/>
        <v>0</v>
      </c>
    </row>
    <row r="321">
      <c r="A321" s="18" t="s">
        <v>32</v>
      </c>
      <c r="B321" s="12">
        <f t="shared" si="56"/>
        <v>3</v>
      </c>
      <c r="C321" s="11"/>
      <c r="D321" s="11"/>
      <c r="E321" s="13">
        <v>2.0</v>
      </c>
      <c r="F321" s="13">
        <v>2.0</v>
      </c>
      <c r="G321" s="12">
        <f t="shared" si="57"/>
        <v>0</v>
      </c>
      <c r="H321" s="12">
        <f t="shared" si="58"/>
        <v>3</v>
      </c>
      <c r="I321" s="14">
        <f t="shared" si="59"/>
        <v>0</v>
      </c>
    </row>
    <row r="322">
      <c r="A322" s="19" t="s">
        <v>33</v>
      </c>
      <c r="B322" s="20">
        <f>SUM(B300:B321)</f>
        <v>503</v>
      </c>
      <c r="C322" s="19"/>
      <c r="D322" s="19"/>
      <c r="E322" s="20">
        <f t="shared" ref="E322:F322" si="60">SUM(E299:E321)</f>
        <v>103</v>
      </c>
      <c r="F322" s="20">
        <f t="shared" si="60"/>
        <v>76</v>
      </c>
      <c r="G322" s="12">
        <f t="shared" si="57"/>
        <v>27</v>
      </c>
      <c r="H322" s="20">
        <f>SUM(H300:H321)</f>
        <v>508</v>
      </c>
      <c r="I322" s="21">
        <f>SUM(I299:I321)</f>
        <v>162</v>
      </c>
    </row>
    <row r="323">
      <c r="A323" s="22"/>
      <c r="B323" s="22"/>
      <c r="C323" s="22"/>
      <c r="D323" s="22"/>
      <c r="E323" s="22"/>
      <c r="F323" s="23" t="s">
        <v>34</v>
      </c>
      <c r="G323" s="4"/>
      <c r="H323" s="24"/>
      <c r="I323" s="25"/>
    </row>
    <row r="325">
      <c r="A325" s="1"/>
      <c r="B325" s="2" t="s">
        <v>74</v>
      </c>
      <c r="C325" s="3"/>
      <c r="D325" s="3"/>
      <c r="E325" s="3"/>
      <c r="F325" s="3"/>
      <c r="G325" s="3"/>
      <c r="H325" s="3"/>
      <c r="I325" s="4"/>
    </row>
    <row r="326">
      <c r="A326" s="5" t="s">
        <v>1</v>
      </c>
      <c r="B326" s="9" t="s">
        <v>2</v>
      </c>
      <c r="C326" s="7" t="s">
        <v>3</v>
      </c>
      <c r="D326" s="8" t="s">
        <v>4</v>
      </c>
      <c r="E326" s="5" t="s">
        <v>5</v>
      </c>
      <c r="F326" s="5" t="s">
        <v>6</v>
      </c>
      <c r="G326" s="5" t="s">
        <v>7</v>
      </c>
      <c r="H326" s="9" t="s">
        <v>8</v>
      </c>
      <c r="I326" s="10" t="s">
        <v>9</v>
      </c>
    </row>
    <row r="327">
      <c r="A327" s="11" t="s">
        <v>10</v>
      </c>
      <c r="B327" s="12">
        <f t="shared" ref="B327:B348" si="61">H300</f>
        <v>29</v>
      </c>
      <c r="C327" s="11"/>
      <c r="D327" s="11"/>
      <c r="E327" s="13">
        <v>6.0</v>
      </c>
      <c r="F327" s="13">
        <v>0.0</v>
      </c>
      <c r="G327" s="12">
        <f t="shared" ref="G327:G348" si="62">E327-F327</f>
        <v>6</v>
      </c>
      <c r="H327" s="12">
        <f t="shared" ref="H327:H348" si="63">B327-C327+D327-G327</f>
        <v>23</v>
      </c>
      <c r="I327" s="14">
        <f t="shared" ref="I327:I348" si="64">G327*6</f>
        <v>36</v>
      </c>
    </row>
    <row r="328">
      <c r="A328" s="11" t="s">
        <v>11</v>
      </c>
      <c r="B328" s="12">
        <f t="shared" si="61"/>
        <v>34</v>
      </c>
      <c r="C328" s="17"/>
      <c r="D328" s="11"/>
      <c r="E328" s="13">
        <v>5.0</v>
      </c>
      <c r="F328" s="13">
        <v>4.0</v>
      </c>
      <c r="G328" s="12">
        <f t="shared" si="62"/>
        <v>1</v>
      </c>
      <c r="H328" s="12">
        <f t="shared" si="63"/>
        <v>33</v>
      </c>
      <c r="I328" s="14">
        <f t="shared" si="64"/>
        <v>6</v>
      </c>
    </row>
    <row r="329">
      <c r="A329" s="11" t="s">
        <v>12</v>
      </c>
      <c r="B329" s="12">
        <f t="shared" si="61"/>
        <v>23</v>
      </c>
      <c r="C329" s="11"/>
      <c r="D329" s="11"/>
      <c r="E329" s="13">
        <v>5.0</v>
      </c>
      <c r="F329" s="13">
        <v>4.0</v>
      </c>
      <c r="G329" s="12">
        <f t="shared" si="62"/>
        <v>1</v>
      </c>
      <c r="H329" s="12">
        <f t="shared" si="63"/>
        <v>22</v>
      </c>
      <c r="I329" s="14">
        <f t="shared" si="64"/>
        <v>6</v>
      </c>
    </row>
    <row r="330">
      <c r="A330" s="11" t="s">
        <v>13</v>
      </c>
      <c r="B330" s="12">
        <f t="shared" si="61"/>
        <v>32</v>
      </c>
      <c r="C330" s="13"/>
      <c r="D330" s="13"/>
      <c r="E330" s="13">
        <v>6.0</v>
      </c>
      <c r="F330" s="13">
        <v>3.0</v>
      </c>
      <c r="G330" s="12">
        <f t="shared" si="62"/>
        <v>3</v>
      </c>
      <c r="H330" s="12">
        <f t="shared" si="63"/>
        <v>29</v>
      </c>
      <c r="I330" s="14">
        <f t="shared" si="64"/>
        <v>18</v>
      </c>
    </row>
    <row r="331">
      <c r="A331" s="11" t="s">
        <v>14</v>
      </c>
      <c r="B331" s="12">
        <f t="shared" si="61"/>
        <v>8</v>
      </c>
      <c r="C331" s="11"/>
      <c r="D331" s="13">
        <v>34.0</v>
      </c>
      <c r="E331" s="13">
        <v>4.0</v>
      </c>
      <c r="F331" s="13">
        <v>4.0</v>
      </c>
      <c r="G331" s="12">
        <f t="shared" si="62"/>
        <v>0</v>
      </c>
      <c r="H331" s="12">
        <f t="shared" si="63"/>
        <v>42</v>
      </c>
      <c r="I331" s="14">
        <f t="shared" si="64"/>
        <v>0</v>
      </c>
    </row>
    <row r="332">
      <c r="A332" s="11" t="s">
        <v>15</v>
      </c>
      <c r="B332" s="12">
        <f t="shared" si="61"/>
        <v>24</v>
      </c>
      <c r="C332" s="11"/>
      <c r="D332" s="11"/>
      <c r="E332" s="13">
        <v>6.0</v>
      </c>
      <c r="F332" s="13">
        <v>5.0</v>
      </c>
      <c r="G332" s="12">
        <f t="shared" si="62"/>
        <v>1</v>
      </c>
      <c r="H332" s="12">
        <f t="shared" si="63"/>
        <v>23</v>
      </c>
      <c r="I332" s="14">
        <f t="shared" si="64"/>
        <v>6</v>
      </c>
    </row>
    <row r="333">
      <c r="A333" s="11" t="s">
        <v>16</v>
      </c>
      <c r="B333" s="12">
        <f t="shared" si="61"/>
        <v>14</v>
      </c>
      <c r="C333" s="11"/>
      <c r="D333" s="11"/>
      <c r="E333" s="13">
        <v>4.0</v>
      </c>
      <c r="F333" s="13">
        <v>4.0</v>
      </c>
      <c r="G333" s="12">
        <f t="shared" si="62"/>
        <v>0</v>
      </c>
      <c r="H333" s="12">
        <f t="shared" si="63"/>
        <v>14</v>
      </c>
      <c r="I333" s="14">
        <f t="shared" si="64"/>
        <v>0</v>
      </c>
    </row>
    <row r="334">
      <c r="A334" s="11" t="s">
        <v>17</v>
      </c>
      <c r="B334" s="12">
        <f t="shared" si="61"/>
        <v>18</v>
      </c>
      <c r="C334" s="11"/>
      <c r="D334" s="11"/>
      <c r="E334" s="13">
        <v>4.0</v>
      </c>
      <c r="F334" s="13">
        <v>3.0</v>
      </c>
      <c r="G334" s="12">
        <f t="shared" si="62"/>
        <v>1</v>
      </c>
      <c r="H334" s="12">
        <f t="shared" si="63"/>
        <v>17</v>
      </c>
      <c r="I334" s="14">
        <f t="shared" si="64"/>
        <v>6</v>
      </c>
    </row>
    <row r="335">
      <c r="A335" s="11" t="s">
        <v>18</v>
      </c>
      <c r="B335" s="12">
        <f t="shared" si="61"/>
        <v>38</v>
      </c>
      <c r="C335" s="11"/>
      <c r="D335" s="11"/>
      <c r="E335" s="13">
        <v>6.0</v>
      </c>
      <c r="F335" s="13">
        <v>5.0</v>
      </c>
      <c r="G335" s="12">
        <f t="shared" si="62"/>
        <v>1</v>
      </c>
      <c r="H335" s="12">
        <f t="shared" si="63"/>
        <v>37</v>
      </c>
      <c r="I335" s="14">
        <f t="shared" si="64"/>
        <v>6</v>
      </c>
    </row>
    <row r="336">
      <c r="A336" s="11" t="s">
        <v>19</v>
      </c>
      <c r="B336" s="12">
        <f t="shared" si="61"/>
        <v>23</v>
      </c>
      <c r="C336" s="11"/>
      <c r="D336" s="11"/>
      <c r="E336" s="13">
        <v>5.0</v>
      </c>
      <c r="F336" s="13">
        <v>5.0</v>
      </c>
      <c r="G336" s="12">
        <f t="shared" si="62"/>
        <v>0</v>
      </c>
      <c r="H336" s="12">
        <f t="shared" si="63"/>
        <v>23</v>
      </c>
      <c r="I336" s="14">
        <f t="shared" si="64"/>
        <v>0</v>
      </c>
    </row>
    <row r="337">
      <c r="A337" s="11" t="s">
        <v>20</v>
      </c>
      <c r="B337" s="12">
        <f t="shared" si="61"/>
        <v>21</v>
      </c>
      <c r="C337" s="11"/>
      <c r="D337" s="11"/>
      <c r="E337" s="13">
        <v>5.0</v>
      </c>
      <c r="F337" s="13">
        <v>2.0</v>
      </c>
      <c r="G337" s="12">
        <f t="shared" si="62"/>
        <v>3</v>
      </c>
      <c r="H337" s="12">
        <f t="shared" si="63"/>
        <v>18</v>
      </c>
      <c r="I337" s="14">
        <f t="shared" si="64"/>
        <v>18</v>
      </c>
    </row>
    <row r="338">
      <c r="A338" s="11" t="s">
        <v>21</v>
      </c>
      <c r="B338" s="12">
        <f t="shared" si="61"/>
        <v>8</v>
      </c>
      <c r="C338" s="11"/>
      <c r="D338" s="11"/>
      <c r="E338" s="13">
        <v>2.0</v>
      </c>
      <c r="F338" s="13">
        <v>2.0</v>
      </c>
      <c r="G338" s="12">
        <f t="shared" si="62"/>
        <v>0</v>
      </c>
      <c r="H338" s="12">
        <f t="shared" si="63"/>
        <v>8</v>
      </c>
      <c r="I338" s="14">
        <f t="shared" si="64"/>
        <v>0</v>
      </c>
    </row>
    <row r="339">
      <c r="A339" s="11" t="s">
        <v>22</v>
      </c>
      <c r="B339" s="12">
        <f t="shared" si="61"/>
        <v>27</v>
      </c>
      <c r="C339" s="11"/>
      <c r="D339" s="11"/>
      <c r="E339" s="13">
        <v>4.0</v>
      </c>
      <c r="F339" s="13">
        <v>3.0</v>
      </c>
      <c r="G339" s="12">
        <f t="shared" si="62"/>
        <v>1</v>
      </c>
      <c r="H339" s="12">
        <f t="shared" si="63"/>
        <v>26</v>
      </c>
      <c r="I339" s="14">
        <f t="shared" si="64"/>
        <v>6</v>
      </c>
    </row>
    <row r="340">
      <c r="A340" s="11" t="s">
        <v>23</v>
      </c>
      <c r="B340" s="12">
        <f t="shared" si="61"/>
        <v>30</v>
      </c>
      <c r="C340" s="17"/>
      <c r="D340" s="11"/>
      <c r="E340" s="13">
        <v>6.0</v>
      </c>
      <c r="F340" s="13">
        <v>4.0</v>
      </c>
      <c r="G340" s="12">
        <f t="shared" si="62"/>
        <v>2</v>
      </c>
      <c r="H340" s="12">
        <f t="shared" si="63"/>
        <v>28</v>
      </c>
      <c r="I340" s="14">
        <f t="shared" si="64"/>
        <v>12</v>
      </c>
    </row>
    <row r="341">
      <c r="A341" s="11" t="s">
        <v>24</v>
      </c>
      <c r="B341" s="12">
        <f t="shared" si="61"/>
        <v>19</v>
      </c>
      <c r="C341" s="11"/>
      <c r="D341" s="11"/>
      <c r="E341" s="13">
        <v>3.0</v>
      </c>
      <c r="F341" s="13">
        <v>3.0</v>
      </c>
      <c r="G341" s="12">
        <f t="shared" si="62"/>
        <v>0</v>
      </c>
      <c r="H341" s="12">
        <f t="shared" si="63"/>
        <v>19</v>
      </c>
      <c r="I341" s="14">
        <f t="shared" si="64"/>
        <v>0</v>
      </c>
    </row>
    <row r="342">
      <c r="A342" s="11" t="s">
        <v>25</v>
      </c>
      <c r="B342" s="12">
        <f t="shared" si="61"/>
        <v>28</v>
      </c>
      <c r="C342" s="11"/>
      <c r="D342" s="13"/>
      <c r="E342" s="13">
        <v>10.0</v>
      </c>
      <c r="F342" s="13">
        <v>0.0</v>
      </c>
      <c r="G342" s="12">
        <f t="shared" si="62"/>
        <v>10</v>
      </c>
      <c r="H342" s="12">
        <f t="shared" si="63"/>
        <v>18</v>
      </c>
      <c r="I342" s="14">
        <f t="shared" si="64"/>
        <v>60</v>
      </c>
    </row>
    <row r="343">
      <c r="A343" s="11" t="s">
        <v>26</v>
      </c>
      <c r="B343" s="12">
        <f t="shared" si="61"/>
        <v>28</v>
      </c>
      <c r="C343" s="11"/>
      <c r="D343" s="11"/>
      <c r="E343" s="13">
        <v>5.0</v>
      </c>
      <c r="F343" s="13">
        <v>1.0</v>
      </c>
      <c r="G343" s="12">
        <f t="shared" si="62"/>
        <v>4</v>
      </c>
      <c r="H343" s="12">
        <f t="shared" si="63"/>
        <v>24</v>
      </c>
      <c r="I343" s="14">
        <f t="shared" si="64"/>
        <v>24</v>
      </c>
    </row>
    <row r="344">
      <c r="A344" s="11" t="s">
        <v>27</v>
      </c>
      <c r="B344" s="12">
        <f t="shared" si="61"/>
        <v>25</v>
      </c>
      <c r="C344" s="11"/>
      <c r="D344" s="11"/>
      <c r="E344" s="13">
        <v>3.0</v>
      </c>
      <c r="F344" s="13">
        <v>2.0</v>
      </c>
      <c r="G344" s="12">
        <f t="shared" si="62"/>
        <v>1</v>
      </c>
      <c r="H344" s="12">
        <f t="shared" si="63"/>
        <v>24</v>
      </c>
      <c r="I344" s="14">
        <f t="shared" si="64"/>
        <v>6</v>
      </c>
    </row>
    <row r="345">
      <c r="A345" s="11" t="s">
        <v>28</v>
      </c>
      <c r="B345" s="12">
        <f t="shared" si="61"/>
        <v>43</v>
      </c>
      <c r="C345" s="11"/>
      <c r="D345" s="11"/>
      <c r="E345" s="13">
        <v>8.0</v>
      </c>
      <c r="F345" s="13">
        <v>5.0</v>
      </c>
      <c r="G345" s="12">
        <f t="shared" si="62"/>
        <v>3</v>
      </c>
      <c r="H345" s="12">
        <f t="shared" si="63"/>
        <v>40</v>
      </c>
      <c r="I345" s="14">
        <f t="shared" si="64"/>
        <v>18</v>
      </c>
    </row>
    <row r="346">
      <c r="A346" s="11" t="s">
        <v>30</v>
      </c>
      <c r="B346" s="12">
        <f t="shared" si="61"/>
        <v>19</v>
      </c>
      <c r="C346" s="11"/>
      <c r="D346" s="11"/>
      <c r="E346" s="13">
        <v>3.0</v>
      </c>
      <c r="F346" s="13">
        <v>3.0</v>
      </c>
      <c r="G346" s="12">
        <f t="shared" si="62"/>
        <v>0</v>
      </c>
      <c r="H346" s="12">
        <f t="shared" si="63"/>
        <v>19</v>
      </c>
      <c r="I346" s="14">
        <f t="shared" si="64"/>
        <v>0</v>
      </c>
    </row>
    <row r="347">
      <c r="A347" s="18" t="s">
        <v>31</v>
      </c>
      <c r="B347" s="12">
        <f t="shared" si="61"/>
        <v>14</v>
      </c>
      <c r="C347" s="11"/>
      <c r="D347" s="11"/>
      <c r="E347" s="13">
        <v>2.0</v>
      </c>
      <c r="F347" s="13">
        <v>1.0</v>
      </c>
      <c r="G347" s="12">
        <f t="shared" si="62"/>
        <v>1</v>
      </c>
      <c r="H347" s="12">
        <f t="shared" si="63"/>
        <v>13</v>
      </c>
      <c r="I347" s="14">
        <f t="shared" si="64"/>
        <v>6</v>
      </c>
    </row>
    <row r="348">
      <c r="A348" s="18" t="s">
        <v>32</v>
      </c>
      <c r="B348" s="12">
        <f t="shared" si="61"/>
        <v>3</v>
      </c>
      <c r="C348" s="11"/>
      <c r="D348" s="11"/>
      <c r="E348" s="13">
        <v>2.0</v>
      </c>
      <c r="F348" s="13">
        <v>1.0</v>
      </c>
      <c r="G348" s="12">
        <f t="shared" si="62"/>
        <v>1</v>
      </c>
      <c r="H348" s="12">
        <f t="shared" si="63"/>
        <v>2</v>
      </c>
      <c r="I348" s="14">
        <f t="shared" si="64"/>
        <v>6</v>
      </c>
    </row>
    <row r="349">
      <c r="A349" s="19" t="s">
        <v>33</v>
      </c>
      <c r="B349" s="20">
        <f>SUM(B327:B348)</f>
        <v>508</v>
      </c>
      <c r="C349" s="19"/>
      <c r="D349" s="19"/>
      <c r="E349" s="20">
        <f t="shared" ref="E349:G349" si="65">SUM(E326:E348)</f>
        <v>104</v>
      </c>
      <c r="F349" s="20">
        <f t="shared" si="65"/>
        <v>64</v>
      </c>
      <c r="G349" s="20">
        <f t="shared" si="65"/>
        <v>40</v>
      </c>
      <c r="H349" s="20">
        <f>SUM(H327:H348)</f>
        <v>502</v>
      </c>
      <c r="I349" s="21">
        <f>SUM(I326:I348)</f>
        <v>240</v>
      </c>
    </row>
    <row r="350">
      <c r="A350" s="22"/>
      <c r="B350" s="22"/>
      <c r="C350" s="22"/>
      <c r="D350" s="22"/>
      <c r="E350" s="22"/>
      <c r="F350" s="23" t="s">
        <v>34</v>
      </c>
      <c r="G350" s="4"/>
      <c r="H350" s="24"/>
      <c r="I350" s="25"/>
    </row>
    <row r="352">
      <c r="A352" s="1"/>
      <c r="B352" s="2" t="s">
        <v>75</v>
      </c>
      <c r="C352" s="3"/>
      <c r="D352" s="3"/>
      <c r="E352" s="3"/>
      <c r="F352" s="3"/>
      <c r="G352" s="3"/>
      <c r="H352" s="3"/>
      <c r="I352" s="4"/>
    </row>
    <row r="353">
      <c r="A353" s="5" t="s">
        <v>1</v>
      </c>
      <c r="B353" s="9" t="s">
        <v>2</v>
      </c>
      <c r="C353" s="7" t="s">
        <v>3</v>
      </c>
      <c r="D353" s="8" t="s">
        <v>4</v>
      </c>
      <c r="E353" s="5" t="s">
        <v>5</v>
      </c>
      <c r="F353" s="5" t="s">
        <v>6</v>
      </c>
      <c r="G353" s="5" t="s">
        <v>7</v>
      </c>
      <c r="H353" s="9" t="s">
        <v>8</v>
      </c>
      <c r="I353" s="10" t="s">
        <v>9</v>
      </c>
    </row>
    <row r="354">
      <c r="A354" s="11" t="s">
        <v>10</v>
      </c>
      <c r="B354" s="12">
        <f t="shared" ref="B354:B375" si="66">H327</f>
        <v>23</v>
      </c>
      <c r="C354" s="13">
        <v>1.0</v>
      </c>
      <c r="D354" s="11"/>
      <c r="E354" s="13">
        <v>7.0</v>
      </c>
      <c r="F354" s="13">
        <v>7.0</v>
      </c>
      <c r="G354" s="12">
        <f t="shared" ref="G354:G375" si="67">E354-F354</f>
        <v>0</v>
      </c>
      <c r="H354" s="12">
        <f t="shared" ref="H354:H375" si="68">B354-C354+D354-G354</f>
        <v>22</v>
      </c>
      <c r="I354" s="14">
        <f t="shared" ref="I354:I375" si="69">G354*6</f>
        <v>0</v>
      </c>
    </row>
    <row r="355">
      <c r="A355" s="11" t="s">
        <v>11</v>
      </c>
      <c r="B355" s="12">
        <f t="shared" si="66"/>
        <v>33</v>
      </c>
      <c r="C355" s="17"/>
      <c r="D355" s="11"/>
      <c r="E355" s="13">
        <v>5.0</v>
      </c>
      <c r="F355" s="13">
        <v>5.0</v>
      </c>
      <c r="G355" s="12">
        <f t="shared" si="67"/>
        <v>0</v>
      </c>
      <c r="H355" s="12">
        <f t="shared" si="68"/>
        <v>33</v>
      </c>
      <c r="I355" s="14">
        <f t="shared" si="69"/>
        <v>0</v>
      </c>
    </row>
    <row r="356">
      <c r="A356" s="11" t="s">
        <v>12</v>
      </c>
      <c r="B356" s="12">
        <f t="shared" si="66"/>
        <v>22</v>
      </c>
      <c r="C356" s="11"/>
      <c r="D356" s="13">
        <v>41.0</v>
      </c>
      <c r="E356" s="13">
        <v>2.0</v>
      </c>
      <c r="F356" s="13">
        <v>0.0</v>
      </c>
      <c r="G356" s="12">
        <f t="shared" si="67"/>
        <v>2</v>
      </c>
      <c r="H356" s="12">
        <f t="shared" si="68"/>
        <v>61</v>
      </c>
      <c r="I356" s="14">
        <f t="shared" si="69"/>
        <v>12</v>
      </c>
    </row>
    <row r="357">
      <c r="A357" s="11" t="s">
        <v>13</v>
      </c>
      <c r="B357" s="12">
        <f t="shared" si="66"/>
        <v>29</v>
      </c>
      <c r="C357" s="13"/>
      <c r="D357" s="13"/>
      <c r="E357" s="13">
        <v>6.0</v>
      </c>
      <c r="F357" s="13">
        <v>2.0</v>
      </c>
      <c r="G357" s="12">
        <f t="shared" si="67"/>
        <v>4</v>
      </c>
      <c r="H357" s="12">
        <f t="shared" si="68"/>
        <v>25</v>
      </c>
      <c r="I357" s="14">
        <f t="shared" si="69"/>
        <v>24</v>
      </c>
    </row>
    <row r="358">
      <c r="A358" s="11" t="s">
        <v>14</v>
      </c>
      <c r="B358" s="12">
        <f t="shared" si="66"/>
        <v>42</v>
      </c>
      <c r="C358" s="11"/>
      <c r="D358" s="11"/>
      <c r="E358" s="13">
        <v>4.0</v>
      </c>
      <c r="F358" s="13">
        <v>3.0</v>
      </c>
      <c r="G358" s="12">
        <f t="shared" si="67"/>
        <v>1</v>
      </c>
      <c r="H358" s="12">
        <f t="shared" si="68"/>
        <v>41</v>
      </c>
      <c r="I358" s="14">
        <f t="shared" si="69"/>
        <v>6</v>
      </c>
    </row>
    <row r="359">
      <c r="A359" s="11" t="s">
        <v>15</v>
      </c>
      <c r="B359" s="12">
        <f t="shared" si="66"/>
        <v>23</v>
      </c>
      <c r="C359" s="11"/>
      <c r="D359" s="11"/>
      <c r="E359" s="13">
        <v>6.0</v>
      </c>
      <c r="F359" s="13">
        <v>6.0</v>
      </c>
      <c r="G359" s="12">
        <f t="shared" si="67"/>
        <v>0</v>
      </c>
      <c r="H359" s="12">
        <f t="shared" si="68"/>
        <v>23</v>
      </c>
      <c r="I359" s="14">
        <f t="shared" si="69"/>
        <v>0</v>
      </c>
    </row>
    <row r="360">
      <c r="A360" s="11" t="s">
        <v>16</v>
      </c>
      <c r="B360" s="12">
        <f t="shared" si="66"/>
        <v>14</v>
      </c>
      <c r="C360" s="11"/>
      <c r="D360" s="13">
        <v>34.0</v>
      </c>
      <c r="E360" s="13">
        <v>4.0</v>
      </c>
      <c r="F360" s="13">
        <v>1.0</v>
      </c>
      <c r="G360" s="12">
        <f t="shared" si="67"/>
        <v>3</v>
      </c>
      <c r="H360" s="12">
        <f t="shared" si="68"/>
        <v>45</v>
      </c>
      <c r="I360" s="14">
        <f t="shared" si="69"/>
        <v>18</v>
      </c>
    </row>
    <row r="361">
      <c r="A361" s="11" t="s">
        <v>17</v>
      </c>
      <c r="B361" s="12">
        <f t="shared" si="66"/>
        <v>17</v>
      </c>
      <c r="C361" s="11"/>
      <c r="D361" s="11"/>
      <c r="E361" s="13">
        <v>4.0</v>
      </c>
      <c r="F361" s="13">
        <v>1.0</v>
      </c>
      <c r="G361" s="12">
        <f t="shared" si="67"/>
        <v>3</v>
      </c>
      <c r="H361" s="12">
        <f t="shared" si="68"/>
        <v>14</v>
      </c>
      <c r="I361" s="14">
        <f t="shared" si="69"/>
        <v>18</v>
      </c>
    </row>
    <row r="362">
      <c r="A362" s="11" t="s">
        <v>18</v>
      </c>
      <c r="B362" s="12">
        <f t="shared" si="66"/>
        <v>37</v>
      </c>
      <c r="C362" s="11"/>
      <c r="D362" s="11"/>
      <c r="E362" s="13">
        <v>6.0</v>
      </c>
      <c r="F362" s="13">
        <v>5.0</v>
      </c>
      <c r="G362" s="12">
        <f t="shared" si="67"/>
        <v>1</v>
      </c>
      <c r="H362" s="12">
        <f t="shared" si="68"/>
        <v>36</v>
      </c>
      <c r="I362" s="14">
        <f t="shared" si="69"/>
        <v>6</v>
      </c>
    </row>
    <row r="363">
      <c r="A363" s="11" t="s">
        <v>19</v>
      </c>
      <c r="B363" s="12">
        <f t="shared" si="66"/>
        <v>23</v>
      </c>
      <c r="C363" s="11"/>
      <c r="D363" s="11"/>
      <c r="E363" s="13">
        <v>6.0</v>
      </c>
      <c r="F363" s="13">
        <v>4.0</v>
      </c>
      <c r="G363" s="12">
        <f t="shared" si="67"/>
        <v>2</v>
      </c>
      <c r="H363" s="12">
        <f t="shared" si="68"/>
        <v>21</v>
      </c>
      <c r="I363" s="14">
        <f t="shared" si="69"/>
        <v>12</v>
      </c>
    </row>
    <row r="364">
      <c r="A364" s="11" t="s">
        <v>20</v>
      </c>
      <c r="B364" s="12">
        <f t="shared" si="66"/>
        <v>18</v>
      </c>
      <c r="C364" s="11"/>
      <c r="D364" s="11"/>
      <c r="E364" s="13">
        <v>6.0</v>
      </c>
      <c r="F364" s="13">
        <v>6.0</v>
      </c>
      <c r="G364" s="12">
        <f t="shared" si="67"/>
        <v>0</v>
      </c>
      <c r="H364" s="12">
        <f t="shared" si="68"/>
        <v>18</v>
      </c>
      <c r="I364" s="14">
        <f t="shared" si="69"/>
        <v>0</v>
      </c>
    </row>
    <row r="365">
      <c r="A365" s="11" t="s">
        <v>21</v>
      </c>
      <c r="B365" s="12">
        <f t="shared" si="66"/>
        <v>8</v>
      </c>
      <c r="C365" s="11"/>
      <c r="D365" s="11"/>
      <c r="E365" s="13">
        <v>2.0</v>
      </c>
      <c r="F365" s="13">
        <v>2.0</v>
      </c>
      <c r="G365" s="12">
        <f t="shared" si="67"/>
        <v>0</v>
      </c>
      <c r="H365" s="12">
        <f t="shared" si="68"/>
        <v>8</v>
      </c>
      <c r="I365" s="14">
        <f t="shared" si="69"/>
        <v>0</v>
      </c>
    </row>
    <row r="366">
      <c r="A366" s="11" t="s">
        <v>22</v>
      </c>
      <c r="B366" s="12">
        <f t="shared" si="66"/>
        <v>26</v>
      </c>
      <c r="C366" s="11"/>
      <c r="D366" s="11"/>
      <c r="E366" s="13">
        <v>4.0</v>
      </c>
      <c r="F366" s="13">
        <v>2.0</v>
      </c>
      <c r="G366" s="12">
        <f t="shared" si="67"/>
        <v>2</v>
      </c>
      <c r="H366" s="12">
        <f t="shared" si="68"/>
        <v>24</v>
      </c>
      <c r="I366" s="14">
        <f t="shared" si="69"/>
        <v>12</v>
      </c>
    </row>
    <row r="367">
      <c r="A367" s="11" t="s">
        <v>23</v>
      </c>
      <c r="B367" s="12">
        <f t="shared" si="66"/>
        <v>28</v>
      </c>
      <c r="C367" s="17"/>
      <c r="D367" s="13">
        <v>31.0</v>
      </c>
      <c r="E367" s="13">
        <v>8.0</v>
      </c>
      <c r="F367" s="13">
        <v>1.0</v>
      </c>
      <c r="G367" s="12">
        <f t="shared" si="67"/>
        <v>7</v>
      </c>
      <c r="H367" s="12">
        <f t="shared" si="68"/>
        <v>52</v>
      </c>
      <c r="I367" s="14">
        <f t="shared" si="69"/>
        <v>42</v>
      </c>
    </row>
    <row r="368">
      <c r="A368" s="11" t="s">
        <v>24</v>
      </c>
      <c r="B368" s="12">
        <f t="shared" si="66"/>
        <v>19</v>
      </c>
      <c r="C368" s="11"/>
      <c r="D368" s="11"/>
      <c r="E368" s="13">
        <v>3.0</v>
      </c>
      <c r="F368" s="13">
        <v>3.0</v>
      </c>
      <c r="G368" s="12">
        <f t="shared" si="67"/>
        <v>0</v>
      </c>
      <c r="H368" s="12">
        <f t="shared" si="68"/>
        <v>19</v>
      </c>
      <c r="I368" s="14">
        <f t="shared" si="69"/>
        <v>0</v>
      </c>
    </row>
    <row r="369">
      <c r="A369" s="11" t="s">
        <v>25</v>
      </c>
      <c r="B369" s="12">
        <f t="shared" si="66"/>
        <v>18</v>
      </c>
      <c r="C369" s="13">
        <v>1.0</v>
      </c>
      <c r="D369" s="13">
        <v>62.0</v>
      </c>
      <c r="E369" s="13">
        <v>10.0</v>
      </c>
      <c r="F369" s="13">
        <v>2.0</v>
      </c>
      <c r="G369" s="12">
        <f t="shared" si="67"/>
        <v>8</v>
      </c>
      <c r="H369" s="12">
        <f t="shared" si="68"/>
        <v>71</v>
      </c>
      <c r="I369" s="14">
        <f t="shared" si="69"/>
        <v>48</v>
      </c>
    </row>
    <row r="370">
      <c r="A370" s="11" t="s">
        <v>26</v>
      </c>
      <c r="B370" s="12">
        <f t="shared" si="66"/>
        <v>24</v>
      </c>
      <c r="C370" s="11"/>
      <c r="D370" s="11"/>
      <c r="E370" s="13">
        <v>5.0</v>
      </c>
      <c r="F370" s="13">
        <v>4.0</v>
      </c>
      <c r="G370" s="12">
        <f t="shared" si="67"/>
        <v>1</v>
      </c>
      <c r="H370" s="12">
        <f t="shared" si="68"/>
        <v>23</v>
      </c>
      <c r="I370" s="14">
        <f t="shared" si="69"/>
        <v>6</v>
      </c>
    </row>
    <row r="371">
      <c r="A371" s="11" t="s">
        <v>27</v>
      </c>
      <c r="B371" s="12">
        <f t="shared" si="66"/>
        <v>24</v>
      </c>
      <c r="C371" s="11"/>
      <c r="D371" s="11"/>
      <c r="E371" s="13">
        <v>3.0</v>
      </c>
      <c r="F371" s="13">
        <v>3.0</v>
      </c>
      <c r="G371" s="12">
        <f t="shared" si="67"/>
        <v>0</v>
      </c>
      <c r="H371" s="12">
        <f t="shared" si="68"/>
        <v>24</v>
      </c>
      <c r="I371" s="14">
        <f t="shared" si="69"/>
        <v>0</v>
      </c>
    </row>
    <row r="372">
      <c r="A372" s="11" t="s">
        <v>28</v>
      </c>
      <c r="B372" s="12">
        <f t="shared" si="66"/>
        <v>40</v>
      </c>
      <c r="C372" s="11"/>
      <c r="D372" s="11"/>
      <c r="E372" s="13">
        <v>8.0</v>
      </c>
      <c r="F372" s="13">
        <v>5.0</v>
      </c>
      <c r="G372" s="12">
        <f t="shared" si="67"/>
        <v>3</v>
      </c>
      <c r="H372" s="12">
        <f t="shared" si="68"/>
        <v>37</v>
      </c>
      <c r="I372" s="14">
        <f t="shared" si="69"/>
        <v>18</v>
      </c>
    </row>
    <row r="373">
      <c r="A373" s="11" t="s">
        <v>30</v>
      </c>
      <c r="B373" s="12">
        <f t="shared" si="66"/>
        <v>19</v>
      </c>
      <c r="C373" s="11"/>
      <c r="D373" s="11"/>
      <c r="E373" s="13">
        <v>3.0</v>
      </c>
      <c r="F373" s="13">
        <v>2.0</v>
      </c>
      <c r="G373" s="12">
        <f t="shared" si="67"/>
        <v>1</v>
      </c>
      <c r="H373" s="12">
        <f t="shared" si="68"/>
        <v>18</v>
      </c>
      <c r="I373" s="14">
        <f t="shared" si="69"/>
        <v>6</v>
      </c>
    </row>
    <row r="374">
      <c r="A374" s="18" t="s">
        <v>31</v>
      </c>
      <c r="B374" s="12">
        <f t="shared" si="66"/>
        <v>13</v>
      </c>
      <c r="C374" s="11"/>
      <c r="D374" s="11"/>
      <c r="E374" s="13">
        <v>2.0</v>
      </c>
      <c r="F374" s="13">
        <v>2.0</v>
      </c>
      <c r="G374" s="12">
        <f t="shared" si="67"/>
        <v>0</v>
      </c>
      <c r="H374" s="12">
        <f t="shared" si="68"/>
        <v>13</v>
      </c>
      <c r="I374" s="14">
        <f t="shared" si="69"/>
        <v>0</v>
      </c>
    </row>
    <row r="375">
      <c r="A375" s="18" t="s">
        <v>32</v>
      </c>
      <c r="B375" s="12">
        <f t="shared" si="66"/>
        <v>2</v>
      </c>
      <c r="C375" s="11"/>
      <c r="D375" s="13">
        <v>2.0</v>
      </c>
      <c r="E375" s="13">
        <v>2.0</v>
      </c>
      <c r="F375" s="13">
        <v>0.0</v>
      </c>
      <c r="G375" s="12">
        <f t="shared" si="67"/>
        <v>2</v>
      </c>
      <c r="H375" s="12">
        <f t="shared" si="68"/>
        <v>2</v>
      </c>
      <c r="I375" s="14">
        <f t="shared" si="69"/>
        <v>12</v>
      </c>
    </row>
    <row r="376">
      <c r="A376" s="19" t="s">
        <v>33</v>
      </c>
      <c r="B376" s="20">
        <f>SUM(B354:B375)</f>
        <v>502</v>
      </c>
      <c r="C376" s="19"/>
      <c r="D376" s="19"/>
      <c r="E376" s="20">
        <f t="shared" ref="E376:G376" si="70">SUM(E353:E375)</f>
        <v>106</v>
      </c>
      <c r="F376" s="20">
        <f t="shared" si="70"/>
        <v>66</v>
      </c>
      <c r="G376" s="20">
        <f t="shared" si="70"/>
        <v>40</v>
      </c>
      <c r="H376" s="20">
        <f>SUM(H354:H375)</f>
        <v>630</v>
      </c>
      <c r="I376" s="21">
        <f>SUM(I353:I375)</f>
        <v>240</v>
      </c>
    </row>
    <row r="377">
      <c r="A377" s="22"/>
      <c r="B377" s="22"/>
      <c r="C377" s="22"/>
      <c r="D377" s="22"/>
      <c r="E377" s="22"/>
      <c r="F377" s="23" t="s">
        <v>34</v>
      </c>
      <c r="G377" s="4"/>
      <c r="H377" s="24"/>
      <c r="I377" s="25"/>
    </row>
    <row r="379">
      <c r="A379" s="1"/>
      <c r="B379" s="2" t="s">
        <v>76</v>
      </c>
      <c r="C379" s="3"/>
      <c r="D379" s="3"/>
      <c r="E379" s="3"/>
      <c r="F379" s="3"/>
      <c r="G379" s="3"/>
      <c r="H379" s="3"/>
      <c r="I379" s="4"/>
    </row>
    <row r="380">
      <c r="A380" s="5" t="s">
        <v>1</v>
      </c>
      <c r="B380" s="9" t="s">
        <v>2</v>
      </c>
      <c r="C380" s="7" t="s">
        <v>3</v>
      </c>
      <c r="D380" s="8" t="s">
        <v>4</v>
      </c>
      <c r="E380" s="5" t="s">
        <v>5</v>
      </c>
      <c r="F380" s="5" t="s">
        <v>6</v>
      </c>
      <c r="G380" s="5" t="s">
        <v>7</v>
      </c>
      <c r="H380" s="9" t="s">
        <v>8</v>
      </c>
      <c r="I380" s="10" t="s">
        <v>9</v>
      </c>
    </row>
    <row r="381">
      <c r="A381" s="11" t="s">
        <v>10</v>
      </c>
      <c r="B381" s="12">
        <f t="shared" ref="B381:B402" si="71">H354</f>
        <v>22</v>
      </c>
      <c r="C381" s="11"/>
      <c r="D381" s="11"/>
      <c r="E381" s="13"/>
      <c r="F381" s="13"/>
      <c r="G381" s="12">
        <f t="shared" ref="G381:G402" si="72">E381-F381</f>
        <v>0</v>
      </c>
      <c r="H381" s="12">
        <f t="shared" ref="H381:H402" si="73">B381-C381+D381-G381</f>
        <v>22</v>
      </c>
      <c r="I381" s="14">
        <f t="shared" ref="I381:I402" si="74">G381*4.8</f>
        <v>0</v>
      </c>
    </row>
    <row r="382">
      <c r="A382" s="11" t="s">
        <v>11</v>
      </c>
      <c r="B382" s="12">
        <f t="shared" si="71"/>
        <v>33</v>
      </c>
      <c r="C382" s="17"/>
      <c r="D382" s="11"/>
      <c r="E382" s="13"/>
      <c r="F382" s="13"/>
      <c r="G382" s="12">
        <f t="shared" si="72"/>
        <v>0</v>
      </c>
      <c r="H382" s="12">
        <f t="shared" si="73"/>
        <v>33</v>
      </c>
      <c r="I382" s="14">
        <f t="shared" si="74"/>
        <v>0</v>
      </c>
    </row>
    <row r="383">
      <c r="A383" s="11" t="s">
        <v>12</v>
      </c>
      <c r="B383" s="12">
        <f t="shared" si="71"/>
        <v>61</v>
      </c>
      <c r="C383" s="11"/>
      <c r="D383" s="11"/>
      <c r="E383" s="13">
        <v>20.0</v>
      </c>
      <c r="F383" s="13"/>
      <c r="G383" s="12">
        <f t="shared" si="72"/>
        <v>20</v>
      </c>
      <c r="H383" s="12">
        <f t="shared" si="73"/>
        <v>41</v>
      </c>
      <c r="I383" s="14">
        <f t="shared" si="74"/>
        <v>96</v>
      </c>
    </row>
    <row r="384">
      <c r="A384" s="11" t="s">
        <v>13</v>
      </c>
      <c r="B384" s="12">
        <f t="shared" si="71"/>
        <v>25</v>
      </c>
      <c r="C384" s="13"/>
      <c r="D384" s="13"/>
      <c r="E384" s="13"/>
      <c r="F384" s="13"/>
      <c r="G384" s="12">
        <f t="shared" si="72"/>
        <v>0</v>
      </c>
      <c r="H384" s="12">
        <f t="shared" si="73"/>
        <v>25</v>
      </c>
      <c r="I384" s="14">
        <f t="shared" si="74"/>
        <v>0</v>
      </c>
    </row>
    <row r="385">
      <c r="A385" s="11" t="s">
        <v>14</v>
      </c>
      <c r="B385" s="12">
        <f t="shared" si="71"/>
        <v>41</v>
      </c>
      <c r="C385" s="11"/>
      <c r="D385" s="11"/>
      <c r="E385" s="13">
        <v>10.0</v>
      </c>
      <c r="F385" s="13"/>
      <c r="G385" s="12">
        <f t="shared" si="72"/>
        <v>10</v>
      </c>
      <c r="H385" s="12">
        <f t="shared" si="73"/>
        <v>31</v>
      </c>
      <c r="I385" s="14">
        <f t="shared" si="74"/>
        <v>48</v>
      </c>
    </row>
    <row r="386">
      <c r="A386" s="11" t="s">
        <v>15</v>
      </c>
      <c r="B386" s="12">
        <f t="shared" si="71"/>
        <v>23</v>
      </c>
      <c r="C386" s="11"/>
      <c r="D386" s="11"/>
      <c r="E386" s="13"/>
      <c r="F386" s="13"/>
      <c r="G386" s="12">
        <f t="shared" si="72"/>
        <v>0</v>
      </c>
      <c r="H386" s="12">
        <f t="shared" si="73"/>
        <v>23</v>
      </c>
      <c r="I386" s="14">
        <f t="shared" si="74"/>
        <v>0</v>
      </c>
    </row>
    <row r="387">
      <c r="A387" s="11" t="s">
        <v>16</v>
      </c>
      <c r="B387" s="12">
        <f t="shared" si="71"/>
        <v>45</v>
      </c>
      <c r="C387" s="11"/>
      <c r="D387" s="11"/>
      <c r="E387" s="13">
        <v>20.0</v>
      </c>
      <c r="F387" s="13"/>
      <c r="G387" s="12">
        <f t="shared" si="72"/>
        <v>20</v>
      </c>
      <c r="H387" s="12">
        <f t="shared" si="73"/>
        <v>25</v>
      </c>
      <c r="I387" s="14">
        <f t="shared" si="74"/>
        <v>96</v>
      </c>
    </row>
    <row r="388">
      <c r="A388" s="11" t="s">
        <v>17</v>
      </c>
      <c r="B388" s="12">
        <f t="shared" si="71"/>
        <v>14</v>
      </c>
      <c r="C388" s="11"/>
      <c r="D388" s="11"/>
      <c r="E388" s="13"/>
      <c r="F388" s="13"/>
      <c r="G388" s="12">
        <f t="shared" si="72"/>
        <v>0</v>
      </c>
      <c r="H388" s="12">
        <f t="shared" si="73"/>
        <v>14</v>
      </c>
      <c r="I388" s="14">
        <f t="shared" si="74"/>
        <v>0</v>
      </c>
    </row>
    <row r="389">
      <c r="A389" s="11" t="s">
        <v>18</v>
      </c>
      <c r="B389" s="12">
        <f t="shared" si="71"/>
        <v>36</v>
      </c>
      <c r="C389" s="11"/>
      <c r="D389" s="11"/>
      <c r="E389" s="13"/>
      <c r="F389" s="13"/>
      <c r="G389" s="12">
        <f t="shared" si="72"/>
        <v>0</v>
      </c>
      <c r="H389" s="12">
        <f t="shared" si="73"/>
        <v>36</v>
      </c>
      <c r="I389" s="14">
        <f t="shared" si="74"/>
        <v>0</v>
      </c>
    </row>
    <row r="390">
      <c r="A390" s="11" t="s">
        <v>19</v>
      </c>
      <c r="B390" s="12">
        <f t="shared" si="71"/>
        <v>21</v>
      </c>
      <c r="C390" s="11"/>
      <c r="D390" s="11"/>
      <c r="E390" s="13">
        <v>10.0</v>
      </c>
      <c r="F390" s="13"/>
      <c r="G390" s="12">
        <f t="shared" si="72"/>
        <v>10</v>
      </c>
      <c r="H390" s="12">
        <f t="shared" si="73"/>
        <v>11</v>
      </c>
      <c r="I390" s="14">
        <f t="shared" si="74"/>
        <v>48</v>
      </c>
    </row>
    <row r="391">
      <c r="A391" s="11" t="s">
        <v>20</v>
      </c>
      <c r="B391" s="12">
        <f t="shared" si="71"/>
        <v>18</v>
      </c>
      <c r="C391" s="11"/>
      <c r="D391" s="11"/>
      <c r="E391" s="13"/>
      <c r="F391" s="13"/>
      <c r="G391" s="12">
        <f t="shared" si="72"/>
        <v>0</v>
      </c>
      <c r="H391" s="12">
        <f t="shared" si="73"/>
        <v>18</v>
      </c>
      <c r="I391" s="14">
        <f t="shared" si="74"/>
        <v>0</v>
      </c>
    </row>
    <row r="392">
      <c r="A392" s="11" t="s">
        <v>21</v>
      </c>
      <c r="B392" s="12">
        <f t="shared" si="71"/>
        <v>8</v>
      </c>
      <c r="C392" s="11"/>
      <c r="D392" s="11"/>
      <c r="E392" s="13"/>
      <c r="F392" s="13"/>
      <c r="G392" s="12">
        <f t="shared" si="72"/>
        <v>0</v>
      </c>
      <c r="H392" s="12">
        <f t="shared" si="73"/>
        <v>8</v>
      </c>
      <c r="I392" s="14">
        <f t="shared" si="74"/>
        <v>0</v>
      </c>
    </row>
    <row r="393">
      <c r="A393" s="11" t="s">
        <v>22</v>
      </c>
      <c r="B393" s="12">
        <f t="shared" si="71"/>
        <v>24</v>
      </c>
      <c r="C393" s="11"/>
      <c r="D393" s="11"/>
      <c r="E393" s="13">
        <v>10.0</v>
      </c>
      <c r="F393" s="13"/>
      <c r="G393" s="12">
        <f t="shared" si="72"/>
        <v>10</v>
      </c>
      <c r="H393" s="12">
        <f t="shared" si="73"/>
        <v>14</v>
      </c>
      <c r="I393" s="14">
        <f t="shared" si="74"/>
        <v>48</v>
      </c>
    </row>
    <row r="394">
      <c r="A394" s="11" t="s">
        <v>23</v>
      </c>
      <c r="B394" s="12">
        <f t="shared" si="71"/>
        <v>52</v>
      </c>
      <c r="C394" s="17"/>
      <c r="D394" s="11"/>
      <c r="E394" s="13">
        <v>30.0</v>
      </c>
      <c r="F394" s="13"/>
      <c r="G394" s="12">
        <f t="shared" si="72"/>
        <v>30</v>
      </c>
      <c r="H394" s="12">
        <f t="shared" si="73"/>
        <v>22</v>
      </c>
      <c r="I394" s="14">
        <f t="shared" si="74"/>
        <v>144</v>
      </c>
    </row>
    <row r="395">
      <c r="A395" s="11" t="s">
        <v>24</v>
      </c>
      <c r="B395" s="12">
        <f t="shared" si="71"/>
        <v>19</v>
      </c>
      <c r="C395" s="11"/>
      <c r="D395" s="11"/>
      <c r="E395" s="13"/>
      <c r="F395" s="13"/>
      <c r="G395" s="12">
        <f t="shared" si="72"/>
        <v>0</v>
      </c>
      <c r="H395" s="12">
        <f t="shared" si="73"/>
        <v>19</v>
      </c>
      <c r="I395" s="14">
        <f t="shared" si="74"/>
        <v>0</v>
      </c>
    </row>
    <row r="396">
      <c r="A396" s="11" t="s">
        <v>25</v>
      </c>
      <c r="B396" s="12">
        <f t="shared" si="71"/>
        <v>71</v>
      </c>
      <c r="C396" s="11"/>
      <c r="D396" s="13"/>
      <c r="E396" s="13">
        <v>40.0</v>
      </c>
      <c r="F396" s="13"/>
      <c r="G396" s="12">
        <f t="shared" si="72"/>
        <v>40</v>
      </c>
      <c r="H396" s="12">
        <f t="shared" si="73"/>
        <v>31</v>
      </c>
      <c r="I396" s="14">
        <f t="shared" si="74"/>
        <v>192</v>
      </c>
    </row>
    <row r="397">
      <c r="A397" s="11" t="s">
        <v>26</v>
      </c>
      <c r="B397" s="12">
        <f t="shared" si="71"/>
        <v>23</v>
      </c>
      <c r="C397" s="11"/>
      <c r="D397" s="11"/>
      <c r="E397" s="13"/>
      <c r="F397" s="13"/>
      <c r="G397" s="12">
        <f t="shared" si="72"/>
        <v>0</v>
      </c>
      <c r="H397" s="12">
        <f t="shared" si="73"/>
        <v>23</v>
      </c>
      <c r="I397" s="14">
        <f t="shared" si="74"/>
        <v>0</v>
      </c>
    </row>
    <row r="398">
      <c r="A398" s="11" t="s">
        <v>27</v>
      </c>
      <c r="B398" s="12">
        <f t="shared" si="71"/>
        <v>24</v>
      </c>
      <c r="C398" s="11"/>
      <c r="D398" s="11"/>
      <c r="E398" s="13"/>
      <c r="F398" s="13"/>
      <c r="G398" s="12">
        <f t="shared" si="72"/>
        <v>0</v>
      </c>
      <c r="H398" s="12">
        <f t="shared" si="73"/>
        <v>24</v>
      </c>
      <c r="I398" s="14">
        <f t="shared" si="74"/>
        <v>0</v>
      </c>
    </row>
    <row r="399">
      <c r="A399" s="11" t="s">
        <v>28</v>
      </c>
      <c r="B399" s="12">
        <f t="shared" si="71"/>
        <v>37</v>
      </c>
      <c r="C399" s="11"/>
      <c r="D399" s="11"/>
      <c r="E399" s="13">
        <v>10.0</v>
      </c>
      <c r="F399" s="13"/>
      <c r="G399" s="12">
        <f t="shared" si="72"/>
        <v>10</v>
      </c>
      <c r="H399" s="12">
        <f t="shared" si="73"/>
        <v>27</v>
      </c>
      <c r="I399" s="14">
        <f t="shared" si="74"/>
        <v>48</v>
      </c>
    </row>
    <row r="400">
      <c r="A400" s="11" t="s">
        <v>30</v>
      </c>
      <c r="B400" s="12">
        <f t="shared" si="71"/>
        <v>18</v>
      </c>
      <c r="C400" s="11"/>
      <c r="D400" s="11"/>
      <c r="E400" s="13"/>
      <c r="F400" s="13"/>
      <c r="G400" s="12">
        <f t="shared" si="72"/>
        <v>0</v>
      </c>
      <c r="H400" s="12">
        <f t="shared" si="73"/>
        <v>18</v>
      </c>
      <c r="I400" s="14">
        <f t="shared" si="74"/>
        <v>0</v>
      </c>
    </row>
    <row r="401">
      <c r="A401" s="18" t="s">
        <v>31</v>
      </c>
      <c r="B401" s="12">
        <f t="shared" si="71"/>
        <v>13</v>
      </c>
      <c r="C401" s="11"/>
      <c r="D401" s="11"/>
      <c r="E401" s="13"/>
      <c r="F401" s="13"/>
      <c r="G401" s="12">
        <f t="shared" si="72"/>
        <v>0</v>
      </c>
      <c r="H401" s="12">
        <f t="shared" si="73"/>
        <v>13</v>
      </c>
      <c r="I401" s="14">
        <f t="shared" si="74"/>
        <v>0</v>
      </c>
    </row>
    <row r="402">
      <c r="A402" s="18" t="s">
        <v>32</v>
      </c>
      <c r="B402" s="12">
        <f t="shared" si="71"/>
        <v>2</v>
      </c>
      <c r="C402" s="11"/>
      <c r="D402" s="11"/>
      <c r="E402" s="13"/>
      <c r="F402" s="13"/>
      <c r="G402" s="12">
        <f t="shared" si="72"/>
        <v>0</v>
      </c>
      <c r="H402" s="12">
        <f t="shared" si="73"/>
        <v>2</v>
      </c>
      <c r="I402" s="14">
        <f t="shared" si="74"/>
        <v>0</v>
      </c>
    </row>
    <row r="403">
      <c r="A403" s="19" t="s">
        <v>33</v>
      </c>
      <c r="B403" s="20">
        <f>SUM(B381:B402)</f>
        <v>630</v>
      </c>
      <c r="C403" s="19"/>
      <c r="D403" s="19"/>
      <c r="E403" s="20">
        <f t="shared" ref="E403:G403" si="75">SUM(E380:E402)</f>
        <v>150</v>
      </c>
      <c r="F403" s="20">
        <f t="shared" si="75"/>
        <v>0</v>
      </c>
      <c r="G403" s="20">
        <f t="shared" si="75"/>
        <v>150</v>
      </c>
      <c r="H403" s="20">
        <f>SUM(H381:H402)</f>
        <v>480</v>
      </c>
      <c r="I403" s="21">
        <f>SUM(I380:I402)</f>
        <v>720</v>
      </c>
    </row>
    <row r="404">
      <c r="A404" s="22"/>
      <c r="B404" s="22"/>
      <c r="C404" s="22"/>
      <c r="D404" s="22"/>
      <c r="E404" s="22"/>
      <c r="F404" s="23" t="s">
        <v>34</v>
      </c>
      <c r="G404" s="4"/>
      <c r="H404" s="24"/>
      <c r="I404" s="25"/>
    </row>
    <row r="406">
      <c r="A406" s="1"/>
      <c r="B406" s="2" t="s">
        <v>77</v>
      </c>
      <c r="C406" s="3"/>
      <c r="D406" s="3"/>
      <c r="E406" s="3"/>
      <c r="F406" s="3"/>
      <c r="G406" s="3"/>
      <c r="H406" s="3"/>
      <c r="I406" s="4"/>
    </row>
    <row r="407">
      <c r="A407" s="5" t="s">
        <v>1</v>
      </c>
      <c r="B407" s="9" t="s">
        <v>2</v>
      </c>
      <c r="C407" s="7" t="s">
        <v>3</v>
      </c>
      <c r="D407" s="8" t="s">
        <v>4</v>
      </c>
      <c r="E407" s="5" t="s">
        <v>5</v>
      </c>
      <c r="F407" s="5" t="s">
        <v>6</v>
      </c>
      <c r="G407" s="5" t="s">
        <v>7</v>
      </c>
      <c r="H407" s="9" t="s">
        <v>8</v>
      </c>
      <c r="I407" s="10" t="s">
        <v>9</v>
      </c>
    </row>
    <row r="408">
      <c r="A408" s="11" t="s">
        <v>10</v>
      </c>
      <c r="B408" s="12">
        <f t="shared" ref="B408:B426" si="76">H381</f>
        <v>22</v>
      </c>
      <c r="C408" s="11"/>
      <c r="D408" s="11"/>
      <c r="E408" s="13">
        <v>6.0</v>
      </c>
      <c r="F408" s="13">
        <v>0.0</v>
      </c>
      <c r="G408" s="12">
        <f t="shared" ref="G408:G430" si="77">E408-F408</f>
        <v>6</v>
      </c>
      <c r="H408" s="12">
        <f t="shared" ref="H408:H430" si="78">B408-C408+D408-G408</f>
        <v>16</v>
      </c>
      <c r="I408" s="14">
        <f t="shared" ref="I408:I430" si="79">G408*6</f>
        <v>36</v>
      </c>
    </row>
    <row r="409">
      <c r="A409" s="11" t="s">
        <v>11</v>
      </c>
      <c r="B409" s="12">
        <f t="shared" si="76"/>
        <v>33</v>
      </c>
      <c r="C409" s="17"/>
      <c r="D409" s="11"/>
      <c r="E409" s="13">
        <v>4.0</v>
      </c>
      <c r="F409" s="13">
        <v>3.0</v>
      </c>
      <c r="G409" s="12">
        <f t="shared" si="77"/>
        <v>1</v>
      </c>
      <c r="H409" s="12">
        <f t="shared" si="78"/>
        <v>32</v>
      </c>
      <c r="I409" s="14">
        <f t="shared" si="79"/>
        <v>6</v>
      </c>
    </row>
    <row r="410">
      <c r="A410" s="11" t="s">
        <v>12</v>
      </c>
      <c r="B410" s="12">
        <f t="shared" si="76"/>
        <v>41</v>
      </c>
      <c r="C410" s="11"/>
      <c r="D410" s="11"/>
      <c r="E410" s="13">
        <v>5.0</v>
      </c>
      <c r="F410" s="13">
        <v>4.0</v>
      </c>
      <c r="G410" s="12">
        <f t="shared" si="77"/>
        <v>1</v>
      </c>
      <c r="H410" s="12">
        <f t="shared" si="78"/>
        <v>40</v>
      </c>
      <c r="I410" s="14">
        <f t="shared" si="79"/>
        <v>6</v>
      </c>
    </row>
    <row r="411">
      <c r="A411" s="11" t="s">
        <v>13</v>
      </c>
      <c r="B411" s="12">
        <f t="shared" si="76"/>
        <v>25</v>
      </c>
      <c r="C411" s="13">
        <v>1.0</v>
      </c>
      <c r="D411" s="13"/>
      <c r="E411" s="13">
        <v>6.0</v>
      </c>
      <c r="F411" s="13">
        <v>3.0</v>
      </c>
      <c r="G411" s="12">
        <f t="shared" si="77"/>
        <v>3</v>
      </c>
      <c r="H411" s="12">
        <f t="shared" si="78"/>
        <v>21</v>
      </c>
      <c r="I411" s="14">
        <f t="shared" si="79"/>
        <v>18</v>
      </c>
    </row>
    <row r="412">
      <c r="A412" s="11" t="s">
        <v>14</v>
      </c>
      <c r="B412" s="12">
        <f t="shared" si="76"/>
        <v>31</v>
      </c>
      <c r="C412" s="11"/>
      <c r="D412" s="11"/>
      <c r="E412" s="13">
        <v>4.0</v>
      </c>
      <c r="F412" s="13">
        <v>3.0</v>
      </c>
      <c r="G412" s="12">
        <f t="shared" si="77"/>
        <v>1</v>
      </c>
      <c r="H412" s="12">
        <f t="shared" si="78"/>
        <v>30</v>
      </c>
      <c r="I412" s="14">
        <f t="shared" si="79"/>
        <v>6</v>
      </c>
    </row>
    <row r="413">
      <c r="A413" s="11" t="s">
        <v>15</v>
      </c>
      <c r="B413" s="12">
        <f t="shared" si="76"/>
        <v>23</v>
      </c>
      <c r="C413" s="11"/>
      <c r="D413" s="11"/>
      <c r="E413" s="13">
        <v>6.0</v>
      </c>
      <c r="F413" s="13">
        <v>5.0</v>
      </c>
      <c r="G413" s="12">
        <f t="shared" si="77"/>
        <v>1</v>
      </c>
      <c r="H413" s="12">
        <f t="shared" si="78"/>
        <v>22</v>
      </c>
      <c r="I413" s="14">
        <f t="shared" si="79"/>
        <v>6</v>
      </c>
    </row>
    <row r="414">
      <c r="A414" s="11" t="s">
        <v>16</v>
      </c>
      <c r="B414" s="12">
        <f t="shared" si="76"/>
        <v>25</v>
      </c>
      <c r="C414" s="11"/>
      <c r="D414" s="11"/>
      <c r="E414" s="13">
        <v>4.0</v>
      </c>
      <c r="F414" s="13">
        <v>4.0</v>
      </c>
      <c r="G414" s="12">
        <f t="shared" si="77"/>
        <v>0</v>
      </c>
      <c r="H414" s="12">
        <f t="shared" si="78"/>
        <v>25</v>
      </c>
      <c r="I414" s="14">
        <f t="shared" si="79"/>
        <v>0</v>
      </c>
    </row>
    <row r="415">
      <c r="A415" s="11" t="s">
        <v>17</v>
      </c>
      <c r="B415" s="12">
        <f t="shared" si="76"/>
        <v>14</v>
      </c>
      <c r="C415" s="11"/>
      <c r="D415" s="11"/>
      <c r="E415" s="13">
        <v>4.0</v>
      </c>
      <c r="F415" s="13">
        <v>3.0</v>
      </c>
      <c r="G415" s="12">
        <f t="shared" si="77"/>
        <v>1</v>
      </c>
      <c r="H415" s="12">
        <f t="shared" si="78"/>
        <v>13</v>
      </c>
      <c r="I415" s="14">
        <f t="shared" si="79"/>
        <v>6</v>
      </c>
    </row>
    <row r="416">
      <c r="A416" s="11" t="s">
        <v>18</v>
      </c>
      <c r="B416" s="12">
        <f t="shared" si="76"/>
        <v>36</v>
      </c>
      <c r="C416" s="13">
        <v>1.0</v>
      </c>
      <c r="D416" s="11"/>
      <c r="E416" s="13">
        <v>5.0</v>
      </c>
      <c r="F416" s="13">
        <v>4.0</v>
      </c>
      <c r="G416" s="12">
        <f t="shared" si="77"/>
        <v>1</v>
      </c>
      <c r="H416" s="12">
        <f t="shared" si="78"/>
        <v>34</v>
      </c>
      <c r="I416" s="14">
        <f t="shared" si="79"/>
        <v>6</v>
      </c>
    </row>
    <row r="417">
      <c r="A417" s="11" t="s">
        <v>19</v>
      </c>
      <c r="B417" s="12">
        <f t="shared" si="76"/>
        <v>11</v>
      </c>
      <c r="C417" s="11"/>
      <c r="D417" s="11"/>
      <c r="E417" s="13">
        <v>5.0</v>
      </c>
      <c r="F417" s="13">
        <v>5.0</v>
      </c>
      <c r="G417" s="12">
        <f t="shared" si="77"/>
        <v>0</v>
      </c>
      <c r="H417" s="28">
        <f t="shared" si="78"/>
        <v>11</v>
      </c>
      <c r="I417" s="14">
        <f t="shared" si="79"/>
        <v>0</v>
      </c>
    </row>
    <row r="418">
      <c r="A418" s="11" t="s">
        <v>20</v>
      </c>
      <c r="B418" s="12">
        <f t="shared" si="76"/>
        <v>18</v>
      </c>
      <c r="C418" s="11"/>
      <c r="D418" s="11"/>
      <c r="E418" s="13">
        <v>5.0</v>
      </c>
      <c r="F418" s="13">
        <v>5.0</v>
      </c>
      <c r="G418" s="12">
        <f t="shared" si="77"/>
        <v>0</v>
      </c>
      <c r="H418" s="12">
        <f t="shared" si="78"/>
        <v>18</v>
      </c>
      <c r="I418" s="14">
        <f t="shared" si="79"/>
        <v>0</v>
      </c>
    </row>
    <row r="419">
      <c r="A419" s="11" t="s">
        <v>21</v>
      </c>
      <c r="B419" s="12">
        <f t="shared" si="76"/>
        <v>8</v>
      </c>
      <c r="C419" s="11"/>
      <c r="D419" s="11"/>
      <c r="E419" s="13">
        <v>2.0</v>
      </c>
      <c r="F419" s="13">
        <v>1.0</v>
      </c>
      <c r="G419" s="12">
        <f t="shared" si="77"/>
        <v>1</v>
      </c>
      <c r="H419" s="12">
        <f t="shared" si="78"/>
        <v>7</v>
      </c>
      <c r="I419" s="14">
        <f t="shared" si="79"/>
        <v>6</v>
      </c>
    </row>
    <row r="420">
      <c r="A420" s="11" t="s">
        <v>22</v>
      </c>
      <c r="B420" s="12">
        <f t="shared" si="76"/>
        <v>14</v>
      </c>
      <c r="C420" s="11"/>
      <c r="D420" s="11"/>
      <c r="E420" s="13">
        <v>4.0</v>
      </c>
      <c r="F420" s="13">
        <v>2.0</v>
      </c>
      <c r="G420" s="12">
        <f t="shared" si="77"/>
        <v>2</v>
      </c>
      <c r="H420" s="12">
        <f t="shared" si="78"/>
        <v>12</v>
      </c>
      <c r="I420" s="14">
        <f t="shared" si="79"/>
        <v>12</v>
      </c>
    </row>
    <row r="421">
      <c r="A421" s="11" t="s">
        <v>23</v>
      </c>
      <c r="B421" s="12">
        <f t="shared" si="76"/>
        <v>22</v>
      </c>
      <c r="C421" s="17"/>
      <c r="D421" s="11"/>
      <c r="E421" s="13">
        <v>6.0</v>
      </c>
      <c r="F421" s="13">
        <v>5.0</v>
      </c>
      <c r="G421" s="12">
        <f t="shared" si="77"/>
        <v>1</v>
      </c>
      <c r="H421" s="12">
        <f t="shared" si="78"/>
        <v>21</v>
      </c>
      <c r="I421" s="14">
        <f t="shared" si="79"/>
        <v>6</v>
      </c>
    </row>
    <row r="422">
      <c r="A422" s="11" t="s">
        <v>24</v>
      </c>
      <c r="B422" s="12">
        <f t="shared" si="76"/>
        <v>19</v>
      </c>
      <c r="C422" s="11"/>
      <c r="D422" s="11"/>
      <c r="E422" s="13">
        <v>3.0</v>
      </c>
      <c r="F422" s="13">
        <v>3.0</v>
      </c>
      <c r="G422" s="12">
        <f t="shared" si="77"/>
        <v>0</v>
      </c>
      <c r="H422" s="12">
        <f t="shared" si="78"/>
        <v>19</v>
      </c>
      <c r="I422" s="14">
        <f t="shared" si="79"/>
        <v>0</v>
      </c>
    </row>
    <row r="423">
      <c r="A423" s="11" t="s">
        <v>25</v>
      </c>
      <c r="B423" s="12">
        <f t="shared" si="76"/>
        <v>31</v>
      </c>
      <c r="C423" s="13">
        <v>1.0</v>
      </c>
      <c r="D423" s="13">
        <v>32.0</v>
      </c>
      <c r="E423" s="13">
        <v>10.0</v>
      </c>
      <c r="F423" s="13">
        <v>4.0</v>
      </c>
      <c r="G423" s="12">
        <f t="shared" si="77"/>
        <v>6</v>
      </c>
      <c r="H423" s="12">
        <f t="shared" si="78"/>
        <v>56</v>
      </c>
      <c r="I423" s="14">
        <f t="shared" si="79"/>
        <v>36</v>
      </c>
    </row>
    <row r="424">
      <c r="A424" s="11" t="s">
        <v>26</v>
      </c>
      <c r="B424" s="12">
        <f t="shared" si="76"/>
        <v>23</v>
      </c>
      <c r="C424" s="11"/>
      <c r="D424" s="11"/>
      <c r="E424" s="13">
        <v>5.0</v>
      </c>
      <c r="F424" s="13">
        <v>5.0</v>
      </c>
      <c r="G424" s="12">
        <f t="shared" si="77"/>
        <v>0</v>
      </c>
      <c r="H424" s="12">
        <f t="shared" si="78"/>
        <v>23</v>
      </c>
      <c r="I424" s="14">
        <f t="shared" si="79"/>
        <v>0</v>
      </c>
    </row>
    <row r="425">
      <c r="A425" s="11" t="s">
        <v>27</v>
      </c>
      <c r="B425" s="12">
        <f t="shared" si="76"/>
        <v>24</v>
      </c>
      <c r="C425" s="11"/>
      <c r="D425" s="11"/>
      <c r="E425" s="13">
        <v>3.0</v>
      </c>
      <c r="F425" s="13">
        <v>3.0</v>
      </c>
      <c r="G425" s="12">
        <f t="shared" si="77"/>
        <v>0</v>
      </c>
      <c r="H425" s="12">
        <f t="shared" si="78"/>
        <v>24</v>
      </c>
      <c r="I425" s="14">
        <f t="shared" si="79"/>
        <v>0</v>
      </c>
    </row>
    <row r="426">
      <c r="A426" s="11" t="s">
        <v>28</v>
      </c>
      <c r="B426" s="12">
        <f t="shared" si="76"/>
        <v>27</v>
      </c>
      <c r="C426" s="11"/>
      <c r="D426" s="11"/>
      <c r="E426" s="13">
        <v>8.0</v>
      </c>
      <c r="F426" s="13">
        <v>8.0</v>
      </c>
      <c r="G426" s="12">
        <f t="shared" si="77"/>
        <v>0</v>
      </c>
      <c r="H426" s="12">
        <f t="shared" si="78"/>
        <v>27</v>
      </c>
      <c r="I426" s="14">
        <f t="shared" si="79"/>
        <v>0</v>
      </c>
    </row>
    <row r="427">
      <c r="A427" s="13" t="s">
        <v>29</v>
      </c>
      <c r="B427" s="29">
        <v>0.0</v>
      </c>
      <c r="C427" s="11"/>
      <c r="D427" s="13">
        <v>28.0</v>
      </c>
      <c r="E427" s="13">
        <v>14.0</v>
      </c>
      <c r="F427" s="13">
        <v>1.0</v>
      </c>
      <c r="G427" s="12">
        <f t="shared" si="77"/>
        <v>13</v>
      </c>
      <c r="H427" s="12">
        <f t="shared" si="78"/>
        <v>15</v>
      </c>
      <c r="I427" s="14">
        <f t="shared" si="79"/>
        <v>78</v>
      </c>
    </row>
    <row r="428">
      <c r="A428" s="11" t="s">
        <v>30</v>
      </c>
      <c r="B428" s="12">
        <f t="shared" ref="B428:B430" si="80">H400</f>
        <v>18</v>
      </c>
      <c r="C428" s="11"/>
      <c r="D428" s="11"/>
      <c r="E428" s="26">
        <v>3.0</v>
      </c>
      <c r="F428" s="13">
        <v>3.0</v>
      </c>
      <c r="G428" s="12">
        <f t="shared" si="77"/>
        <v>0</v>
      </c>
      <c r="H428" s="12">
        <f t="shared" si="78"/>
        <v>18</v>
      </c>
      <c r="I428" s="14">
        <f t="shared" si="79"/>
        <v>0</v>
      </c>
    </row>
    <row r="429">
      <c r="A429" s="18" t="s">
        <v>31</v>
      </c>
      <c r="B429" s="12">
        <f t="shared" si="80"/>
        <v>13</v>
      </c>
      <c r="C429" s="11"/>
      <c r="D429" s="11"/>
      <c r="E429" s="13">
        <v>2.0</v>
      </c>
      <c r="F429" s="13">
        <v>1.0</v>
      </c>
      <c r="G429" s="12">
        <f t="shared" si="77"/>
        <v>1</v>
      </c>
      <c r="H429" s="12">
        <f t="shared" si="78"/>
        <v>12</v>
      </c>
      <c r="I429" s="14">
        <f t="shared" si="79"/>
        <v>6</v>
      </c>
    </row>
    <row r="430">
      <c r="A430" s="18" t="s">
        <v>32</v>
      </c>
      <c r="B430" s="12">
        <f t="shared" si="80"/>
        <v>2</v>
      </c>
      <c r="C430" s="11"/>
      <c r="D430" s="11"/>
      <c r="E430" s="13">
        <v>2.0</v>
      </c>
      <c r="F430" s="13">
        <v>2.0</v>
      </c>
      <c r="G430" s="12">
        <f t="shared" si="77"/>
        <v>0</v>
      </c>
      <c r="H430" s="12">
        <f t="shared" si="78"/>
        <v>2</v>
      </c>
      <c r="I430" s="14">
        <f t="shared" si="79"/>
        <v>0</v>
      </c>
    </row>
    <row r="431">
      <c r="A431" s="19" t="s">
        <v>33</v>
      </c>
      <c r="B431" s="20">
        <f>SUM(B408:B430)</f>
        <v>480</v>
      </c>
      <c r="C431" s="19"/>
      <c r="D431" s="19"/>
      <c r="E431" s="20">
        <f t="shared" ref="E431:G431" si="81">SUM(E407:E430)</f>
        <v>116</v>
      </c>
      <c r="F431" s="20">
        <f t="shared" si="81"/>
        <v>77</v>
      </c>
      <c r="G431" s="20">
        <f t="shared" si="81"/>
        <v>39</v>
      </c>
      <c r="H431" s="20">
        <f>SUM(H408:H430)</f>
        <v>498</v>
      </c>
      <c r="I431" s="21">
        <f>SUM(I407:I430)</f>
        <v>234</v>
      </c>
    </row>
    <row r="432">
      <c r="A432" s="22"/>
      <c r="B432" s="22"/>
      <c r="C432" s="22"/>
      <c r="D432" s="22"/>
      <c r="E432" s="22"/>
      <c r="F432" s="23" t="s">
        <v>34</v>
      </c>
      <c r="G432" s="4"/>
      <c r="H432" s="24"/>
      <c r="I432" s="25"/>
    </row>
    <row r="434">
      <c r="A434" s="1"/>
      <c r="B434" s="2" t="s">
        <v>78</v>
      </c>
      <c r="C434" s="3"/>
      <c r="D434" s="3"/>
      <c r="E434" s="3"/>
      <c r="F434" s="3"/>
      <c r="G434" s="3"/>
      <c r="H434" s="3"/>
      <c r="I434" s="4"/>
    </row>
    <row r="435">
      <c r="A435" s="5" t="s">
        <v>1</v>
      </c>
      <c r="B435" s="9" t="s">
        <v>2</v>
      </c>
      <c r="C435" s="7" t="s">
        <v>3</v>
      </c>
      <c r="D435" s="8" t="s">
        <v>4</v>
      </c>
      <c r="E435" s="5" t="s">
        <v>5</v>
      </c>
      <c r="F435" s="5" t="s">
        <v>6</v>
      </c>
      <c r="G435" s="5" t="s">
        <v>7</v>
      </c>
      <c r="H435" s="9" t="s">
        <v>8</v>
      </c>
      <c r="I435" s="10" t="s">
        <v>9</v>
      </c>
    </row>
    <row r="436">
      <c r="A436" s="11" t="s">
        <v>10</v>
      </c>
      <c r="B436" s="12">
        <f t="shared" ref="B436:B458" si="82">H408</f>
        <v>16</v>
      </c>
      <c r="C436" s="11"/>
      <c r="D436" s="11"/>
      <c r="E436" s="13">
        <v>6.0</v>
      </c>
      <c r="F436" s="13">
        <v>4.0</v>
      </c>
      <c r="G436" s="12">
        <f t="shared" ref="G436:G458" si="83">E436-F436</f>
        <v>2</v>
      </c>
      <c r="H436" s="12">
        <f t="shared" ref="H436:H458" si="84">B436-C436+D436-G436</f>
        <v>14</v>
      </c>
      <c r="I436" s="14">
        <f t="shared" ref="I436:I458" si="85">G436*6</f>
        <v>12</v>
      </c>
    </row>
    <row r="437">
      <c r="A437" s="11" t="s">
        <v>11</v>
      </c>
      <c r="B437" s="12">
        <f t="shared" si="82"/>
        <v>32</v>
      </c>
      <c r="C437" s="17"/>
      <c r="D437" s="11"/>
      <c r="E437" s="13">
        <v>4.0</v>
      </c>
      <c r="F437" s="13">
        <v>3.0</v>
      </c>
      <c r="G437" s="12">
        <f t="shared" si="83"/>
        <v>1</v>
      </c>
      <c r="H437" s="12">
        <f t="shared" si="84"/>
        <v>31</v>
      </c>
      <c r="I437" s="14">
        <f t="shared" si="85"/>
        <v>6</v>
      </c>
    </row>
    <row r="438">
      <c r="A438" s="11" t="s">
        <v>12</v>
      </c>
      <c r="B438" s="12">
        <f t="shared" si="82"/>
        <v>40</v>
      </c>
      <c r="C438" s="11"/>
      <c r="D438" s="11"/>
      <c r="E438" s="13">
        <v>4.0</v>
      </c>
      <c r="F438" s="13">
        <v>3.0</v>
      </c>
      <c r="G438" s="12">
        <f t="shared" si="83"/>
        <v>1</v>
      </c>
      <c r="H438" s="12">
        <f t="shared" si="84"/>
        <v>39</v>
      </c>
      <c r="I438" s="14">
        <f t="shared" si="85"/>
        <v>6</v>
      </c>
    </row>
    <row r="439">
      <c r="A439" s="11" t="s">
        <v>13</v>
      </c>
      <c r="B439" s="12">
        <f t="shared" si="82"/>
        <v>21</v>
      </c>
      <c r="C439" s="13"/>
      <c r="D439" s="13"/>
      <c r="E439" s="13">
        <v>6.0</v>
      </c>
      <c r="F439" s="13">
        <v>3.0</v>
      </c>
      <c r="G439" s="12">
        <f t="shared" si="83"/>
        <v>3</v>
      </c>
      <c r="H439" s="12">
        <f t="shared" si="84"/>
        <v>18</v>
      </c>
      <c r="I439" s="14">
        <f t="shared" si="85"/>
        <v>18</v>
      </c>
    </row>
    <row r="440">
      <c r="A440" s="11" t="s">
        <v>14</v>
      </c>
      <c r="B440" s="12">
        <f t="shared" si="82"/>
        <v>30</v>
      </c>
      <c r="C440" s="11"/>
      <c r="D440" s="11"/>
      <c r="E440" s="13">
        <v>4.0</v>
      </c>
      <c r="F440" s="13">
        <v>0.0</v>
      </c>
      <c r="G440" s="12">
        <f t="shared" si="83"/>
        <v>4</v>
      </c>
      <c r="H440" s="12">
        <f t="shared" si="84"/>
        <v>26</v>
      </c>
      <c r="I440" s="14">
        <f t="shared" si="85"/>
        <v>24</v>
      </c>
    </row>
    <row r="441">
      <c r="A441" s="11" t="s">
        <v>15</v>
      </c>
      <c r="B441" s="12">
        <f t="shared" si="82"/>
        <v>22</v>
      </c>
      <c r="C441" s="11"/>
      <c r="D441" s="11"/>
      <c r="E441" s="13">
        <v>5.0</v>
      </c>
      <c r="F441" s="13">
        <v>0.0</v>
      </c>
      <c r="G441" s="12">
        <f t="shared" si="83"/>
        <v>5</v>
      </c>
      <c r="H441" s="12">
        <f t="shared" si="84"/>
        <v>17</v>
      </c>
      <c r="I441" s="14">
        <f t="shared" si="85"/>
        <v>30</v>
      </c>
    </row>
    <row r="442">
      <c r="A442" s="11" t="s">
        <v>16</v>
      </c>
      <c r="B442" s="12">
        <f t="shared" si="82"/>
        <v>25</v>
      </c>
      <c r="C442" s="11"/>
      <c r="D442" s="11"/>
      <c r="E442" s="13">
        <v>4.0</v>
      </c>
      <c r="F442" s="13">
        <v>4.0</v>
      </c>
      <c r="G442" s="12">
        <f t="shared" si="83"/>
        <v>0</v>
      </c>
      <c r="H442" s="12">
        <f t="shared" si="84"/>
        <v>25</v>
      </c>
      <c r="I442" s="14">
        <f t="shared" si="85"/>
        <v>0</v>
      </c>
    </row>
    <row r="443">
      <c r="A443" s="11" t="s">
        <v>17</v>
      </c>
      <c r="B443" s="12">
        <f t="shared" si="82"/>
        <v>13</v>
      </c>
      <c r="C443" s="11"/>
      <c r="D443" s="11"/>
      <c r="E443" s="13">
        <v>4.0</v>
      </c>
      <c r="F443" s="13">
        <v>4.0</v>
      </c>
      <c r="G443" s="12">
        <f t="shared" si="83"/>
        <v>0</v>
      </c>
      <c r="H443" s="12">
        <f t="shared" si="84"/>
        <v>13</v>
      </c>
      <c r="I443" s="14">
        <f t="shared" si="85"/>
        <v>0</v>
      </c>
    </row>
    <row r="444">
      <c r="A444" s="11" t="s">
        <v>18</v>
      </c>
      <c r="B444" s="12">
        <f t="shared" si="82"/>
        <v>34</v>
      </c>
      <c r="C444" s="11"/>
      <c r="D444" s="11"/>
      <c r="E444" s="13">
        <v>5.0</v>
      </c>
      <c r="F444" s="13">
        <v>5.0</v>
      </c>
      <c r="G444" s="12">
        <f t="shared" si="83"/>
        <v>0</v>
      </c>
      <c r="H444" s="12">
        <f t="shared" si="84"/>
        <v>34</v>
      </c>
      <c r="I444" s="14">
        <f t="shared" si="85"/>
        <v>0</v>
      </c>
    </row>
    <row r="445">
      <c r="A445" s="11" t="s">
        <v>19</v>
      </c>
      <c r="B445" s="12">
        <f t="shared" si="82"/>
        <v>11</v>
      </c>
      <c r="C445" s="11"/>
      <c r="D445" s="11"/>
      <c r="E445" s="13">
        <v>5.0</v>
      </c>
      <c r="F445" s="13">
        <v>5.0</v>
      </c>
      <c r="G445" s="12">
        <f t="shared" si="83"/>
        <v>0</v>
      </c>
      <c r="H445" s="12">
        <f t="shared" si="84"/>
        <v>11</v>
      </c>
      <c r="I445" s="14">
        <f t="shared" si="85"/>
        <v>0</v>
      </c>
    </row>
    <row r="446">
      <c r="A446" s="11" t="s">
        <v>20</v>
      </c>
      <c r="B446" s="12">
        <f t="shared" si="82"/>
        <v>18</v>
      </c>
      <c r="C446" s="11"/>
      <c r="D446" s="11"/>
      <c r="E446" s="13">
        <v>5.0</v>
      </c>
      <c r="F446" s="13">
        <v>3.0</v>
      </c>
      <c r="G446" s="12">
        <f t="shared" si="83"/>
        <v>2</v>
      </c>
      <c r="H446" s="12">
        <f t="shared" si="84"/>
        <v>16</v>
      </c>
      <c r="I446" s="14">
        <f t="shared" si="85"/>
        <v>12</v>
      </c>
    </row>
    <row r="447">
      <c r="A447" s="11" t="s">
        <v>21</v>
      </c>
      <c r="B447" s="12">
        <f t="shared" si="82"/>
        <v>7</v>
      </c>
      <c r="C447" s="11"/>
      <c r="D447" s="11"/>
      <c r="E447" s="13">
        <v>2.0</v>
      </c>
      <c r="F447" s="13">
        <v>2.0</v>
      </c>
      <c r="G447" s="12">
        <f t="shared" si="83"/>
        <v>0</v>
      </c>
      <c r="H447" s="12">
        <f t="shared" si="84"/>
        <v>7</v>
      </c>
      <c r="I447" s="14">
        <f t="shared" si="85"/>
        <v>0</v>
      </c>
    </row>
    <row r="448">
      <c r="A448" s="11" t="s">
        <v>22</v>
      </c>
      <c r="B448" s="12">
        <f t="shared" si="82"/>
        <v>12</v>
      </c>
      <c r="C448" s="11"/>
      <c r="D448" s="11"/>
      <c r="E448" s="13">
        <v>4.0</v>
      </c>
      <c r="F448" s="13">
        <v>3.0</v>
      </c>
      <c r="G448" s="12">
        <f t="shared" si="83"/>
        <v>1</v>
      </c>
      <c r="H448" s="12">
        <f t="shared" si="84"/>
        <v>11</v>
      </c>
      <c r="I448" s="14">
        <f t="shared" si="85"/>
        <v>6</v>
      </c>
    </row>
    <row r="449">
      <c r="A449" s="11" t="s">
        <v>23</v>
      </c>
      <c r="B449" s="12">
        <f t="shared" si="82"/>
        <v>21</v>
      </c>
      <c r="C449" s="17"/>
      <c r="D449" s="13">
        <v>30.0</v>
      </c>
      <c r="E449" s="13">
        <v>6.0</v>
      </c>
      <c r="F449" s="13">
        <v>5.0</v>
      </c>
      <c r="G449" s="12">
        <f t="shared" si="83"/>
        <v>1</v>
      </c>
      <c r="H449" s="12">
        <f t="shared" si="84"/>
        <v>50</v>
      </c>
      <c r="I449" s="14">
        <f t="shared" si="85"/>
        <v>6</v>
      </c>
    </row>
    <row r="450">
      <c r="A450" s="11" t="s">
        <v>24</v>
      </c>
      <c r="B450" s="12">
        <f t="shared" si="82"/>
        <v>19</v>
      </c>
      <c r="C450" s="11"/>
      <c r="D450" s="11"/>
      <c r="E450" s="13">
        <v>3.0</v>
      </c>
      <c r="F450" s="13">
        <v>3.0</v>
      </c>
      <c r="G450" s="12">
        <f t="shared" si="83"/>
        <v>0</v>
      </c>
      <c r="H450" s="12">
        <f t="shared" si="84"/>
        <v>19</v>
      </c>
      <c r="I450" s="14">
        <f t="shared" si="85"/>
        <v>0</v>
      </c>
    </row>
    <row r="451">
      <c r="A451" s="11" t="s">
        <v>25</v>
      </c>
      <c r="B451" s="12">
        <f t="shared" si="82"/>
        <v>56</v>
      </c>
      <c r="C451" s="11"/>
      <c r="D451" s="13"/>
      <c r="E451" s="13">
        <v>8.0</v>
      </c>
      <c r="F451" s="13">
        <v>3.0</v>
      </c>
      <c r="G451" s="12">
        <f t="shared" si="83"/>
        <v>5</v>
      </c>
      <c r="H451" s="12">
        <f t="shared" si="84"/>
        <v>51</v>
      </c>
      <c r="I451" s="14">
        <f t="shared" si="85"/>
        <v>30</v>
      </c>
    </row>
    <row r="452">
      <c r="A452" s="11" t="s">
        <v>26</v>
      </c>
      <c r="B452" s="12">
        <f t="shared" si="82"/>
        <v>23</v>
      </c>
      <c r="C452" s="11"/>
      <c r="D452" s="11"/>
      <c r="E452" s="13">
        <v>5.0</v>
      </c>
      <c r="F452" s="13">
        <v>1.0</v>
      </c>
      <c r="G452" s="12">
        <f t="shared" si="83"/>
        <v>4</v>
      </c>
      <c r="H452" s="12">
        <f t="shared" si="84"/>
        <v>19</v>
      </c>
      <c r="I452" s="14">
        <f t="shared" si="85"/>
        <v>24</v>
      </c>
    </row>
    <row r="453">
      <c r="A453" s="11" t="s">
        <v>27</v>
      </c>
      <c r="B453" s="12">
        <f t="shared" si="82"/>
        <v>24</v>
      </c>
      <c r="C453" s="11"/>
      <c r="D453" s="11"/>
      <c r="E453" s="13">
        <v>3.0</v>
      </c>
      <c r="F453" s="13">
        <v>0.0</v>
      </c>
      <c r="G453" s="12">
        <f t="shared" si="83"/>
        <v>3</v>
      </c>
      <c r="H453" s="12">
        <f t="shared" si="84"/>
        <v>21</v>
      </c>
      <c r="I453" s="14">
        <f t="shared" si="85"/>
        <v>18</v>
      </c>
    </row>
    <row r="454">
      <c r="A454" s="13" t="s">
        <v>79</v>
      </c>
      <c r="B454" s="12">
        <f t="shared" si="82"/>
        <v>27</v>
      </c>
      <c r="C454" s="11"/>
      <c r="D454" s="11"/>
      <c r="E454" s="13">
        <v>8.0</v>
      </c>
      <c r="F454" s="13">
        <v>3.0</v>
      </c>
      <c r="G454" s="12">
        <f t="shared" si="83"/>
        <v>5</v>
      </c>
      <c r="H454" s="12">
        <f t="shared" si="84"/>
        <v>22</v>
      </c>
      <c r="I454" s="14">
        <f t="shared" si="85"/>
        <v>30</v>
      </c>
    </row>
    <row r="455">
      <c r="A455" s="13" t="s">
        <v>29</v>
      </c>
      <c r="B455" s="12">
        <f t="shared" si="82"/>
        <v>15</v>
      </c>
      <c r="C455" s="11"/>
      <c r="D455" s="13">
        <v>27.0</v>
      </c>
      <c r="E455" s="13">
        <v>15.0</v>
      </c>
      <c r="F455" s="13">
        <v>0.0</v>
      </c>
      <c r="G455" s="12">
        <f t="shared" si="83"/>
        <v>15</v>
      </c>
      <c r="H455" s="12">
        <f t="shared" si="84"/>
        <v>27</v>
      </c>
      <c r="I455" s="14">
        <f t="shared" si="85"/>
        <v>90</v>
      </c>
    </row>
    <row r="456">
      <c r="A456" s="11" t="s">
        <v>30</v>
      </c>
      <c r="B456" s="12">
        <f t="shared" si="82"/>
        <v>18</v>
      </c>
      <c r="C456" s="11"/>
      <c r="D456" s="11"/>
      <c r="E456" s="13">
        <v>3.0</v>
      </c>
      <c r="F456" s="13">
        <v>3.0</v>
      </c>
      <c r="G456" s="12">
        <f t="shared" si="83"/>
        <v>0</v>
      </c>
      <c r="H456" s="12">
        <f t="shared" si="84"/>
        <v>18</v>
      </c>
      <c r="I456" s="14">
        <f t="shared" si="85"/>
        <v>0</v>
      </c>
    </row>
    <row r="457">
      <c r="A457" s="18" t="s">
        <v>31</v>
      </c>
      <c r="B457" s="12">
        <f t="shared" si="82"/>
        <v>12</v>
      </c>
      <c r="C457" s="11"/>
      <c r="D457" s="11"/>
      <c r="E457" s="13">
        <v>2.0</v>
      </c>
      <c r="F457" s="13">
        <v>2.0</v>
      </c>
      <c r="G457" s="12">
        <f t="shared" si="83"/>
        <v>0</v>
      </c>
      <c r="H457" s="12">
        <f t="shared" si="84"/>
        <v>12</v>
      </c>
      <c r="I457" s="14">
        <f t="shared" si="85"/>
        <v>0</v>
      </c>
    </row>
    <row r="458">
      <c r="A458" s="18" t="s">
        <v>32</v>
      </c>
      <c r="B458" s="12">
        <f t="shared" si="82"/>
        <v>2</v>
      </c>
      <c r="C458" s="11"/>
      <c r="D458" s="11"/>
      <c r="E458" s="13">
        <v>2.0</v>
      </c>
      <c r="F458" s="13">
        <v>2.0</v>
      </c>
      <c r="G458" s="12">
        <f t="shared" si="83"/>
        <v>0</v>
      </c>
      <c r="H458" s="12">
        <f t="shared" si="84"/>
        <v>2</v>
      </c>
      <c r="I458" s="14">
        <f t="shared" si="85"/>
        <v>0</v>
      </c>
    </row>
    <row r="459">
      <c r="A459" s="19" t="s">
        <v>33</v>
      </c>
      <c r="B459" s="20">
        <f>SUM(B436:B458)</f>
        <v>498</v>
      </c>
      <c r="C459" s="19"/>
      <c r="D459" s="19"/>
      <c r="E459" s="20">
        <f t="shared" ref="E459:G459" si="86">SUM(E435:E458)</f>
        <v>113</v>
      </c>
      <c r="F459" s="20">
        <f t="shared" si="86"/>
        <v>61</v>
      </c>
      <c r="G459" s="20">
        <f t="shared" si="86"/>
        <v>52</v>
      </c>
      <c r="H459" s="20">
        <f>SUM(H436:H458)</f>
        <v>503</v>
      </c>
      <c r="I459" s="21">
        <f>SUM(I435:I458)</f>
        <v>312</v>
      </c>
    </row>
    <row r="460">
      <c r="A460" s="22"/>
      <c r="B460" s="22"/>
      <c r="C460" s="22"/>
      <c r="D460" s="22"/>
      <c r="E460" s="22"/>
      <c r="F460" s="23" t="s">
        <v>34</v>
      </c>
      <c r="G460" s="4"/>
      <c r="H460" s="24"/>
      <c r="I460" s="25"/>
    </row>
    <row r="462">
      <c r="A462" s="1"/>
      <c r="B462" s="2" t="s">
        <v>80</v>
      </c>
      <c r="C462" s="3"/>
      <c r="D462" s="3"/>
      <c r="E462" s="3"/>
      <c r="F462" s="3"/>
      <c r="G462" s="3"/>
      <c r="H462" s="3"/>
      <c r="I462" s="4"/>
    </row>
    <row r="463">
      <c r="A463" s="5" t="s">
        <v>1</v>
      </c>
      <c r="B463" s="9" t="s">
        <v>2</v>
      </c>
      <c r="C463" s="7" t="s">
        <v>3</v>
      </c>
      <c r="D463" s="8" t="s">
        <v>4</v>
      </c>
      <c r="E463" s="5" t="s">
        <v>5</v>
      </c>
      <c r="F463" s="5" t="s">
        <v>6</v>
      </c>
      <c r="G463" s="5" t="s">
        <v>7</v>
      </c>
      <c r="H463" s="9" t="s">
        <v>8</v>
      </c>
      <c r="I463" s="10" t="s">
        <v>9</v>
      </c>
    </row>
    <row r="464">
      <c r="A464" s="11" t="s">
        <v>10</v>
      </c>
      <c r="B464" s="12">
        <f t="shared" ref="B464:B486" si="87">H436</f>
        <v>14</v>
      </c>
      <c r="C464" s="11"/>
      <c r="D464" s="11"/>
      <c r="E464" s="13">
        <v>6.0</v>
      </c>
      <c r="F464" s="13">
        <v>3.0</v>
      </c>
      <c r="G464" s="12">
        <f t="shared" ref="G464:G486" si="88">E464-F464</f>
        <v>3</v>
      </c>
      <c r="H464" s="12">
        <f t="shared" ref="H464:H486" si="89">B464-C464+D464-G464</f>
        <v>11</v>
      </c>
      <c r="I464" s="14">
        <f t="shared" ref="I464:I486" si="90">G464*6</f>
        <v>18</v>
      </c>
    </row>
    <row r="465">
      <c r="A465" s="11" t="s">
        <v>11</v>
      </c>
      <c r="B465" s="12">
        <f t="shared" si="87"/>
        <v>31</v>
      </c>
      <c r="C465" s="17"/>
      <c r="D465" s="11"/>
      <c r="E465" s="13">
        <v>5.0</v>
      </c>
      <c r="F465" s="13">
        <v>5.0</v>
      </c>
      <c r="G465" s="12">
        <f t="shared" si="88"/>
        <v>0</v>
      </c>
      <c r="H465" s="12">
        <f t="shared" si="89"/>
        <v>31</v>
      </c>
      <c r="I465" s="14">
        <f t="shared" si="90"/>
        <v>0</v>
      </c>
    </row>
    <row r="466">
      <c r="A466" s="11" t="s">
        <v>12</v>
      </c>
      <c r="B466" s="12">
        <f t="shared" si="87"/>
        <v>39</v>
      </c>
      <c r="C466" s="11"/>
      <c r="D466" s="11"/>
      <c r="E466" s="13">
        <v>5.0</v>
      </c>
      <c r="F466" s="13">
        <v>3.0</v>
      </c>
      <c r="G466" s="12">
        <f t="shared" si="88"/>
        <v>2</v>
      </c>
      <c r="H466" s="12">
        <f t="shared" si="89"/>
        <v>37</v>
      </c>
      <c r="I466" s="14">
        <f t="shared" si="90"/>
        <v>12</v>
      </c>
    </row>
    <row r="467">
      <c r="A467" s="11" t="s">
        <v>13</v>
      </c>
      <c r="B467" s="12">
        <f t="shared" si="87"/>
        <v>18</v>
      </c>
      <c r="C467" s="13"/>
      <c r="D467" s="13"/>
      <c r="E467" s="13">
        <v>6.0</v>
      </c>
      <c r="F467" s="13">
        <v>1.0</v>
      </c>
      <c r="G467" s="12">
        <f t="shared" si="88"/>
        <v>5</v>
      </c>
      <c r="H467" s="12">
        <f t="shared" si="89"/>
        <v>13</v>
      </c>
      <c r="I467" s="14">
        <f t="shared" si="90"/>
        <v>30</v>
      </c>
    </row>
    <row r="468">
      <c r="A468" s="11" t="s">
        <v>14</v>
      </c>
      <c r="B468" s="12">
        <f t="shared" si="87"/>
        <v>26</v>
      </c>
      <c r="C468" s="11"/>
      <c r="D468" s="11"/>
      <c r="E468" s="13">
        <v>4.0</v>
      </c>
      <c r="F468" s="13">
        <v>3.0</v>
      </c>
      <c r="G468" s="12">
        <f t="shared" si="88"/>
        <v>1</v>
      </c>
      <c r="H468" s="12">
        <f t="shared" si="89"/>
        <v>25</v>
      </c>
      <c r="I468" s="14">
        <f t="shared" si="90"/>
        <v>6</v>
      </c>
    </row>
    <row r="469">
      <c r="A469" s="11" t="s">
        <v>15</v>
      </c>
      <c r="B469" s="12">
        <f t="shared" si="87"/>
        <v>17</v>
      </c>
      <c r="C469" s="11"/>
      <c r="D469" s="11"/>
      <c r="E469" s="13">
        <v>7.0</v>
      </c>
      <c r="F469" s="13">
        <v>6.0</v>
      </c>
      <c r="G469" s="12">
        <f t="shared" si="88"/>
        <v>1</v>
      </c>
      <c r="H469" s="12">
        <f t="shared" si="89"/>
        <v>16</v>
      </c>
      <c r="I469" s="14">
        <f t="shared" si="90"/>
        <v>6</v>
      </c>
    </row>
    <row r="470">
      <c r="A470" s="11" t="s">
        <v>16</v>
      </c>
      <c r="B470" s="12">
        <f t="shared" si="87"/>
        <v>25</v>
      </c>
      <c r="C470" s="11"/>
      <c r="D470" s="11"/>
      <c r="E470" s="13">
        <v>4.0</v>
      </c>
      <c r="F470" s="13">
        <v>4.0</v>
      </c>
      <c r="G470" s="12">
        <f t="shared" si="88"/>
        <v>0</v>
      </c>
      <c r="H470" s="12">
        <f t="shared" si="89"/>
        <v>25</v>
      </c>
      <c r="I470" s="14">
        <f t="shared" si="90"/>
        <v>0</v>
      </c>
    </row>
    <row r="471">
      <c r="A471" s="11" t="s">
        <v>17</v>
      </c>
      <c r="B471" s="12">
        <f t="shared" si="87"/>
        <v>13</v>
      </c>
      <c r="C471" s="11"/>
      <c r="D471" s="11"/>
      <c r="E471" s="13">
        <v>4.0</v>
      </c>
      <c r="F471" s="13">
        <v>3.0</v>
      </c>
      <c r="G471" s="12">
        <f t="shared" si="88"/>
        <v>1</v>
      </c>
      <c r="H471" s="12">
        <f t="shared" si="89"/>
        <v>12</v>
      </c>
      <c r="I471" s="14">
        <f t="shared" si="90"/>
        <v>6</v>
      </c>
    </row>
    <row r="472">
      <c r="A472" s="11" t="s">
        <v>18</v>
      </c>
      <c r="B472" s="12">
        <f t="shared" si="87"/>
        <v>34</v>
      </c>
      <c r="C472" s="11"/>
      <c r="D472" s="11"/>
      <c r="E472" s="13">
        <v>5.0</v>
      </c>
      <c r="F472" s="13">
        <v>4.0</v>
      </c>
      <c r="G472" s="12">
        <f t="shared" si="88"/>
        <v>1</v>
      </c>
      <c r="H472" s="12">
        <f t="shared" si="89"/>
        <v>33</v>
      </c>
      <c r="I472" s="14">
        <f t="shared" si="90"/>
        <v>6</v>
      </c>
    </row>
    <row r="473">
      <c r="A473" s="11" t="s">
        <v>19</v>
      </c>
      <c r="B473" s="12">
        <f t="shared" si="87"/>
        <v>11</v>
      </c>
      <c r="C473" s="11"/>
      <c r="D473" s="13">
        <v>30.0</v>
      </c>
      <c r="E473" s="13">
        <v>5.0</v>
      </c>
      <c r="F473" s="13">
        <v>3.0</v>
      </c>
      <c r="G473" s="12">
        <f t="shared" si="88"/>
        <v>2</v>
      </c>
      <c r="H473" s="12">
        <f t="shared" si="89"/>
        <v>39</v>
      </c>
      <c r="I473" s="14">
        <f t="shared" si="90"/>
        <v>12</v>
      </c>
    </row>
    <row r="474">
      <c r="A474" s="11" t="s">
        <v>20</v>
      </c>
      <c r="B474" s="12">
        <f t="shared" si="87"/>
        <v>16</v>
      </c>
      <c r="C474" s="11"/>
      <c r="D474" s="13"/>
      <c r="E474" s="13">
        <v>5.0</v>
      </c>
      <c r="F474" s="13">
        <v>5.0</v>
      </c>
      <c r="G474" s="12">
        <f t="shared" si="88"/>
        <v>0</v>
      </c>
      <c r="H474" s="12">
        <f t="shared" si="89"/>
        <v>16</v>
      </c>
      <c r="I474" s="14">
        <f t="shared" si="90"/>
        <v>0</v>
      </c>
    </row>
    <row r="475">
      <c r="A475" s="11" t="s">
        <v>21</v>
      </c>
      <c r="B475" s="12">
        <f t="shared" si="87"/>
        <v>7</v>
      </c>
      <c r="C475" s="11"/>
      <c r="D475" s="11"/>
      <c r="E475" s="13">
        <v>2.0</v>
      </c>
      <c r="F475" s="13">
        <v>1.0</v>
      </c>
      <c r="G475" s="12">
        <f t="shared" si="88"/>
        <v>1</v>
      </c>
      <c r="H475" s="12">
        <f t="shared" si="89"/>
        <v>6</v>
      </c>
      <c r="I475" s="14">
        <f t="shared" si="90"/>
        <v>6</v>
      </c>
    </row>
    <row r="476">
      <c r="A476" s="11" t="s">
        <v>22</v>
      </c>
      <c r="B476" s="12">
        <f t="shared" si="87"/>
        <v>11</v>
      </c>
      <c r="C476" s="11"/>
      <c r="D476" s="11"/>
      <c r="E476" s="13">
        <v>4.0</v>
      </c>
      <c r="F476" s="13">
        <v>2.0</v>
      </c>
      <c r="G476" s="12">
        <f t="shared" si="88"/>
        <v>2</v>
      </c>
      <c r="H476" s="12">
        <f t="shared" si="89"/>
        <v>9</v>
      </c>
      <c r="I476" s="14">
        <f t="shared" si="90"/>
        <v>12</v>
      </c>
    </row>
    <row r="477">
      <c r="A477" s="11" t="s">
        <v>23</v>
      </c>
      <c r="B477" s="12">
        <f t="shared" si="87"/>
        <v>50</v>
      </c>
      <c r="C477" s="17"/>
      <c r="D477" s="11"/>
      <c r="E477" s="13">
        <v>6.0</v>
      </c>
      <c r="F477" s="13">
        <v>3.0</v>
      </c>
      <c r="G477" s="12">
        <f t="shared" si="88"/>
        <v>3</v>
      </c>
      <c r="H477" s="12">
        <f t="shared" si="89"/>
        <v>47</v>
      </c>
      <c r="I477" s="14">
        <f t="shared" si="90"/>
        <v>18</v>
      </c>
    </row>
    <row r="478">
      <c r="A478" s="11" t="s">
        <v>24</v>
      </c>
      <c r="B478" s="12">
        <f t="shared" si="87"/>
        <v>19</v>
      </c>
      <c r="C478" s="11"/>
      <c r="D478" s="11"/>
      <c r="E478" s="13">
        <v>3.0</v>
      </c>
      <c r="F478" s="13">
        <v>3.0</v>
      </c>
      <c r="G478" s="12">
        <f t="shared" si="88"/>
        <v>0</v>
      </c>
      <c r="H478" s="12">
        <f t="shared" si="89"/>
        <v>19</v>
      </c>
      <c r="I478" s="14">
        <f t="shared" si="90"/>
        <v>0</v>
      </c>
    </row>
    <row r="479">
      <c r="A479" s="11" t="s">
        <v>25</v>
      </c>
      <c r="B479" s="12">
        <f t="shared" si="87"/>
        <v>51</v>
      </c>
      <c r="C479" s="11"/>
      <c r="D479" s="13"/>
      <c r="E479" s="13">
        <v>8.0</v>
      </c>
      <c r="F479" s="13">
        <v>5.0</v>
      </c>
      <c r="G479" s="12">
        <f t="shared" si="88"/>
        <v>3</v>
      </c>
      <c r="H479" s="12">
        <f t="shared" si="89"/>
        <v>48</v>
      </c>
      <c r="I479" s="14">
        <f t="shared" si="90"/>
        <v>18</v>
      </c>
    </row>
    <row r="480">
      <c r="A480" s="11" t="s">
        <v>26</v>
      </c>
      <c r="B480" s="12">
        <f t="shared" si="87"/>
        <v>19</v>
      </c>
      <c r="C480" s="11"/>
      <c r="D480" s="11"/>
      <c r="E480" s="13">
        <v>5.0</v>
      </c>
      <c r="F480" s="13">
        <v>4.0</v>
      </c>
      <c r="G480" s="12">
        <f t="shared" si="88"/>
        <v>1</v>
      </c>
      <c r="H480" s="12">
        <f t="shared" si="89"/>
        <v>18</v>
      </c>
      <c r="I480" s="14">
        <f t="shared" si="90"/>
        <v>6</v>
      </c>
    </row>
    <row r="481">
      <c r="A481" s="11" t="s">
        <v>27</v>
      </c>
      <c r="B481" s="12">
        <f t="shared" si="87"/>
        <v>21</v>
      </c>
      <c r="C481" s="11"/>
      <c r="D481" s="11"/>
      <c r="E481" s="13">
        <v>4.0</v>
      </c>
      <c r="F481" s="13">
        <v>3.0</v>
      </c>
      <c r="G481" s="12">
        <f t="shared" si="88"/>
        <v>1</v>
      </c>
      <c r="H481" s="12">
        <f t="shared" si="89"/>
        <v>20</v>
      </c>
      <c r="I481" s="14">
        <f t="shared" si="90"/>
        <v>6</v>
      </c>
    </row>
    <row r="482">
      <c r="A482" s="11" t="s">
        <v>28</v>
      </c>
      <c r="B482" s="12">
        <f t="shared" si="87"/>
        <v>22</v>
      </c>
      <c r="C482" s="11"/>
      <c r="D482" s="11"/>
      <c r="E482" s="13">
        <v>8.0</v>
      </c>
      <c r="F482" s="13">
        <v>4.0</v>
      </c>
      <c r="G482" s="12">
        <f t="shared" si="88"/>
        <v>4</v>
      </c>
      <c r="H482" s="12">
        <f t="shared" si="89"/>
        <v>18</v>
      </c>
      <c r="I482" s="14">
        <f t="shared" si="90"/>
        <v>24</v>
      </c>
    </row>
    <row r="483">
      <c r="A483" s="13" t="s">
        <v>29</v>
      </c>
      <c r="B483" s="12">
        <f t="shared" si="87"/>
        <v>27</v>
      </c>
      <c r="C483" s="11"/>
      <c r="D483" s="13">
        <v>36.0</v>
      </c>
      <c r="E483" s="13">
        <v>20.0</v>
      </c>
      <c r="F483" s="13">
        <v>0.0</v>
      </c>
      <c r="G483" s="12">
        <f t="shared" si="88"/>
        <v>20</v>
      </c>
      <c r="H483" s="12">
        <f t="shared" si="89"/>
        <v>43</v>
      </c>
      <c r="I483" s="14">
        <f t="shared" si="90"/>
        <v>120</v>
      </c>
    </row>
    <row r="484">
      <c r="A484" s="11" t="s">
        <v>30</v>
      </c>
      <c r="B484" s="12">
        <f t="shared" si="87"/>
        <v>18</v>
      </c>
      <c r="C484" s="11"/>
      <c r="D484" s="11"/>
      <c r="E484" s="13">
        <v>3.0</v>
      </c>
      <c r="F484" s="13">
        <v>2.0</v>
      </c>
      <c r="G484" s="12">
        <f t="shared" si="88"/>
        <v>1</v>
      </c>
      <c r="H484" s="12">
        <f t="shared" si="89"/>
        <v>17</v>
      </c>
      <c r="I484" s="14">
        <f t="shared" si="90"/>
        <v>6</v>
      </c>
    </row>
    <row r="485">
      <c r="A485" s="18" t="s">
        <v>31</v>
      </c>
      <c r="B485" s="12">
        <f t="shared" si="87"/>
        <v>12</v>
      </c>
      <c r="C485" s="11"/>
      <c r="D485" s="11"/>
      <c r="E485" s="13">
        <v>2.0</v>
      </c>
      <c r="F485" s="13">
        <v>1.0</v>
      </c>
      <c r="G485" s="12">
        <f t="shared" si="88"/>
        <v>1</v>
      </c>
      <c r="H485" s="12">
        <f t="shared" si="89"/>
        <v>11</v>
      </c>
      <c r="I485" s="14">
        <f t="shared" si="90"/>
        <v>6</v>
      </c>
    </row>
    <row r="486">
      <c r="A486" s="18" t="s">
        <v>32</v>
      </c>
      <c r="B486" s="12">
        <f t="shared" si="87"/>
        <v>2</v>
      </c>
      <c r="C486" s="11"/>
      <c r="D486" s="11"/>
      <c r="E486" s="13">
        <v>2.0</v>
      </c>
      <c r="F486" s="13">
        <v>1.0</v>
      </c>
      <c r="G486" s="12">
        <f t="shared" si="88"/>
        <v>1</v>
      </c>
      <c r="H486" s="12">
        <f t="shared" si="89"/>
        <v>1</v>
      </c>
      <c r="I486" s="14">
        <f t="shared" si="90"/>
        <v>6</v>
      </c>
    </row>
    <row r="487">
      <c r="A487" s="19" t="s">
        <v>33</v>
      </c>
      <c r="B487" s="20">
        <f>SUM(B464:B486)</f>
        <v>503</v>
      </c>
      <c r="C487" s="19"/>
      <c r="D487" s="19"/>
      <c r="E487" s="20">
        <f t="shared" ref="E487:G487" si="91">SUM(E463:E486)</f>
        <v>123</v>
      </c>
      <c r="F487" s="20">
        <f t="shared" si="91"/>
        <v>69</v>
      </c>
      <c r="G487" s="20">
        <f t="shared" si="91"/>
        <v>54</v>
      </c>
      <c r="H487" s="20">
        <f>SUM(H464:H486)</f>
        <v>515</v>
      </c>
      <c r="I487" s="21">
        <f>SUM(I463:I486)</f>
        <v>324</v>
      </c>
    </row>
    <row r="488">
      <c r="A488" s="22"/>
      <c r="B488" s="22"/>
      <c r="C488" s="22"/>
      <c r="D488" s="22"/>
      <c r="E488" s="22"/>
      <c r="F488" s="23" t="s">
        <v>34</v>
      </c>
      <c r="G488" s="4"/>
      <c r="H488" s="24"/>
      <c r="I488" s="25"/>
    </row>
    <row r="490">
      <c r="A490" s="1"/>
      <c r="B490" s="2" t="s">
        <v>81</v>
      </c>
      <c r="C490" s="3"/>
      <c r="D490" s="3"/>
      <c r="E490" s="3"/>
      <c r="F490" s="3"/>
      <c r="G490" s="3"/>
      <c r="H490" s="3"/>
      <c r="I490" s="4"/>
    </row>
    <row r="491">
      <c r="A491" s="5" t="s">
        <v>1</v>
      </c>
      <c r="B491" s="9" t="s">
        <v>2</v>
      </c>
      <c r="C491" s="7" t="s">
        <v>3</v>
      </c>
      <c r="D491" s="8" t="s">
        <v>4</v>
      </c>
      <c r="E491" s="5" t="s">
        <v>5</v>
      </c>
      <c r="F491" s="5" t="s">
        <v>6</v>
      </c>
      <c r="G491" s="5" t="s">
        <v>7</v>
      </c>
      <c r="H491" s="9" t="s">
        <v>8</v>
      </c>
      <c r="I491" s="10" t="s">
        <v>9</v>
      </c>
    </row>
    <row r="492">
      <c r="A492" s="11" t="s">
        <v>10</v>
      </c>
      <c r="B492" s="12">
        <f t="shared" ref="B492:B514" si="92">H464</f>
        <v>11</v>
      </c>
      <c r="C492" s="11"/>
      <c r="D492" s="11"/>
      <c r="E492" s="13">
        <v>6.0</v>
      </c>
      <c r="F492" s="13">
        <v>4.0</v>
      </c>
      <c r="G492" s="12">
        <f t="shared" ref="G492:G514" si="93">E492-F492</f>
        <v>2</v>
      </c>
      <c r="H492" s="12">
        <f t="shared" ref="H492:H514" si="94">B492-C492+D492-G492</f>
        <v>9</v>
      </c>
      <c r="I492" s="14">
        <f t="shared" ref="I492:I514" si="95">G492*6</f>
        <v>12</v>
      </c>
    </row>
    <row r="493">
      <c r="A493" s="11" t="s">
        <v>11</v>
      </c>
      <c r="B493" s="12">
        <f t="shared" si="92"/>
        <v>31</v>
      </c>
      <c r="C493" s="17"/>
      <c r="D493" s="11"/>
      <c r="E493" s="13">
        <v>5.0</v>
      </c>
      <c r="F493" s="13">
        <v>5.0</v>
      </c>
      <c r="G493" s="12">
        <f t="shared" si="93"/>
        <v>0</v>
      </c>
      <c r="H493" s="12">
        <f t="shared" si="94"/>
        <v>31</v>
      </c>
      <c r="I493" s="14">
        <f t="shared" si="95"/>
        <v>0</v>
      </c>
    </row>
    <row r="494">
      <c r="A494" s="11" t="s">
        <v>12</v>
      </c>
      <c r="B494" s="12">
        <f t="shared" si="92"/>
        <v>37</v>
      </c>
      <c r="C494" s="11"/>
      <c r="D494" s="11"/>
      <c r="E494" s="13">
        <v>4.0</v>
      </c>
      <c r="F494" s="13">
        <v>0.0</v>
      </c>
      <c r="G494" s="12">
        <f t="shared" si="93"/>
        <v>4</v>
      </c>
      <c r="H494" s="12">
        <f t="shared" si="94"/>
        <v>33</v>
      </c>
      <c r="I494" s="14">
        <f t="shared" si="95"/>
        <v>24</v>
      </c>
    </row>
    <row r="495">
      <c r="A495" s="11" t="s">
        <v>13</v>
      </c>
      <c r="B495" s="12">
        <f t="shared" si="92"/>
        <v>13</v>
      </c>
      <c r="C495" s="13"/>
      <c r="D495" s="13"/>
      <c r="E495" s="13">
        <v>6.0</v>
      </c>
      <c r="F495" s="13">
        <v>6.0</v>
      </c>
      <c r="G495" s="12">
        <f t="shared" si="93"/>
        <v>0</v>
      </c>
      <c r="H495" s="12">
        <f t="shared" si="94"/>
        <v>13</v>
      </c>
      <c r="I495" s="14">
        <f t="shared" si="95"/>
        <v>0</v>
      </c>
    </row>
    <row r="496">
      <c r="A496" s="11" t="s">
        <v>14</v>
      </c>
      <c r="B496" s="12">
        <f t="shared" si="92"/>
        <v>25</v>
      </c>
      <c r="C496" s="11"/>
      <c r="D496" s="11"/>
      <c r="E496" s="13">
        <v>4.0</v>
      </c>
      <c r="F496" s="13">
        <v>4.0</v>
      </c>
      <c r="G496" s="12">
        <f t="shared" si="93"/>
        <v>0</v>
      </c>
      <c r="H496" s="12">
        <f t="shared" si="94"/>
        <v>25</v>
      </c>
      <c r="I496" s="14">
        <f t="shared" si="95"/>
        <v>0</v>
      </c>
    </row>
    <row r="497">
      <c r="A497" s="11" t="s">
        <v>15</v>
      </c>
      <c r="B497" s="12">
        <f t="shared" si="92"/>
        <v>16</v>
      </c>
      <c r="C497" s="11"/>
      <c r="D497" s="11"/>
      <c r="E497" s="13">
        <v>7.0</v>
      </c>
      <c r="F497" s="13">
        <v>7.0</v>
      </c>
      <c r="G497" s="12">
        <f t="shared" si="93"/>
        <v>0</v>
      </c>
      <c r="H497" s="12">
        <f t="shared" si="94"/>
        <v>16</v>
      </c>
      <c r="I497" s="14">
        <f t="shared" si="95"/>
        <v>0</v>
      </c>
    </row>
    <row r="498">
      <c r="A498" s="11" t="s">
        <v>16</v>
      </c>
      <c r="B498" s="12">
        <f t="shared" si="92"/>
        <v>25</v>
      </c>
      <c r="C498" s="11"/>
      <c r="D498" s="11"/>
      <c r="E498" s="13">
        <v>4.0</v>
      </c>
      <c r="F498" s="13">
        <v>4.0</v>
      </c>
      <c r="G498" s="12">
        <f t="shared" si="93"/>
        <v>0</v>
      </c>
      <c r="H498" s="12">
        <f t="shared" si="94"/>
        <v>25</v>
      </c>
      <c r="I498" s="14">
        <f t="shared" si="95"/>
        <v>0</v>
      </c>
    </row>
    <row r="499">
      <c r="A499" s="11" t="s">
        <v>17</v>
      </c>
      <c r="B499" s="12">
        <f t="shared" si="92"/>
        <v>12</v>
      </c>
      <c r="C499" s="11"/>
      <c r="D499" s="11"/>
      <c r="E499" s="13">
        <v>3.0</v>
      </c>
      <c r="F499" s="13">
        <v>2.0</v>
      </c>
      <c r="G499" s="12">
        <f t="shared" si="93"/>
        <v>1</v>
      </c>
      <c r="H499" s="12">
        <f t="shared" si="94"/>
        <v>11</v>
      </c>
      <c r="I499" s="14">
        <f t="shared" si="95"/>
        <v>6</v>
      </c>
    </row>
    <row r="500">
      <c r="A500" s="11" t="s">
        <v>18</v>
      </c>
      <c r="B500" s="12">
        <f t="shared" si="92"/>
        <v>33</v>
      </c>
      <c r="C500" s="11"/>
      <c r="D500" s="11"/>
      <c r="E500" s="13">
        <v>4.0</v>
      </c>
      <c r="F500" s="13">
        <v>2.0</v>
      </c>
      <c r="G500" s="12">
        <f t="shared" si="93"/>
        <v>2</v>
      </c>
      <c r="H500" s="12">
        <f t="shared" si="94"/>
        <v>31</v>
      </c>
      <c r="I500" s="14">
        <f t="shared" si="95"/>
        <v>12</v>
      </c>
    </row>
    <row r="501">
      <c r="A501" s="11" t="s">
        <v>19</v>
      </c>
      <c r="B501" s="12">
        <f t="shared" si="92"/>
        <v>39</v>
      </c>
      <c r="C501" s="11"/>
      <c r="D501" s="13"/>
      <c r="E501" s="13">
        <v>5.0</v>
      </c>
      <c r="F501" s="13">
        <v>0.0</v>
      </c>
      <c r="G501" s="12">
        <f t="shared" si="93"/>
        <v>5</v>
      </c>
      <c r="H501" s="12">
        <f t="shared" si="94"/>
        <v>34</v>
      </c>
      <c r="I501" s="14">
        <f t="shared" si="95"/>
        <v>30</v>
      </c>
    </row>
    <row r="502">
      <c r="A502" s="11" t="s">
        <v>20</v>
      </c>
      <c r="B502" s="12">
        <f t="shared" si="92"/>
        <v>16</v>
      </c>
      <c r="C502" s="11"/>
      <c r="D502" s="11"/>
      <c r="E502" s="13">
        <v>6.0</v>
      </c>
      <c r="F502" s="13">
        <v>6.0</v>
      </c>
      <c r="G502" s="12">
        <f t="shared" si="93"/>
        <v>0</v>
      </c>
      <c r="H502" s="12">
        <f t="shared" si="94"/>
        <v>16</v>
      </c>
      <c r="I502" s="14">
        <f t="shared" si="95"/>
        <v>0</v>
      </c>
    </row>
    <row r="503">
      <c r="A503" s="11" t="s">
        <v>21</v>
      </c>
      <c r="B503" s="12">
        <f t="shared" si="92"/>
        <v>6</v>
      </c>
      <c r="C503" s="11"/>
      <c r="D503" s="11"/>
      <c r="E503" s="13">
        <v>1.0</v>
      </c>
      <c r="F503" s="13">
        <v>1.0</v>
      </c>
      <c r="G503" s="12">
        <f t="shared" si="93"/>
        <v>0</v>
      </c>
      <c r="H503" s="12">
        <f t="shared" si="94"/>
        <v>6</v>
      </c>
      <c r="I503" s="14">
        <f t="shared" si="95"/>
        <v>0</v>
      </c>
    </row>
    <row r="504">
      <c r="A504" s="11" t="s">
        <v>22</v>
      </c>
      <c r="B504" s="12">
        <f t="shared" si="92"/>
        <v>9</v>
      </c>
      <c r="C504" s="11"/>
      <c r="D504" s="11"/>
      <c r="E504" s="13">
        <v>4.0</v>
      </c>
      <c r="F504" s="13">
        <v>4.0</v>
      </c>
      <c r="G504" s="12">
        <f t="shared" si="93"/>
        <v>0</v>
      </c>
      <c r="H504" s="12">
        <f t="shared" si="94"/>
        <v>9</v>
      </c>
      <c r="I504" s="14">
        <f t="shared" si="95"/>
        <v>0</v>
      </c>
    </row>
    <row r="505">
      <c r="A505" s="11" t="s">
        <v>23</v>
      </c>
      <c r="B505" s="12">
        <f t="shared" si="92"/>
        <v>47</v>
      </c>
      <c r="C505" s="17"/>
      <c r="D505" s="11"/>
      <c r="E505" s="13">
        <v>6.0</v>
      </c>
      <c r="F505" s="13">
        <v>4.0</v>
      </c>
      <c r="G505" s="12">
        <f t="shared" si="93"/>
        <v>2</v>
      </c>
      <c r="H505" s="12">
        <f t="shared" si="94"/>
        <v>45</v>
      </c>
      <c r="I505" s="14">
        <f t="shared" si="95"/>
        <v>12</v>
      </c>
    </row>
    <row r="506">
      <c r="A506" s="11" t="s">
        <v>24</v>
      </c>
      <c r="B506" s="12">
        <f t="shared" si="92"/>
        <v>19</v>
      </c>
      <c r="C506" s="11"/>
      <c r="D506" s="11"/>
      <c r="E506" s="13">
        <v>3.0</v>
      </c>
      <c r="F506" s="13">
        <v>2.0</v>
      </c>
      <c r="G506" s="12">
        <f t="shared" si="93"/>
        <v>1</v>
      </c>
      <c r="H506" s="12">
        <f t="shared" si="94"/>
        <v>18</v>
      </c>
      <c r="I506" s="14">
        <f t="shared" si="95"/>
        <v>6</v>
      </c>
    </row>
    <row r="507">
      <c r="A507" s="11" t="s">
        <v>25</v>
      </c>
      <c r="B507" s="12">
        <f t="shared" si="92"/>
        <v>48</v>
      </c>
      <c r="C507" s="13">
        <v>1.0</v>
      </c>
      <c r="D507" s="13"/>
      <c r="E507" s="13">
        <v>10.0</v>
      </c>
      <c r="F507" s="13">
        <v>8.0</v>
      </c>
      <c r="G507" s="12">
        <f t="shared" si="93"/>
        <v>2</v>
      </c>
      <c r="H507" s="12">
        <f t="shared" si="94"/>
        <v>45</v>
      </c>
      <c r="I507" s="14">
        <f t="shared" si="95"/>
        <v>12</v>
      </c>
    </row>
    <row r="508">
      <c r="A508" s="11" t="s">
        <v>26</v>
      </c>
      <c r="B508" s="12">
        <f t="shared" si="92"/>
        <v>18</v>
      </c>
      <c r="C508" s="11"/>
      <c r="D508" s="11"/>
      <c r="E508" s="13">
        <v>5.0</v>
      </c>
      <c r="F508" s="13">
        <v>5.0</v>
      </c>
      <c r="G508" s="12">
        <f t="shared" si="93"/>
        <v>0</v>
      </c>
      <c r="H508" s="12">
        <f t="shared" si="94"/>
        <v>18</v>
      </c>
      <c r="I508" s="14">
        <f t="shared" si="95"/>
        <v>0</v>
      </c>
    </row>
    <row r="509">
      <c r="A509" s="11" t="s">
        <v>27</v>
      </c>
      <c r="B509" s="12">
        <f t="shared" si="92"/>
        <v>20</v>
      </c>
      <c r="C509" s="11"/>
      <c r="D509" s="11"/>
      <c r="E509" s="13">
        <v>4.0</v>
      </c>
      <c r="F509" s="13">
        <v>3.0</v>
      </c>
      <c r="G509" s="12">
        <f t="shared" si="93"/>
        <v>1</v>
      </c>
      <c r="H509" s="12">
        <f t="shared" si="94"/>
        <v>19</v>
      </c>
      <c r="I509" s="14">
        <f t="shared" si="95"/>
        <v>6</v>
      </c>
    </row>
    <row r="510">
      <c r="A510" s="11" t="s">
        <v>28</v>
      </c>
      <c r="B510" s="12">
        <f t="shared" si="92"/>
        <v>18</v>
      </c>
      <c r="C510" s="11"/>
      <c r="D510" s="11"/>
      <c r="E510" s="13">
        <v>8.0</v>
      </c>
      <c r="F510" s="13">
        <v>4.0</v>
      </c>
      <c r="G510" s="12">
        <f t="shared" si="93"/>
        <v>4</v>
      </c>
      <c r="H510" s="12">
        <f t="shared" si="94"/>
        <v>14</v>
      </c>
      <c r="I510" s="14">
        <f t="shared" si="95"/>
        <v>24</v>
      </c>
    </row>
    <row r="511">
      <c r="A511" s="13" t="s">
        <v>29</v>
      </c>
      <c r="B511" s="12">
        <f t="shared" si="92"/>
        <v>43</v>
      </c>
      <c r="C511" s="13">
        <v>1.0</v>
      </c>
      <c r="D511" s="13">
        <v>32.0</v>
      </c>
      <c r="E511" s="13">
        <v>25.0</v>
      </c>
      <c r="F511" s="13">
        <v>2.0</v>
      </c>
      <c r="G511" s="12">
        <f t="shared" si="93"/>
        <v>23</v>
      </c>
      <c r="H511" s="12">
        <f t="shared" si="94"/>
        <v>51</v>
      </c>
      <c r="I511" s="14">
        <f t="shared" si="95"/>
        <v>138</v>
      </c>
    </row>
    <row r="512">
      <c r="A512" s="11" t="s">
        <v>30</v>
      </c>
      <c r="B512" s="12">
        <f t="shared" si="92"/>
        <v>17</v>
      </c>
      <c r="C512" s="11"/>
      <c r="D512" s="11"/>
      <c r="E512" s="13">
        <v>2.0</v>
      </c>
      <c r="F512" s="13">
        <v>2.0</v>
      </c>
      <c r="G512" s="12">
        <f t="shared" si="93"/>
        <v>0</v>
      </c>
      <c r="H512" s="12">
        <f t="shared" si="94"/>
        <v>17</v>
      </c>
      <c r="I512" s="14">
        <f t="shared" si="95"/>
        <v>0</v>
      </c>
    </row>
    <row r="513">
      <c r="A513" s="18" t="s">
        <v>31</v>
      </c>
      <c r="B513" s="12">
        <f t="shared" si="92"/>
        <v>11</v>
      </c>
      <c r="C513" s="11"/>
      <c r="D513" s="11"/>
      <c r="E513" s="13">
        <v>2.0</v>
      </c>
      <c r="F513" s="13">
        <v>2.0</v>
      </c>
      <c r="G513" s="12">
        <f t="shared" si="93"/>
        <v>0</v>
      </c>
      <c r="H513" s="12">
        <f t="shared" si="94"/>
        <v>11</v>
      </c>
      <c r="I513" s="14">
        <f t="shared" si="95"/>
        <v>0</v>
      </c>
    </row>
    <row r="514">
      <c r="A514" s="18" t="s">
        <v>32</v>
      </c>
      <c r="B514" s="12">
        <f t="shared" si="92"/>
        <v>1</v>
      </c>
      <c r="C514" s="11"/>
      <c r="D514" s="11"/>
      <c r="E514" s="13">
        <v>1.0</v>
      </c>
      <c r="F514" s="13">
        <v>1.0</v>
      </c>
      <c r="G514" s="12">
        <f t="shared" si="93"/>
        <v>0</v>
      </c>
      <c r="H514" s="12">
        <f t="shared" si="94"/>
        <v>1</v>
      </c>
      <c r="I514" s="14">
        <f t="shared" si="95"/>
        <v>0</v>
      </c>
    </row>
    <row r="515">
      <c r="A515" s="19" t="s">
        <v>33</v>
      </c>
      <c r="B515" s="20">
        <f>SUM(B492:B514)</f>
        <v>515</v>
      </c>
      <c r="C515" s="19"/>
      <c r="D515" s="19"/>
      <c r="E515" s="20">
        <f t="shared" ref="E515:G515" si="96">SUM(E491:E514)</f>
        <v>125</v>
      </c>
      <c r="F515" s="20">
        <f t="shared" si="96"/>
        <v>78</v>
      </c>
      <c r="G515" s="20">
        <f t="shared" si="96"/>
        <v>47</v>
      </c>
      <c r="H515" s="20">
        <f>SUM(H492:H514)</f>
        <v>498</v>
      </c>
      <c r="I515" s="21">
        <f>SUM(I491:I514)</f>
        <v>282</v>
      </c>
    </row>
    <row r="516">
      <c r="A516" s="22"/>
      <c r="B516" s="22"/>
      <c r="C516" s="22"/>
      <c r="D516" s="22"/>
      <c r="E516" s="22"/>
      <c r="F516" s="23" t="s">
        <v>34</v>
      </c>
      <c r="G516" s="4"/>
      <c r="H516" s="24"/>
      <c r="I516" s="25"/>
    </row>
    <row r="518">
      <c r="A518" s="1"/>
      <c r="B518" s="2" t="s">
        <v>82</v>
      </c>
      <c r="C518" s="3"/>
      <c r="D518" s="3"/>
      <c r="E518" s="3"/>
      <c r="F518" s="3"/>
      <c r="G518" s="3"/>
      <c r="H518" s="3"/>
      <c r="I518" s="4"/>
    </row>
    <row r="519">
      <c r="A519" s="5" t="s">
        <v>1</v>
      </c>
      <c r="B519" s="9" t="s">
        <v>2</v>
      </c>
      <c r="C519" s="7" t="s">
        <v>3</v>
      </c>
      <c r="D519" s="8" t="s">
        <v>4</v>
      </c>
      <c r="E519" s="5" t="s">
        <v>5</v>
      </c>
      <c r="F519" s="5" t="s">
        <v>6</v>
      </c>
      <c r="G519" s="5" t="s">
        <v>7</v>
      </c>
      <c r="H519" s="9" t="s">
        <v>8</v>
      </c>
      <c r="I519" s="10" t="s">
        <v>9</v>
      </c>
    </row>
    <row r="520">
      <c r="A520" s="11" t="s">
        <v>10</v>
      </c>
      <c r="B520" s="12">
        <f t="shared" ref="B520:B542" si="97">H492</f>
        <v>9</v>
      </c>
      <c r="C520" s="11"/>
      <c r="D520" s="13">
        <v>37.0</v>
      </c>
      <c r="E520" s="13">
        <v>9.0</v>
      </c>
      <c r="F520" s="13">
        <v>2.0</v>
      </c>
      <c r="G520" s="12">
        <f t="shared" ref="G520:G542" si="98">E520-F520</f>
        <v>7</v>
      </c>
      <c r="H520" s="12">
        <f t="shared" ref="H520:H542" si="99">B520-C520+D520-G520</f>
        <v>39</v>
      </c>
      <c r="I520" s="14">
        <f t="shared" ref="I520:I542" si="100">G520*6</f>
        <v>42</v>
      </c>
    </row>
    <row r="521">
      <c r="A521" s="11" t="s">
        <v>11</v>
      </c>
      <c r="B521" s="12">
        <f t="shared" si="97"/>
        <v>31</v>
      </c>
      <c r="C521" s="15">
        <v>3.0</v>
      </c>
      <c r="D521" s="11"/>
      <c r="E521" s="13">
        <v>4.0</v>
      </c>
      <c r="F521" s="13">
        <v>4.0</v>
      </c>
      <c r="G521" s="12">
        <f t="shared" si="98"/>
        <v>0</v>
      </c>
      <c r="H521" s="12">
        <f t="shared" si="99"/>
        <v>28</v>
      </c>
      <c r="I521" s="14">
        <f t="shared" si="100"/>
        <v>0</v>
      </c>
    </row>
    <row r="522">
      <c r="A522" s="11" t="s">
        <v>12</v>
      </c>
      <c r="B522" s="12">
        <f t="shared" si="97"/>
        <v>33</v>
      </c>
      <c r="C522" s="11"/>
      <c r="D522" s="11"/>
      <c r="E522" s="13">
        <v>11.0</v>
      </c>
      <c r="F522" s="13">
        <v>5.0</v>
      </c>
      <c r="G522" s="12">
        <f t="shared" si="98"/>
        <v>6</v>
      </c>
      <c r="H522" s="12">
        <f t="shared" si="99"/>
        <v>27</v>
      </c>
      <c r="I522" s="14">
        <f t="shared" si="100"/>
        <v>36</v>
      </c>
    </row>
    <row r="523">
      <c r="A523" s="11" t="s">
        <v>13</v>
      </c>
      <c r="B523" s="12">
        <f t="shared" si="97"/>
        <v>13</v>
      </c>
      <c r="C523" s="13">
        <v>1.0</v>
      </c>
      <c r="D523" s="13">
        <v>29.0</v>
      </c>
      <c r="E523" s="13">
        <v>6.0</v>
      </c>
      <c r="F523" s="13">
        <v>0.0</v>
      </c>
      <c r="G523" s="12">
        <f t="shared" si="98"/>
        <v>6</v>
      </c>
      <c r="H523" s="12">
        <f t="shared" si="99"/>
        <v>35</v>
      </c>
      <c r="I523" s="14">
        <f t="shared" si="100"/>
        <v>36</v>
      </c>
    </row>
    <row r="524">
      <c r="A524" s="11" t="s">
        <v>14</v>
      </c>
      <c r="B524" s="12">
        <f t="shared" si="97"/>
        <v>25</v>
      </c>
      <c r="C524" s="11"/>
      <c r="D524" s="11"/>
      <c r="E524" s="13">
        <v>4.0</v>
      </c>
      <c r="F524" s="13">
        <v>4.0</v>
      </c>
      <c r="G524" s="12">
        <f t="shared" si="98"/>
        <v>0</v>
      </c>
      <c r="H524" s="12">
        <f t="shared" si="99"/>
        <v>25</v>
      </c>
      <c r="I524" s="14">
        <f t="shared" si="100"/>
        <v>0</v>
      </c>
    </row>
    <row r="525">
      <c r="A525" s="11" t="s">
        <v>15</v>
      </c>
      <c r="B525" s="12">
        <f t="shared" si="97"/>
        <v>16</v>
      </c>
      <c r="C525" s="11"/>
      <c r="D525" s="11"/>
      <c r="E525" s="13">
        <v>5.0</v>
      </c>
      <c r="F525" s="13">
        <v>4.0</v>
      </c>
      <c r="G525" s="12">
        <f t="shared" si="98"/>
        <v>1</v>
      </c>
      <c r="H525" s="12">
        <f t="shared" si="99"/>
        <v>15</v>
      </c>
      <c r="I525" s="14">
        <f t="shared" si="100"/>
        <v>6</v>
      </c>
    </row>
    <row r="526">
      <c r="A526" s="11" t="s">
        <v>16</v>
      </c>
      <c r="B526" s="12">
        <f t="shared" si="97"/>
        <v>25</v>
      </c>
      <c r="C526" s="11"/>
      <c r="D526" s="11"/>
      <c r="E526" s="13">
        <v>8.0</v>
      </c>
      <c r="F526" s="13">
        <v>4.0</v>
      </c>
      <c r="G526" s="12">
        <f t="shared" si="98"/>
        <v>4</v>
      </c>
      <c r="H526" s="12">
        <f t="shared" si="99"/>
        <v>21</v>
      </c>
      <c r="I526" s="14">
        <f t="shared" si="100"/>
        <v>24</v>
      </c>
    </row>
    <row r="527">
      <c r="A527" s="11" t="s">
        <v>17</v>
      </c>
      <c r="B527" s="12">
        <f t="shared" si="97"/>
        <v>11</v>
      </c>
      <c r="C527" s="11"/>
      <c r="D527" s="11"/>
      <c r="E527" s="13">
        <v>4.0</v>
      </c>
      <c r="F527" s="13">
        <v>4.0</v>
      </c>
      <c r="G527" s="12">
        <f t="shared" si="98"/>
        <v>0</v>
      </c>
      <c r="H527" s="12">
        <f t="shared" si="99"/>
        <v>11</v>
      </c>
      <c r="I527" s="14">
        <f t="shared" si="100"/>
        <v>0</v>
      </c>
    </row>
    <row r="528">
      <c r="A528" s="11" t="s">
        <v>18</v>
      </c>
      <c r="B528" s="12">
        <f t="shared" si="97"/>
        <v>31</v>
      </c>
      <c r="C528" s="11"/>
      <c r="D528" s="11"/>
      <c r="E528" s="13">
        <v>6.0</v>
      </c>
      <c r="F528" s="13">
        <v>3.0</v>
      </c>
      <c r="G528" s="12">
        <f t="shared" si="98"/>
        <v>3</v>
      </c>
      <c r="H528" s="12">
        <f t="shared" si="99"/>
        <v>28</v>
      </c>
      <c r="I528" s="14">
        <f t="shared" si="100"/>
        <v>18</v>
      </c>
    </row>
    <row r="529">
      <c r="A529" s="11" t="s">
        <v>19</v>
      </c>
      <c r="B529" s="12">
        <f t="shared" si="97"/>
        <v>34</v>
      </c>
      <c r="C529" s="11"/>
      <c r="D529" s="11"/>
      <c r="E529" s="13">
        <v>7.0</v>
      </c>
      <c r="F529" s="13">
        <v>3.0</v>
      </c>
      <c r="G529" s="12">
        <f t="shared" si="98"/>
        <v>4</v>
      </c>
      <c r="H529" s="12">
        <f t="shared" si="99"/>
        <v>30</v>
      </c>
      <c r="I529" s="14">
        <f t="shared" si="100"/>
        <v>24</v>
      </c>
    </row>
    <row r="530">
      <c r="A530" s="11" t="s">
        <v>20</v>
      </c>
      <c r="B530" s="12">
        <f t="shared" si="97"/>
        <v>16</v>
      </c>
      <c r="C530" s="11"/>
      <c r="D530" s="11"/>
      <c r="E530" s="13">
        <v>6.0</v>
      </c>
      <c r="F530" s="13">
        <v>5.0</v>
      </c>
      <c r="G530" s="12">
        <f t="shared" si="98"/>
        <v>1</v>
      </c>
      <c r="H530" s="12">
        <f t="shared" si="99"/>
        <v>15</v>
      </c>
      <c r="I530" s="14">
        <f t="shared" si="100"/>
        <v>6</v>
      </c>
    </row>
    <row r="531">
      <c r="A531" s="11" t="s">
        <v>21</v>
      </c>
      <c r="B531" s="12">
        <f t="shared" si="97"/>
        <v>6</v>
      </c>
      <c r="C531" s="11"/>
      <c r="D531" s="11"/>
      <c r="E531" s="13">
        <v>2.0</v>
      </c>
      <c r="F531" s="13">
        <v>1.0</v>
      </c>
      <c r="G531" s="12">
        <f t="shared" si="98"/>
        <v>1</v>
      </c>
      <c r="H531" s="12">
        <f t="shared" si="99"/>
        <v>5</v>
      </c>
      <c r="I531" s="14">
        <f t="shared" si="100"/>
        <v>6</v>
      </c>
    </row>
    <row r="532">
      <c r="A532" s="11" t="s">
        <v>22</v>
      </c>
      <c r="B532" s="12">
        <f t="shared" si="97"/>
        <v>9</v>
      </c>
      <c r="C532" s="11"/>
      <c r="D532" s="11"/>
      <c r="E532" s="13">
        <v>4.0</v>
      </c>
      <c r="F532" s="13">
        <v>3.0</v>
      </c>
      <c r="G532" s="12">
        <f t="shared" si="98"/>
        <v>1</v>
      </c>
      <c r="H532" s="12">
        <f t="shared" si="99"/>
        <v>8</v>
      </c>
      <c r="I532" s="14">
        <f t="shared" si="100"/>
        <v>6</v>
      </c>
    </row>
    <row r="533">
      <c r="A533" s="11" t="s">
        <v>23</v>
      </c>
      <c r="B533" s="12">
        <f t="shared" si="97"/>
        <v>45</v>
      </c>
      <c r="C533" s="15">
        <v>1.0</v>
      </c>
      <c r="D533" s="11"/>
      <c r="E533" s="13">
        <v>6.0</v>
      </c>
      <c r="F533" s="13">
        <v>2.0</v>
      </c>
      <c r="G533" s="12">
        <f t="shared" si="98"/>
        <v>4</v>
      </c>
      <c r="H533" s="12">
        <f t="shared" si="99"/>
        <v>40</v>
      </c>
      <c r="I533" s="14">
        <f t="shared" si="100"/>
        <v>24</v>
      </c>
    </row>
    <row r="534">
      <c r="A534" s="11" t="s">
        <v>24</v>
      </c>
      <c r="B534" s="12">
        <f t="shared" si="97"/>
        <v>18</v>
      </c>
      <c r="C534" s="11"/>
      <c r="D534" s="11"/>
      <c r="E534" s="13">
        <v>3.0</v>
      </c>
      <c r="F534" s="13">
        <v>3.0</v>
      </c>
      <c r="G534" s="12">
        <f t="shared" si="98"/>
        <v>0</v>
      </c>
      <c r="H534" s="12">
        <f t="shared" si="99"/>
        <v>18</v>
      </c>
      <c r="I534" s="14">
        <f t="shared" si="100"/>
        <v>0</v>
      </c>
    </row>
    <row r="535">
      <c r="A535" s="11" t="s">
        <v>25</v>
      </c>
      <c r="B535" s="12">
        <f t="shared" si="97"/>
        <v>45</v>
      </c>
      <c r="C535" s="13">
        <v>1.0</v>
      </c>
      <c r="D535" s="13"/>
      <c r="E535" s="13">
        <v>10.0</v>
      </c>
      <c r="F535" s="13">
        <v>4.0</v>
      </c>
      <c r="G535" s="12">
        <f t="shared" si="98"/>
        <v>6</v>
      </c>
      <c r="H535" s="12">
        <f t="shared" si="99"/>
        <v>38</v>
      </c>
      <c r="I535" s="14">
        <f t="shared" si="100"/>
        <v>36</v>
      </c>
    </row>
    <row r="536">
      <c r="A536" s="11" t="s">
        <v>26</v>
      </c>
      <c r="B536" s="12">
        <f t="shared" si="97"/>
        <v>18</v>
      </c>
      <c r="C536" s="11"/>
      <c r="D536" s="11"/>
      <c r="E536" s="13">
        <v>5.0</v>
      </c>
      <c r="F536" s="13">
        <v>4.0</v>
      </c>
      <c r="G536" s="12">
        <f t="shared" si="98"/>
        <v>1</v>
      </c>
      <c r="H536" s="12">
        <f t="shared" si="99"/>
        <v>17</v>
      </c>
      <c r="I536" s="14">
        <f t="shared" si="100"/>
        <v>6</v>
      </c>
    </row>
    <row r="537">
      <c r="A537" s="11" t="s">
        <v>27</v>
      </c>
      <c r="B537" s="12">
        <f t="shared" si="97"/>
        <v>19</v>
      </c>
      <c r="C537" s="11"/>
      <c r="D537" s="11"/>
      <c r="E537" s="13">
        <v>4.0</v>
      </c>
      <c r="F537" s="13">
        <v>2.0</v>
      </c>
      <c r="G537" s="12">
        <f t="shared" si="98"/>
        <v>2</v>
      </c>
      <c r="H537" s="12">
        <f t="shared" si="99"/>
        <v>17</v>
      </c>
      <c r="I537" s="14">
        <f t="shared" si="100"/>
        <v>12</v>
      </c>
    </row>
    <row r="538">
      <c r="A538" s="11" t="s">
        <v>28</v>
      </c>
      <c r="B538" s="28">
        <f t="shared" si="97"/>
        <v>14</v>
      </c>
      <c r="C538" s="11"/>
      <c r="D538" s="11"/>
      <c r="E538" s="13">
        <v>8.0</v>
      </c>
      <c r="F538" s="13">
        <v>5.0</v>
      </c>
      <c r="G538" s="12">
        <f t="shared" si="98"/>
        <v>3</v>
      </c>
      <c r="H538" s="12">
        <f t="shared" si="99"/>
        <v>11</v>
      </c>
      <c r="I538" s="14">
        <f t="shared" si="100"/>
        <v>18</v>
      </c>
    </row>
    <row r="539">
      <c r="A539" s="13" t="s">
        <v>29</v>
      </c>
      <c r="B539" s="28">
        <f t="shared" si="97"/>
        <v>51</v>
      </c>
      <c r="C539" s="13">
        <v>3.0</v>
      </c>
      <c r="D539" s="13">
        <v>33.0</v>
      </c>
      <c r="E539" s="13">
        <v>41.0</v>
      </c>
      <c r="F539" s="13">
        <v>18.0</v>
      </c>
      <c r="G539" s="12">
        <f t="shared" si="98"/>
        <v>23</v>
      </c>
      <c r="H539" s="12">
        <f t="shared" si="99"/>
        <v>58</v>
      </c>
      <c r="I539" s="14">
        <f t="shared" si="100"/>
        <v>138</v>
      </c>
    </row>
    <row r="540">
      <c r="A540" s="11" t="s">
        <v>30</v>
      </c>
      <c r="B540" s="12">
        <f t="shared" si="97"/>
        <v>17</v>
      </c>
      <c r="C540" s="13">
        <v>1.0</v>
      </c>
      <c r="D540" s="11"/>
      <c r="E540" s="13">
        <v>3.0</v>
      </c>
      <c r="F540" s="13">
        <v>2.0</v>
      </c>
      <c r="G540" s="12">
        <f t="shared" si="98"/>
        <v>1</v>
      </c>
      <c r="H540" s="12">
        <f t="shared" si="99"/>
        <v>15</v>
      </c>
      <c r="I540" s="14">
        <f t="shared" si="100"/>
        <v>6</v>
      </c>
    </row>
    <row r="541">
      <c r="A541" s="18" t="s">
        <v>31</v>
      </c>
      <c r="B541" s="12">
        <f t="shared" si="97"/>
        <v>11</v>
      </c>
      <c r="C541" s="11"/>
      <c r="D541" s="13">
        <v>10.0</v>
      </c>
      <c r="E541" s="13">
        <v>2.0</v>
      </c>
      <c r="F541" s="13">
        <v>1.0</v>
      </c>
      <c r="G541" s="12">
        <f t="shared" si="98"/>
        <v>1</v>
      </c>
      <c r="H541" s="12">
        <f t="shared" si="99"/>
        <v>20</v>
      </c>
      <c r="I541" s="14">
        <f t="shared" si="100"/>
        <v>6</v>
      </c>
    </row>
    <row r="542">
      <c r="A542" s="18" t="s">
        <v>32</v>
      </c>
      <c r="B542" s="12">
        <f t="shared" si="97"/>
        <v>1</v>
      </c>
      <c r="C542" s="11"/>
      <c r="D542" s="13">
        <v>18.0</v>
      </c>
      <c r="E542" s="13">
        <v>1.0</v>
      </c>
      <c r="F542" s="13">
        <v>1.0</v>
      </c>
      <c r="G542" s="12">
        <f t="shared" si="98"/>
        <v>0</v>
      </c>
      <c r="H542" s="12">
        <f t="shared" si="99"/>
        <v>19</v>
      </c>
      <c r="I542" s="14">
        <f t="shared" si="100"/>
        <v>0</v>
      </c>
    </row>
    <row r="543">
      <c r="A543" s="19" t="s">
        <v>33</v>
      </c>
      <c r="B543" s="20">
        <f>SUM(B520:B542)</f>
        <v>498</v>
      </c>
      <c r="C543" s="19"/>
      <c r="D543" s="19"/>
      <c r="E543" s="20">
        <f t="shared" ref="E543:G543" si="101">SUM(E519:E542)</f>
        <v>159</v>
      </c>
      <c r="F543" s="20">
        <f t="shared" si="101"/>
        <v>84</v>
      </c>
      <c r="G543" s="20">
        <f t="shared" si="101"/>
        <v>75</v>
      </c>
      <c r="H543" s="20">
        <f>SUM(H520:H542)</f>
        <v>540</v>
      </c>
      <c r="I543" s="21">
        <f>SUM(I519:I542)</f>
        <v>450</v>
      </c>
    </row>
    <row r="544">
      <c r="A544" s="22"/>
      <c r="B544" s="22"/>
      <c r="C544" s="22"/>
      <c r="D544" s="22"/>
      <c r="E544" s="22"/>
      <c r="F544" s="23" t="s">
        <v>34</v>
      </c>
      <c r="G544" s="4"/>
      <c r="H544" s="24"/>
      <c r="I544" s="25"/>
    </row>
    <row r="546">
      <c r="A546" s="1"/>
      <c r="B546" s="2" t="s">
        <v>83</v>
      </c>
      <c r="C546" s="3"/>
      <c r="D546" s="3"/>
      <c r="E546" s="3"/>
      <c r="F546" s="3"/>
      <c r="G546" s="3"/>
      <c r="H546" s="3"/>
      <c r="I546" s="4"/>
    </row>
    <row r="547">
      <c r="A547" s="5" t="s">
        <v>1</v>
      </c>
      <c r="B547" s="9" t="s">
        <v>2</v>
      </c>
      <c r="C547" s="7" t="s">
        <v>3</v>
      </c>
      <c r="D547" s="8" t="s">
        <v>4</v>
      </c>
      <c r="E547" s="5" t="s">
        <v>5</v>
      </c>
      <c r="F547" s="5" t="s">
        <v>6</v>
      </c>
      <c r="G547" s="5" t="s">
        <v>7</v>
      </c>
      <c r="H547" s="9" t="s">
        <v>8</v>
      </c>
      <c r="I547" s="10" t="s">
        <v>9</v>
      </c>
    </row>
    <row r="548">
      <c r="A548" s="11" t="s">
        <v>10</v>
      </c>
      <c r="B548" s="12">
        <f t="shared" ref="B548:B570" si="102">H520</f>
        <v>39</v>
      </c>
      <c r="C548" s="11"/>
      <c r="D548" s="11"/>
      <c r="E548" s="13">
        <v>6.0</v>
      </c>
      <c r="F548" s="13">
        <v>5.0</v>
      </c>
      <c r="G548" s="12">
        <f t="shared" ref="G548:G570" si="103">E548-F548</f>
        <v>1</v>
      </c>
      <c r="H548" s="12">
        <f t="shared" ref="H548:H570" si="104">B548-C548+D548-G548</f>
        <v>38</v>
      </c>
      <c r="I548" s="14">
        <f t="shared" ref="I548:I570" si="105">G548*6</f>
        <v>6</v>
      </c>
    </row>
    <row r="549">
      <c r="A549" s="11" t="s">
        <v>11</v>
      </c>
      <c r="B549" s="12">
        <f t="shared" si="102"/>
        <v>28</v>
      </c>
      <c r="C549" s="17"/>
      <c r="D549" s="11"/>
      <c r="E549" s="13">
        <v>5.0</v>
      </c>
      <c r="F549" s="13">
        <v>5.0</v>
      </c>
      <c r="G549" s="12">
        <f t="shared" si="103"/>
        <v>0</v>
      </c>
      <c r="H549" s="12">
        <f t="shared" si="104"/>
        <v>28</v>
      </c>
      <c r="I549" s="14">
        <f t="shared" si="105"/>
        <v>0</v>
      </c>
    </row>
    <row r="550">
      <c r="A550" s="11" t="s">
        <v>12</v>
      </c>
      <c r="B550" s="12">
        <f t="shared" si="102"/>
        <v>27</v>
      </c>
      <c r="C550" s="11"/>
      <c r="D550" s="11"/>
      <c r="E550" s="13">
        <v>4.0</v>
      </c>
      <c r="F550" s="13">
        <v>4.0</v>
      </c>
      <c r="G550" s="12">
        <f t="shared" si="103"/>
        <v>0</v>
      </c>
      <c r="H550" s="12">
        <f t="shared" si="104"/>
        <v>27</v>
      </c>
      <c r="I550" s="14">
        <f t="shared" si="105"/>
        <v>0</v>
      </c>
    </row>
    <row r="551">
      <c r="A551" s="11" t="s">
        <v>13</v>
      </c>
      <c r="B551" s="12">
        <f t="shared" si="102"/>
        <v>35</v>
      </c>
      <c r="C551" s="13">
        <v>1.0</v>
      </c>
      <c r="D551" s="13"/>
      <c r="E551" s="13">
        <v>6.0</v>
      </c>
      <c r="F551" s="13">
        <v>5.0</v>
      </c>
      <c r="G551" s="12">
        <f t="shared" si="103"/>
        <v>1</v>
      </c>
      <c r="H551" s="12">
        <f t="shared" si="104"/>
        <v>33</v>
      </c>
      <c r="I551" s="14">
        <f t="shared" si="105"/>
        <v>6</v>
      </c>
    </row>
    <row r="552">
      <c r="A552" s="11" t="s">
        <v>14</v>
      </c>
      <c r="B552" s="12">
        <f t="shared" si="102"/>
        <v>25</v>
      </c>
      <c r="C552" s="11"/>
      <c r="D552" s="11"/>
      <c r="E552" s="13">
        <v>4.0</v>
      </c>
      <c r="F552" s="13">
        <v>3.0</v>
      </c>
      <c r="G552" s="12">
        <f t="shared" si="103"/>
        <v>1</v>
      </c>
      <c r="H552" s="12">
        <f t="shared" si="104"/>
        <v>24</v>
      </c>
      <c r="I552" s="14">
        <f t="shared" si="105"/>
        <v>6</v>
      </c>
    </row>
    <row r="553">
      <c r="A553" s="11" t="s">
        <v>15</v>
      </c>
      <c r="B553" s="12">
        <f t="shared" si="102"/>
        <v>15</v>
      </c>
      <c r="C553" s="11"/>
      <c r="D553" s="11"/>
      <c r="E553" s="13">
        <v>5.0</v>
      </c>
      <c r="F553" s="13">
        <v>3.0</v>
      </c>
      <c r="G553" s="12">
        <f t="shared" si="103"/>
        <v>2</v>
      </c>
      <c r="H553" s="12">
        <f t="shared" si="104"/>
        <v>13</v>
      </c>
      <c r="I553" s="14">
        <f t="shared" si="105"/>
        <v>12</v>
      </c>
    </row>
    <row r="554">
      <c r="A554" s="11" t="s">
        <v>16</v>
      </c>
      <c r="B554" s="12">
        <f t="shared" si="102"/>
        <v>21</v>
      </c>
      <c r="C554" s="13">
        <v>1.0</v>
      </c>
      <c r="D554" s="11"/>
      <c r="E554" s="13">
        <v>4.0</v>
      </c>
      <c r="F554" s="13">
        <v>4.0</v>
      </c>
      <c r="G554" s="12">
        <f t="shared" si="103"/>
        <v>0</v>
      </c>
      <c r="H554" s="12">
        <f t="shared" si="104"/>
        <v>20</v>
      </c>
      <c r="I554" s="14">
        <f t="shared" si="105"/>
        <v>0</v>
      </c>
    </row>
    <row r="555">
      <c r="A555" s="11" t="s">
        <v>17</v>
      </c>
      <c r="B555" s="12">
        <f t="shared" si="102"/>
        <v>11</v>
      </c>
      <c r="C555" s="11"/>
      <c r="D555" s="11"/>
      <c r="E555" s="13">
        <v>3.0</v>
      </c>
      <c r="F555" s="13">
        <v>3.0</v>
      </c>
      <c r="G555" s="12">
        <f t="shared" si="103"/>
        <v>0</v>
      </c>
      <c r="H555" s="12">
        <f t="shared" si="104"/>
        <v>11</v>
      </c>
      <c r="I555" s="14">
        <f t="shared" si="105"/>
        <v>0</v>
      </c>
    </row>
    <row r="556">
      <c r="A556" s="11" t="s">
        <v>18</v>
      </c>
      <c r="B556" s="12">
        <f t="shared" si="102"/>
        <v>28</v>
      </c>
      <c r="C556" s="11"/>
      <c r="D556" s="11"/>
      <c r="E556" s="13">
        <v>5.0</v>
      </c>
      <c r="F556" s="13">
        <v>4.0</v>
      </c>
      <c r="G556" s="12">
        <f t="shared" si="103"/>
        <v>1</v>
      </c>
      <c r="H556" s="12">
        <f t="shared" si="104"/>
        <v>27</v>
      </c>
      <c r="I556" s="14">
        <f t="shared" si="105"/>
        <v>6</v>
      </c>
    </row>
    <row r="557">
      <c r="A557" s="11" t="s">
        <v>19</v>
      </c>
      <c r="B557" s="12">
        <f t="shared" si="102"/>
        <v>30</v>
      </c>
      <c r="C557" s="11"/>
      <c r="D557" s="11"/>
      <c r="E557" s="13">
        <v>5.0</v>
      </c>
      <c r="F557" s="13">
        <v>3.0</v>
      </c>
      <c r="G557" s="12">
        <f t="shared" si="103"/>
        <v>2</v>
      </c>
      <c r="H557" s="12">
        <f t="shared" si="104"/>
        <v>28</v>
      </c>
      <c r="I557" s="14">
        <f t="shared" si="105"/>
        <v>12</v>
      </c>
    </row>
    <row r="558">
      <c r="A558" s="11" t="s">
        <v>20</v>
      </c>
      <c r="B558" s="12">
        <f t="shared" si="102"/>
        <v>15</v>
      </c>
      <c r="C558" s="13">
        <v>1.0</v>
      </c>
      <c r="D558" s="11"/>
      <c r="E558" s="13">
        <v>5.0</v>
      </c>
      <c r="F558" s="13">
        <v>4.0</v>
      </c>
      <c r="G558" s="12">
        <f t="shared" si="103"/>
        <v>1</v>
      </c>
      <c r="H558" s="12">
        <f t="shared" si="104"/>
        <v>13</v>
      </c>
      <c r="I558" s="14">
        <f t="shared" si="105"/>
        <v>6</v>
      </c>
    </row>
    <row r="559">
      <c r="A559" s="11" t="s">
        <v>21</v>
      </c>
      <c r="B559" s="12">
        <f t="shared" si="102"/>
        <v>5</v>
      </c>
      <c r="C559" s="11"/>
      <c r="D559" s="11"/>
      <c r="E559" s="13">
        <v>2.0</v>
      </c>
      <c r="F559" s="13">
        <v>2.0</v>
      </c>
      <c r="G559" s="12">
        <f t="shared" si="103"/>
        <v>0</v>
      </c>
      <c r="H559" s="12">
        <f t="shared" si="104"/>
        <v>5</v>
      </c>
      <c r="I559" s="14">
        <f t="shared" si="105"/>
        <v>0</v>
      </c>
    </row>
    <row r="560">
      <c r="A560" s="11" t="s">
        <v>22</v>
      </c>
      <c r="B560" s="12">
        <f t="shared" si="102"/>
        <v>8</v>
      </c>
      <c r="C560" s="11"/>
      <c r="D560" s="11"/>
      <c r="E560" s="13">
        <v>3.0</v>
      </c>
      <c r="F560" s="13">
        <v>3.0</v>
      </c>
      <c r="G560" s="12">
        <f t="shared" si="103"/>
        <v>0</v>
      </c>
      <c r="H560" s="12">
        <f t="shared" si="104"/>
        <v>8</v>
      </c>
      <c r="I560" s="14">
        <f t="shared" si="105"/>
        <v>0</v>
      </c>
    </row>
    <row r="561">
      <c r="A561" s="11" t="s">
        <v>23</v>
      </c>
      <c r="B561" s="12">
        <f t="shared" si="102"/>
        <v>40</v>
      </c>
      <c r="C561" s="15">
        <v>1.0</v>
      </c>
      <c r="D561" s="11"/>
      <c r="E561" s="13">
        <v>6.0</v>
      </c>
      <c r="F561" s="13">
        <v>3.0</v>
      </c>
      <c r="G561" s="12">
        <f t="shared" si="103"/>
        <v>3</v>
      </c>
      <c r="H561" s="12">
        <f t="shared" si="104"/>
        <v>36</v>
      </c>
      <c r="I561" s="14">
        <f t="shared" si="105"/>
        <v>18</v>
      </c>
    </row>
    <row r="562">
      <c r="A562" s="11" t="s">
        <v>24</v>
      </c>
      <c r="B562" s="12">
        <f t="shared" si="102"/>
        <v>18</v>
      </c>
      <c r="C562" s="13">
        <v>1.0</v>
      </c>
      <c r="D562" s="11"/>
      <c r="E562" s="13">
        <v>2.0</v>
      </c>
      <c r="F562" s="13">
        <v>2.0</v>
      </c>
      <c r="G562" s="12">
        <f t="shared" si="103"/>
        <v>0</v>
      </c>
      <c r="H562" s="12">
        <f t="shared" si="104"/>
        <v>17</v>
      </c>
      <c r="I562" s="14">
        <f t="shared" si="105"/>
        <v>0</v>
      </c>
    </row>
    <row r="563">
      <c r="A563" s="11" t="s">
        <v>25</v>
      </c>
      <c r="B563" s="12">
        <f t="shared" si="102"/>
        <v>38</v>
      </c>
      <c r="C563" s="11"/>
      <c r="D563" s="13"/>
      <c r="E563" s="13">
        <v>8.0</v>
      </c>
      <c r="F563" s="13">
        <v>6.0</v>
      </c>
      <c r="G563" s="12">
        <f t="shared" si="103"/>
        <v>2</v>
      </c>
      <c r="H563" s="12">
        <f t="shared" si="104"/>
        <v>36</v>
      </c>
      <c r="I563" s="14">
        <f t="shared" si="105"/>
        <v>12</v>
      </c>
    </row>
    <row r="564">
      <c r="A564" s="11" t="s">
        <v>26</v>
      </c>
      <c r="B564" s="12">
        <f t="shared" si="102"/>
        <v>17</v>
      </c>
      <c r="C564" s="11"/>
      <c r="D564" s="11"/>
      <c r="E564" s="13">
        <v>5.0</v>
      </c>
      <c r="F564" s="13">
        <v>4.0</v>
      </c>
      <c r="G564" s="12">
        <f t="shared" si="103"/>
        <v>1</v>
      </c>
      <c r="H564" s="12">
        <f t="shared" si="104"/>
        <v>16</v>
      </c>
      <c r="I564" s="14">
        <f t="shared" si="105"/>
        <v>6</v>
      </c>
    </row>
    <row r="565">
      <c r="A565" s="11" t="s">
        <v>27</v>
      </c>
      <c r="B565" s="12">
        <f t="shared" si="102"/>
        <v>17</v>
      </c>
      <c r="C565" s="11"/>
      <c r="D565" s="11"/>
      <c r="E565" s="13">
        <v>3.0</v>
      </c>
      <c r="F565" s="13">
        <v>3.0</v>
      </c>
      <c r="G565" s="12">
        <f t="shared" si="103"/>
        <v>0</v>
      </c>
      <c r="H565" s="12">
        <f t="shared" si="104"/>
        <v>17</v>
      </c>
      <c r="I565" s="14">
        <f t="shared" si="105"/>
        <v>0</v>
      </c>
    </row>
    <row r="566">
      <c r="A566" s="11" t="s">
        <v>28</v>
      </c>
      <c r="B566" s="12">
        <f t="shared" si="102"/>
        <v>11</v>
      </c>
      <c r="C566" s="11"/>
      <c r="D566" s="13">
        <v>36.0</v>
      </c>
      <c r="E566" s="13">
        <v>8.0</v>
      </c>
      <c r="F566" s="13">
        <v>5.0</v>
      </c>
      <c r="G566" s="12">
        <f t="shared" si="103"/>
        <v>3</v>
      </c>
      <c r="H566" s="12">
        <f t="shared" si="104"/>
        <v>44</v>
      </c>
      <c r="I566" s="14">
        <f t="shared" si="105"/>
        <v>18</v>
      </c>
    </row>
    <row r="567">
      <c r="A567" s="13" t="s">
        <v>29</v>
      </c>
      <c r="B567" s="12">
        <f t="shared" si="102"/>
        <v>58</v>
      </c>
      <c r="C567" s="11"/>
      <c r="D567" s="11"/>
      <c r="E567" s="13">
        <v>27.0</v>
      </c>
      <c r="F567" s="13">
        <v>0.0</v>
      </c>
      <c r="G567" s="12">
        <f t="shared" si="103"/>
        <v>27</v>
      </c>
      <c r="H567" s="12">
        <f t="shared" si="104"/>
        <v>31</v>
      </c>
      <c r="I567" s="14">
        <f t="shared" si="105"/>
        <v>162</v>
      </c>
    </row>
    <row r="568">
      <c r="A568" s="11" t="s">
        <v>30</v>
      </c>
      <c r="B568" s="12">
        <f t="shared" si="102"/>
        <v>15</v>
      </c>
      <c r="C568" s="13">
        <v>1.0</v>
      </c>
      <c r="D568" s="11"/>
      <c r="E568" s="13">
        <v>3.0</v>
      </c>
      <c r="F568" s="13">
        <v>3.0</v>
      </c>
      <c r="G568" s="12">
        <f t="shared" si="103"/>
        <v>0</v>
      </c>
      <c r="H568" s="12">
        <f t="shared" si="104"/>
        <v>14</v>
      </c>
      <c r="I568" s="14">
        <f t="shared" si="105"/>
        <v>0</v>
      </c>
    </row>
    <row r="569">
      <c r="A569" s="18" t="s">
        <v>31</v>
      </c>
      <c r="B569" s="12">
        <f t="shared" si="102"/>
        <v>20</v>
      </c>
      <c r="C569" s="11"/>
      <c r="D569" s="11"/>
      <c r="E569" s="13">
        <v>2.0</v>
      </c>
      <c r="F569" s="13">
        <v>2.0</v>
      </c>
      <c r="G569" s="12">
        <f t="shared" si="103"/>
        <v>0</v>
      </c>
      <c r="H569" s="12">
        <f t="shared" si="104"/>
        <v>20</v>
      </c>
      <c r="I569" s="14">
        <f t="shared" si="105"/>
        <v>0</v>
      </c>
    </row>
    <row r="570">
      <c r="A570" s="18" t="s">
        <v>32</v>
      </c>
      <c r="B570" s="12">
        <f t="shared" si="102"/>
        <v>19</v>
      </c>
      <c r="C570" s="11"/>
      <c r="D570" s="11"/>
      <c r="E570" s="13">
        <v>2.0</v>
      </c>
      <c r="F570" s="13">
        <v>2.0</v>
      </c>
      <c r="G570" s="12">
        <f t="shared" si="103"/>
        <v>0</v>
      </c>
      <c r="H570" s="12">
        <f t="shared" si="104"/>
        <v>19</v>
      </c>
      <c r="I570" s="14">
        <f t="shared" si="105"/>
        <v>0</v>
      </c>
    </row>
    <row r="571">
      <c r="A571" s="19" t="s">
        <v>33</v>
      </c>
      <c r="B571" s="20">
        <f>SUM(B548:B570)</f>
        <v>540</v>
      </c>
      <c r="C571" s="19"/>
      <c r="D571" s="19"/>
      <c r="E571" s="20">
        <f t="shared" ref="E571:G571" si="106">SUM(E547:E570)</f>
        <v>123</v>
      </c>
      <c r="F571" s="20">
        <f t="shared" si="106"/>
        <v>78</v>
      </c>
      <c r="G571" s="20">
        <f t="shared" si="106"/>
        <v>45</v>
      </c>
      <c r="H571" s="20">
        <f>SUM(H548:H570)</f>
        <v>525</v>
      </c>
      <c r="I571" s="21">
        <f>SUM(I547:I570)</f>
        <v>270</v>
      </c>
    </row>
    <row r="572">
      <c r="A572" s="22"/>
      <c r="B572" s="22"/>
      <c r="C572" s="22"/>
      <c r="D572" s="22"/>
      <c r="E572" s="22"/>
      <c r="F572" s="23" t="s">
        <v>34</v>
      </c>
      <c r="G572" s="4"/>
      <c r="H572" s="24"/>
      <c r="I572" s="25"/>
    </row>
    <row r="574">
      <c r="A574" s="1"/>
      <c r="B574" s="2" t="s">
        <v>84</v>
      </c>
      <c r="C574" s="3"/>
      <c r="D574" s="3"/>
      <c r="E574" s="3"/>
      <c r="F574" s="3"/>
      <c r="G574" s="3"/>
      <c r="H574" s="3"/>
      <c r="I574" s="4"/>
    </row>
    <row r="575">
      <c r="A575" s="5" t="s">
        <v>1</v>
      </c>
      <c r="B575" s="9" t="s">
        <v>2</v>
      </c>
      <c r="C575" s="7" t="s">
        <v>3</v>
      </c>
      <c r="D575" s="8" t="s">
        <v>4</v>
      </c>
      <c r="E575" s="5" t="s">
        <v>5</v>
      </c>
      <c r="F575" s="5" t="s">
        <v>6</v>
      </c>
      <c r="G575" s="5" t="s">
        <v>7</v>
      </c>
      <c r="H575" s="9" t="s">
        <v>8</v>
      </c>
      <c r="I575" s="10" t="s">
        <v>9</v>
      </c>
    </row>
    <row r="576">
      <c r="A576" s="11" t="s">
        <v>10</v>
      </c>
      <c r="B576" s="12">
        <f t="shared" ref="B576:B598" si="107">H548</f>
        <v>38</v>
      </c>
      <c r="C576" s="11"/>
      <c r="D576" s="11"/>
      <c r="E576" s="13">
        <v>6.0</v>
      </c>
      <c r="F576" s="13">
        <v>4.0</v>
      </c>
      <c r="G576" s="12">
        <f t="shared" ref="G576:G598" si="108">E576-F576</f>
        <v>2</v>
      </c>
      <c r="H576" s="12">
        <f t="shared" ref="H576:H598" si="109">B576-C576+D576-G576</f>
        <v>36</v>
      </c>
      <c r="I576" s="14">
        <f t="shared" ref="I576:I598" si="110">G576*6</f>
        <v>12</v>
      </c>
    </row>
    <row r="577">
      <c r="A577" s="11" t="s">
        <v>11</v>
      </c>
      <c r="B577" s="12">
        <f t="shared" si="107"/>
        <v>28</v>
      </c>
      <c r="C577" s="17"/>
      <c r="D577" s="11"/>
      <c r="E577" s="13">
        <v>4.0</v>
      </c>
      <c r="F577" s="13">
        <v>3.0</v>
      </c>
      <c r="G577" s="12">
        <f t="shared" si="108"/>
        <v>1</v>
      </c>
      <c r="H577" s="12">
        <f t="shared" si="109"/>
        <v>27</v>
      </c>
      <c r="I577" s="14">
        <f t="shared" si="110"/>
        <v>6</v>
      </c>
    </row>
    <row r="578">
      <c r="A578" s="11" t="s">
        <v>12</v>
      </c>
      <c r="B578" s="12">
        <f t="shared" si="107"/>
        <v>27</v>
      </c>
      <c r="C578" s="11"/>
      <c r="D578" s="11"/>
      <c r="E578" s="13">
        <v>5.0</v>
      </c>
      <c r="F578" s="13">
        <v>4.0</v>
      </c>
      <c r="G578" s="12">
        <f t="shared" si="108"/>
        <v>1</v>
      </c>
      <c r="H578" s="12">
        <f t="shared" si="109"/>
        <v>26</v>
      </c>
      <c r="I578" s="14">
        <f t="shared" si="110"/>
        <v>6</v>
      </c>
    </row>
    <row r="579">
      <c r="A579" s="11" t="s">
        <v>13</v>
      </c>
      <c r="B579" s="12">
        <f t="shared" si="107"/>
        <v>33</v>
      </c>
      <c r="C579" s="13"/>
      <c r="D579" s="13"/>
      <c r="E579" s="13">
        <v>6.0</v>
      </c>
      <c r="F579" s="13">
        <v>6.0</v>
      </c>
      <c r="G579" s="12">
        <f t="shared" si="108"/>
        <v>0</v>
      </c>
      <c r="H579" s="12">
        <f t="shared" si="109"/>
        <v>33</v>
      </c>
      <c r="I579" s="14">
        <f t="shared" si="110"/>
        <v>0</v>
      </c>
    </row>
    <row r="580">
      <c r="A580" s="11" t="s">
        <v>14</v>
      </c>
      <c r="B580" s="12">
        <f t="shared" si="107"/>
        <v>24</v>
      </c>
      <c r="C580" s="11"/>
      <c r="D580" s="11"/>
      <c r="E580" s="13">
        <v>4.0</v>
      </c>
      <c r="F580" s="13">
        <v>3.0</v>
      </c>
      <c r="G580" s="12">
        <f t="shared" si="108"/>
        <v>1</v>
      </c>
      <c r="H580" s="12">
        <f t="shared" si="109"/>
        <v>23</v>
      </c>
      <c r="I580" s="14">
        <f t="shared" si="110"/>
        <v>6</v>
      </c>
    </row>
    <row r="581">
      <c r="A581" s="11" t="s">
        <v>15</v>
      </c>
      <c r="B581" s="12">
        <f t="shared" si="107"/>
        <v>13</v>
      </c>
      <c r="C581" s="11"/>
      <c r="D581" s="11"/>
      <c r="E581" s="13">
        <v>5.0</v>
      </c>
      <c r="F581" s="13">
        <v>5.0</v>
      </c>
      <c r="G581" s="12">
        <f t="shared" si="108"/>
        <v>0</v>
      </c>
      <c r="H581" s="12">
        <f t="shared" si="109"/>
        <v>13</v>
      </c>
      <c r="I581" s="14">
        <f t="shared" si="110"/>
        <v>0</v>
      </c>
    </row>
    <row r="582">
      <c r="A582" s="11" t="s">
        <v>16</v>
      </c>
      <c r="B582" s="12">
        <f t="shared" si="107"/>
        <v>20</v>
      </c>
      <c r="C582" s="11"/>
      <c r="D582" s="11"/>
      <c r="E582" s="13">
        <v>3.0</v>
      </c>
      <c r="F582" s="13">
        <v>1.0</v>
      </c>
      <c r="G582" s="12">
        <f t="shared" si="108"/>
        <v>2</v>
      </c>
      <c r="H582" s="12">
        <f t="shared" si="109"/>
        <v>18</v>
      </c>
      <c r="I582" s="14">
        <f t="shared" si="110"/>
        <v>12</v>
      </c>
    </row>
    <row r="583">
      <c r="A583" s="11" t="s">
        <v>17</v>
      </c>
      <c r="B583" s="12">
        <f t="shared" si="107"/>
        <v>11</v>
      </c>
      <c r="C583" s="11"/>
      <c r="D583" s="11"/>
      <c r="E583" s="13">
        <v>3.0</v>
      </c>
      <c r="F583" s="13">
        <v>2.0</v>
      </c>
      <c r="G583" s="12">
        <f t="shared" si="108"/>
        <v>1</v>
      </c>
      <c r="H583" s="12">
        <f t="shared" si="109"/>
        <v>10</v>
      </c>
      <c r="I583" s="14">
        <f t="shared" si="110"/>
        <v>6</v>
      </c>
    </row>
    <row r="584">
      <c r="A584" s="11" t="s">
        <v>18</v>
      </c>
      <c r="B584" s="12">
        <f t="shared" si="107"/>
        <v>27</v>
      </c>
      <c r="C584" s="11"/>
      <c r="D584" s="11"/>
      <c r="E584" s="13">
        <v>4.0</v>
      </c>
      <c r="F584" s="13">
        <v>4.0</v>
      </c>
      <c r="G584" s="12">
        <f t="shared" si="108"/>
        <v>0</v>
      </c>
      <c r="H584" s="12">
        <f t="shared" si="109"/>
        <v>27</v>
      </c>
      <c r="I584" s="14">
        <f t="shared" si="110"/>
        <v>0</v>
      </c>
    </row>
    <row r="585">
      <c r="A585" s="11" t="s">
        <v>19</v>
      </c>
      <c r="B585" s="12">
        <f t="shared" si="107"/>
        <v>28</v>
      </c>
      <c r="C585" s="11"/>
      <c r="D585" s="11"/>
      <c r="E585" s="13">
        <v>5.0</v>
      </c>
      <c r="F585" s="13">
        <v>5.0</v>
      </c>
      <c r="G585" s="12">
        <f t="shared" si="108"/>
        <v>0</v>
      </c>
      <c r="H585" s="12">
        <f t="shared" si="109"/>
        <v>28</v>
      </c>
      <c r="I585" s="14">
        <f t="shared" si="110"/>
        <v>0</v>
      </c>
    </row>
    <row r="586">
      <c r="A586" s="11" t="s">
        <v>20</v>
      </c>
      <c r="B586" s="12">
        <f t="shared" si="107"/>
        <v>13</v>
      </c>
      <c r="C586" s="11"/>
      <c r="D586" s="11"/>
      <c r="E586" s="13">
        <v>5.0</v>
      </c>
      <c r="F586" s="13">
        <v>5.0</v>
      </c>
      <c r="G586" s="12">
        <f t="shared" si="108"/>
        <v>0</v>
      </c>
      <c r="H586" s="12">
        <f t="shared" si="109"/>
        <v>13</v>
      </c>
      <c r="I586" s="14">
        <f t="shared" si="110"/>
        <v>0</v>
      </c>
    </row>
    <row r="587">
      <c r="A587" s="11" t="s">
        <v>21</v>
      </c>
      <c r="B587" s="12">
        <f t="shared" si="107"/>
        <v>5</v>
      </c>
      <c r="C587" s="11"/>
      <c r="D587" s="11"/>
      <c r="E587" s="13">
        <v>2.0</v>
      </c>
      <c r="F587" s="13">
        <v>2.0</v>
      </c>
      <c r="G587" s="12">
        <f t="shared" si="108"/>
        <v>0</v>
      </c>
      <c r="H587" s="12">
        <f t="shared" si="109"/>
        <v>5</v>
      </c>
      <c r="I587" s="14">
        <f t="shared" si="110"/>
        <v>0</v>
      </c>
    </row>
    <row r="588">
      <c r="A588" s="11" t="s">
        <v>22</v>
      </c>
      <c r="B588" s="12">
        <f t="shared" si="107"/>
        <v>8</v>
      </c>
      <c r="C588" s="11"/>
      <c r="D588" s="11"/>
      <c r="E588" s="13">
        <v>3.0</v>
      </c>
      <c r="F588" s="13">
        <v>2.0</v>
      </c>
      <c r="G588" s="12">
        <f t="shared" si="108"/>
        <v>1</v>
      </c>
      <c r="H588" s="12">
        <f t="shared" si="109"/>
        <v>7</v>
      </c>
      <c r="I588" s="14">
        <f t="shared" si="110"/>
        <v>6</v>
      </c>
    </row>
    <row r="589">
      <c r="A589" s="11" t="s">
        <v>23</v>
      </c>
      <c r="B589" s="12">
        <f t="shared" si="107"/>
        <v>36</v>
      </c>
      <c r="C589" s="17"/>
      <c r="D589" s="11"/>
      <c r="E589" s="13">
        <v>6.0</v>
      </c>
      <c r="F589" s="13">
        <v>6.0</v>
      </c>
      <c r="G589" s="12">
        <f t="shared" si="108"/>
        <v>0</v>
      </c>
      <c r="H589" s="12">
        <f t="shared" si="109"/>
        <v>36</v>
      </c>
      <c r="I589" s="14">
        <f t="shared" si="110"/>
        <v>0</v>
      </c>
    </row>
    <row r="590">
      <c r="A590" s="11" t="s">
        <v>24</v>
      </c>
      <c r="B590" s="12">
        <f t="shared" si="107"/>
        <v>17</v>
      </c>
      <c r="C590" s="11"/>
      <c r="D590" s="11"/>
      <c r="E590" s="13">
        <v>2.0</v>
      </c>
      <c r="F590" s="13">
        <v>1.0</v>
      </c>
      <c r="G590" s="12">
        <f t="shared" si="108"/>
        <v>1</v>
      </c>
      <c r="H590" s="12">
        <f t="shared" si="109"/>
        <v>16</v>
      </c>
      <c r="I590" s="14">
        <f t="shared" si="110"/>
        <v>6</v>
      </c>
    </row>
    <row r="591">
      <c r="A591" s="11" t="s">
        <v>25</v>
      </c>
      <c r="B591" s="12">
        <f t="shared" si="107"/>
        <v>36</v>
      </c>
      <c r="C591" s="11"/>
      <c r="D591" s="13"/>
      <c r="E591" s="13">
        <v>8.0</v>
      </c>
      <c r="F591" s="13">
        <v>5.0</v>
      </c>
      <c r="G591" s="12">
        <f t="shared" si="108"/>
        <v>3</v>
      </c>
      <c r="H591" s="12">
        <f t="shared" si="109"/>
        <v>33</v>
      </c>
      <c r="I591" s="14">
        <f t="shared" si="110"/>
        <v>18</v>
      </c>
    </row>
    <row r="592">
      <c r="A592" s="11" t="s">
        <v>26</v>
      </c>
      <c r="B592" s="12">
        <f t="shared" si="107"/>
        <v>16</v>
      </c>
      <c r="C592" s="11"/>
      <c r="D592" s="11"/>
      <c r="E592" s="13">
        <v>5.0</v>
      </c>
      <c r="F592" s="13">
        <v>4.0</v>
      </c>
      <c r="G592" s="12">
        <f t="shared" si="108"/>
        <v>1</v>
      </c>
      <c r="H592" s="12">
        <f t="shared" si="109"/>
        <v>15</v>
      </c>
      <c r="I592" s="14">
        <f t="shared" si="110"/>
        <v>6</v>
      </c>
    </row>
    <row r="593">
      <c r="A593" s="11" t="s">
        <v>27</v>
      </c>
      <c r="B593" s="12">
        <f t="shared" si="107"/>
        <v>17</v>
      </c>
      <c r="C593" s="11"/>
      <c r="D593" s="11"/>
      <c r="E593" s="13">
        <v>3.0</v>
      </c>
      <c r="F593" s="13">
        <v>3.0</v>
      </c>
      <c r="G593" s="12">
        <f t="shared" si="108"/>
        <v>0</v>
      </c>
      <c r="H593" s="12">
        <f t="shared" si="109"/>
        <v>17</v>
      </c>
      <c r="I593" s="14">
        <f t="shared" si="110"/>
        <v>0</v>
      </c>
    </row>
    <row r="594">
      <c r="A594" s="11" t="s">
        <v>28</v>
      </c>
      <c r="B594" s="12">
        <f t="shared" si="107"/>
        <v>44</v>
      </c>
      <c r="C594" s="11"/>
      <c r="D594" s="11"/>
      <c r="E594" s="13">
        <v>8.0</v>
      </c>
      <c r="F594" s="13">
        <v>8.0</v>
      </c>
      <c r="G594" s="12">
        <f t="shared" si="108"/>
        <v>0</v>
      </c>
      <c r="H594" s="12">
        <f t="shared" si="109"/>
        <v>44</v>
      </c>
      <c r="I594" s="14">
        <f t="shared" si="110"/>
        <v>0</v>
      </c>
      <c r="K594" s="30"/>
    </row>
    <row r="595">
      <c r="A595" s="13" t="s">
        <v>29</v>
      </c>
      <c r="B595" s="12">
        <f t="shared" si="107"/>
        <v>31</v>
      </c>
      <c r="C595" s="11"/>
      <c r="D595" s="13">
        <v>31.0</v>
      </c>
      <c r="E595" s="13">
        <v>31.0</v>
      </c>
      <c r="F595" s="13">
        <v>17.0</v>
      </c>
      <c r="G595" s="12">
        <f t="shared" si="108"/>
        <v>14</v>
      </c>
      <c r="H595" s="12">
        <f t="shared" si="109"/>
        <v>48</v>
      </c>
      <c r="I595" s="14">
        <f t="shared" si="110"/>
        <v>84</v>
      </c>
    </row>
    <row r="596">
      <c r="A596" s="11" t="s">
        <v>30</v>
      </c>
      <c r="B596" s="12">
        <f t="shared" si="107"/>
        <v>14</v>
      </c>
      <c r="C596" s="11"/>
      <c r="D596" s="11"/>
      <c r="E596" s="13">
        <v>2.0</v>
      </c>
      <c r="F596" s="13">
        <v>2.0</v>
      </c>
      <c r="G596" s="12">
        <f t="shared" si="108"/>
        <v>0</v>
      </c>
      <c r="H596" s="12">
        <f t="shared" si="109"/>
        <v>14</v>
      </c>
      <c r="I596" s="14">
        <f t="shared" si="110"/>
        <v>0</v>
      </c>
    </row>
    <row r="597">
      <c r="A597" s="18" t="s">
        <v>31</v>
      </c>
      <c r="B597" s="12">
        <f t="shared" si="107"/>
        <v>20</v>
      </c>
      <c r="C597" s="11"/>
      <c r="D597" s="11"/>
      <c r="E597" s="13">
        <v>2.0</v>
      </c>
      <c r="F597" s="13">
        <v>2.0</v>
      </c>
      <c r="G597" s="12">
        <f t="shared" si="108"/>
        <v>0</v>
      </c>
      <c r="H597" s="12">
        <f t="shared" si="109"/>
        <v>20</v>
      </c>
      <c r="I597" s="14">
        <f t="shared" si="110"/>
        <v>0</v>
      </c>
    </row>
    <row r="598">
      <c r="A598" s="18" t="s">
        <v>32</v>
      </c>
      <c r="B598" s="12">
        <f t="shared" si="107"/>
        <v>19</v>
      </c>
      <c r="C598" s="11"/>
      <c r="D598" s="11"/>
      <c r="E598" s="13">
        <v>2.0</v>
      </c>
      <c r="F598" s="13">
        <v>2.0</v>
      </c>
      <c r="G598" s="12">
        <f t="shared" si="108"/>
        <v>0</v>
      </c>
      <c r="H598" s="12">
        <f t="shared" si="109"/>
        <v>19</v>
      </c>
      <c r="I598" s="14">
        <f t="shared" si="110"/>
        <v>0</v>
      </c>
    </row>
    <row r="599">
      <c r="A599" s="19" t="s">
        <v>33</v>
      </c>
      <c r="B599" s="20">
        <f>SUM(B576:B598)</f>
        <v>525</v>
      </c>
      <c r="C599" s="19"/>
      <c r="D599" s="19"/>
      <c r="E599" s="20">
        <f t="shared" ref="E599:G599" si="111">SUM(E575:E598)</f>
        <v>124</v>
      </c>
      <c r="F599" s="20">
        <f t="shared" si="111"/>
        <v>96</v>
      </c>
      <c r="G599" s="20">
        <f t="shared" si="111"/>
        <v>28</v>
      </c>
      <c r="H599" s="20">
        <f>SUM(H576:H598)</f>
        <v>528</v>
      </c>
      <c r="I599" s="21">
        <f>SUM(I575:I598)</f>
        <v>168</v>
      </c>
    </row>
    <row r="600">
      <c r="A600" s="22"/>
      <c r="B600" s="22"/>
      <c r="C600" s="22"/>
      <c r="D600" s="22"/>
      <c r="E600" s="22"/>
      <c r="F600" s="23" t="s">
        <v>34</v>
      </c>
      <c r="G600" s="4"/>
      <c r="H600" s="24"/>
      <c r="I600" s="25"/>
    </row>
  </sheetData>
  <mergeCells count="44">
    <mergeCell ref="B1:I1"/>
    <mergeCell ref="F26:G26"/>
    <mergeCell ref="B28:I28"/>
    <mergeCell ref="F53:G53"/>
    <mergeCell ref="B55:I55"/>
    <mergeCell ref="F80:G80"/>
    <mergeCell ref="B82:I82"/>
    <mergeCell ref="F107:G107"/>
    <mergeCell ref="B109:I109"/>
    <mergeCell ref="F134:G134"/>
    <mergeCell ref="B136:I136"/>
    <mergeCell ref="F161:G161"/>
    <mergeCell ref="B163:I163"/>
    <mergeCell ref="B190:I190"/>
    <mergeCell ref="F188:G188"/>
    <mergeCell ref="F215:G215"/>
    <mergeCell ref="B217:I217"/>
    <mergeCell ref="F242:G242"/>
    <mergeCell ref="B244:I244"/>
    <mergeCell ref="F269:G269"/>
    <mergeCell ref="B271:I271"/>
    <mergeCell ref="F296:G296"/>
    <mergeCell ref="B298:I298"/>
    <mergeCell ref="F323:G323"/>
    <mergeCell ref="B325:I325"/>
    <mergeCell ref="F350:G350"/>
    <mergeCell ref="B352:I352"/>
    <mergeCell ref="B379:I379"/>
    <mergeCell ref="F377:G377"/>
    <mergeCell ref="F404:G404"/>
    <mergeCell ref="B406:I406"/>
    <mergeCell ref="F432:G432"/>
    <mergeCell ref="B434:I434"/>
    <mergeCell ref="F460:G460"/>
    <mergeCell ref="B462:I462"/>
    <mergeCell ref="F572:G572"/>
    <mergeCell ref="F600:G600"/>
    <mergeCell ref="F488:G488"/>
    <mergeCell ref="B490:I490"/>
    <mergeCell ref="F516:G516"/>
    <mergeCell ref="B518:I518"/>
    <mergeCell ref="F544:G544"/>
    <mergeCell ref="B546:I546"/>
    <mergeCell ref="B574:I574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16.88"/>
  </cols>
  <sheetData>
    <row r="1">
      <c r="A1" s="1"/>
      <c r="B1" s="2" t="s">
        <v>85</v>
      </c>
      <c r="C1" s="3"/>
      <c r="D1" s="3"/>
      <c r="E1" s="3"/>
      <c r="F1" s="3"/>
      <c r="G1" s="3"/>
      <c r="H1" s="3"/>
      <c r="I1" s="4"/>
    </row>
    <row r="2">
      <c r="A2" s="5" t="s">
        <v>1</v>
      </c>
      <c r="B2" s="6" t="s">
        <v>2</v>
      </c>
      <c r="C2" s="7" t="s">
        <v>3</v>
      </c>
      <c r="D2" s="8" t="s">
        <v>4</v>
      </c>
      <c r="E2" s="5" t="s">
        <v>5</v>
      </c>
      <c r="F2" s="5" t="s">
        <v>6</v>
      </c>
      <c r="G2" s="5" t="s">
        <v>7</v>
      </c>
      <c r="H2" s="9" t="s">
        <v>8</v>
      </c>
      <c r="I2" s="10" t="s">
        <v>9</v>
      </c>
    </row>
    <row r="3">
      <c r="A3" s="11" t="s">
        <v>10</v>
      </c>
      <c r="B3" s="12">
        <v>35.0</v>
      </c>
      <c r="C3" s="11"/>
      <c r="D3" s="11"/>
      <c r="E3" s="13">
        <v>6.0</v>
      </c>
      <c r="F3" s="13">
        <v>5.0</v>
      </c>
      <c r="G3" s="12">
        <f t="shared" ref="G3:G23" si="1">E3-F3</f>
        <v>1</v>
      </c>
      <c r="H3" s="12">
        <f t="shared" ref="H3:H23" si="2">B3-C3+D3-G3</f>
        <v>34</v>
      </c>
      <c r="I3" s="14">
        <f t="shared" ref="I3:I23" si="3">G3*6</f>
        <v>6</v>
      </c>
    </row>
    <row r="4">
      <c r="A4" s="11" t="s">
        <v>11</v>
      </c>
      <c r="B4" s="12">
        <v>12.0</v>
      </c>
      <c r="C4" s="11"/>
      <c r="D4" s="11"/>
      <c r="E4" s="13">
        <v>6.0</v>
      </c>
      <c r="F4" s="13">
        <v>4.0</v>
      </c>
      <c r="G4" s="12">
        <f t="shared" si="1"/>
        <v>2</v>
      </c>
      <c r="H4" s="12">
        <f t="shared" si="2"/>
        <v>10</v>
      </c>
      <c r="I4" s="14">
        <f t="shared" si="3"/>
        <v>12</v>
      </c>
    </row>
    <row r="5">
      <c r="A5" s="11" t="s">
        <v>12</v>
      </c>
      <c r="B5" s="12">
        <v>37.0</v>
      </c>
      <c r="C5" s="11"/>
      <c r="D5" s="11"/>
      <c r="E5" s="13">
        <v>6.0</v>
      </c>
      <c r="F5" s="13">
        <v>6.0</v>
      </c>
      <c r="G5" s="12">
        <f t="shared" si="1"/>
        <v>0</v>
      </c>
      <c r="H5" s="12">
        <f t="shared" si="2"/>
        <v>37</v>
      </c>
      <c r="I5" s="14">
        <f t="shared" si="3"/>
        <v>0</v>
      </c>
    </row>
    <row r="6">
      <c r="A6" s="11" t="s">
        <v>13</v>
      </c>
      <c r="B6" s="12">
        <v>23.0</v>
      </c>
      <c r="C6" s="13">
        <v>6.0</v>
      </c>
      <c r="D6" s="11"/>
      <c r="E6" s="13">
        <v>7.0</v>
      </c>
      <c r="F6" s="13">
        <v>5.0</v>
      </c>
      <c r="G6" s="12">
        <f t="shared" si="1"/>
        <v>2</v>
      </c>
      <c r="H6" s="12">
        <f t="shared" si="2"/>
        <v>15</v>
      </c>
      <c r="I6" s="14">
        <f t="shared" si="3"/>
        <v>12</v>
      </c>
    </row>
    <row r="7">
      <c r="A7" s="11" t="s">
        <v>14</v>
      </c>
      <c r="B7" s="12">
        <v>25.0</v>
      </c>
      <c r="C7" s="11"/>
      <c r="D7" s="11"/>
      <c r="E7" s="13">
        <v>4.0</v>
      </c>
      <c r="F7" s="13">
        <v>3.0</v>
      </c>
      <c r="G7" s="12">
        <f t="shared" si="1"/>
        <v>1</v>
      </c>
      <c r="H7" s="12">
        <f t="shared" si="2"/>
        <v>24</v>
      </c>
      <c r="I7" s="14">
        <f t="shared" si="3"/>
        <v>6</v>
      </c>
    </row>
    <row r="8">
      <c r="A8" s="11" t="s">
        <v>15</v>
      </c>
      <c r="B8" s="29">
        <v>40.0</v>
      </c>
      <c r="C8" s="11"/>
      <c r="D8" s="13"/>
      <c r="E8" s="13">
        <v>8.0</v>
      </c>
      <c r="F8" s="13">
        <v>5.0</v>
      </c>
      <c r="G8" s="12">
        <f t="shared" si="1"/>
        <v>3</v>
      </c>
      <c r="H8" s="12">
        <f t="shared" si="2"/>
        <v>37</v>
      </c>
      <c r="I8" s="14">
        <f t="shared" si="3"/>
        <v>18</v>
      </c>
      <c r="L8" s="31">
        <f>SUM(I24+I51+I78+I106+I134+I162+I190+I218+I246+I274+I302+I330+I358+I386+I414+I442+I470)</f>
        <v>3774</v>
      </c>
    </row>
    <row r="9">
      <c r="A9" s="11" t="s">
        <v>16</v>
      </c>
      <c r="B9" s="12">
        <v>33.0</v>
      </c>
      <c r="C9" s="11"/>
      <c r="D9" s="11"/>
      <c r="E9" s="13">
        <v>5.0</v>
      </c>
      <c r="F9" s="13">
        <v>4.0</v>
      </c>
      <c r="G9" s="12">
        <f t="shared" si="1"/>
        <v>1</v>
      </c>
      <c r="H9" s="12">
        <f t="shared" si="2"/>
        <v>32</v>
      </c>
      <c r="I9" s="14">
        <f t="shared" si="3"/>
        <v>6</v>
      </c>
    </row>
    <row r="10">
      <c r="A10" s="11" t="s">
        <v>17</v>
      </c>
      <c r="B10" s="12">
        <v>22.0</v>
      </c>
      <c r="C10" s="11"/>
      <c r="D10" s="11"/>
      <c r="E10" s="13">
        <v>4.0</v>
      </c>
      <c r="F10" s="13">
        <v>2.0</v>
      </c>
      <c r="G10" s="12">
        <f t="shared" si="1"/>
        <v>2</v>
      </c>
      <c r="H10" s="12">
        <f t="shared" si="2"/>
        <v>20</v>
      </c>
      <c r="I10" s="14">
        <f t="shared" si="3"/>
        <v>12</v>
      </c>
    </row>
    <row r="11">
      <c r="A11" s="11" t="s">
        <v>18</v>
      </c>
      <c r="B11" s="12">
        <v>13.0</v>
      </c>
      <c r="C11" s="11"/>
      <c r="D11" s="11"/>
      <c r="E11" s="13">
        <v>6.0</v>
      </c>
      <c r="F11" s="13">
        <v>6.0</v>
      </c>
      <c r="G11" s="12">
        <f t="shared" si="1"/>
        <v>0</v>
      </c>
      <c r="H11" s="12">
        <f t="shared" si="2"/>
        <v>13</v>
      </c>
      <c r="I11" s="14">
        <f t="shared" si="3"/>
        <v>0</v>
      </c>
    </row>
    <row r="12">
      <c r="A12" s="11" t="s">
        <v>19</v>
      </c>
      <c r="B12" s="12">
        <v>32.0</v>
      </c>
      <c r="C12" s="11"/>
      <c r="D12" s="11"/>
      <c r="E12" s="13">
        <v>6.0</v>
      </c>
      <c r="F12" s="13">
        <v>6.0</v>
      </c>
      <c r="G12" s="12">
        <f t="shared" si="1"/>
        <v>0</v>
      </c>
      <c r="H12" s="12">
        <f t="shared" si="2"/>
        <v>32</v>
      </c>
      <c r="I12" s="14">
        <f t="shared" si="3"/>
        <v>0</v>
      </c>
    </row>
    <row r="13">
      <c r="A13" s="11" t="s">
        <v>20</v>
      </c>
      <c r="B13" s="12">
        <v>20.0</v>
      </c>
      <c r="C13" s="11"/>
      <c r="D13" s="11"/>
      <c r="E13" s="13">
        <v>6.0</v>
      </c>
      <c r="F13" s="13">
        <v>6.0</v>
      </c>
      <c r="G13" s="12">
        <f t="shared" si="1"/>
        <v>0</v>
      </c>
      <c r="H13" s="12">
        <f t="shared" si="2"/>
        <v>20</v>
      </c>
      <c r="I13" s="14">
        <f t="shared" si="3"/>
        <v>0</v>
      </c>
    </row>
    <row r="14">
      <c r="A14" s="11" t="s">
        <v>21</v>
      </c>
      <c r="B14" s="12">
        <v>14.0</v>
      </c>
      <c r="C14" s="11"/>
      <c r="D14" s="11"/>
      <c r="E14" s="13">
        <v>2.0</v>
      </c>
      <c r="F14" s="13">
        <v>2.0</v>
      </c>
      <c r="G14" s="12">
        <f t="shared" si="1"/>
        <v>0</v>
      </c>
      <c r="H14" s="12">
        <f t="shared" si="2"/>
        <v>14</v>
      </c>
      <c r="I14" s="14">
        <f t="shared" si="3"/>
        <v>0</v>
      </c>
    </row>
    <row r="15">
      <c r="A15" s="11" t="s">
        <v>22</v>
      </c>
      <c r="B15" s="12">
        <v>29.0</v>
      </c>
      <c r="C15" s="11"/>
      <c r="D15" s="11"/>
      <c r="E15" s="13">
        <v>5.0</v>
      </c>
      <c r="F15" s="13">
        <v>4.0</v>
      </c>
      <c r="G15" s="12">
        <f t="shared" si="1"/>
        <v>1</v>
      </c>
      <c r="H15" s="12">
        <f t="shared" si="2"/>
        <v>28</v>
      </c>
      <c r="I15" s="14">
        <f t="shared" si="3"/>
        <v>6</v>
      </c>
    </row>
    <row r="16">
      <c r="A16" s="11" t="s">
        <v>23</v>
      </c>
      <c r="B16" s="12">
        <v>17.0</v>
      </c>
      <c r="C16" s="11"/>
      <c r="D16" s="11"/>
      <c r="E16" s="13">
        <v>6.0</v>
      </c>
      <c r="F16" s="13">
        <v>5.0</v>
      </c>
      <c r="G16" s="12">
        <f t="shared" si="1"/>
        <v>1</v>
      </c>
      <c r="H16" s="12">
        <f t="shared" si="2"/>
        <v>16</v>
      </c>
      <c r="I16" s="14">
        <f t="shared" si="3"/>
        <v>6</v>
      </c>
      <c r="K16" s="30"/>
    </row>
    <row r="17">
      <c r="A17" s="11" t="s">
        <v>24</v>
      </c>
      <c r="B17" s="12">
        <v>10.0</v>
      </c>
      <c r="C17" s="11"/>
      <c r="D17" s="11"/>
      <c r="E17" s="13">
        <v>4.0</v>
      </c>
      <c r="F17" s="13">
        <v>3.0</v>
      </c>
      <c r="G17" s="12">
        <f t="shared" si="1"/>
        <v>1</v>
      </c>
      <c r="H17" s="12">
        <f t="shared" si="2"/>
        <v>9</v>
      </c>
      <c r="I17" s="14">
        <f t="shared" si="3"/>
        <v>6</v>
      </c>
    </row>
    <row r="18">
      <c r="A18" s="11" t="s">
        <v>25</v>
      </c>
      <c r="B18" s="12">
        <v>35.0</v>
      </c>
      <c r="C18" s="11"/>
      <c r="D18" s="11"/>
      <c r="E18" s="13">
        <v>10.0</v>
      </c>
      <c r="F18" s="13">
        <v>3.0</v>
      </c>
      <c r="G18" s="12">
        <f t="shared" si="1"/>
        <v>7</v>
      </c>
      <c r="H18" s="12">
        <f t="shared" si="2"/>
        <v>28</v>
      </c>
      <c r="I18" s="14">
        <f t="shared" si="3"/>
        <v>42</v>
      </c>
    </row>
    <row r="19">
      <c r="A19" s="11" t="s">
        <v>26</v>
      </c>
      <c r="B19" s="12">
        <v>19.0</v>
      </c>
      <c r="C19" s="11"/>
      <c r="D19" s="11"/>
      <c r="E19" s="13">
        <v>6.0</v>
      </c>
      <c r="F19" s="13">
        <v>3.0</v>
      </c>
      <c r="G19" s="12">
        <f t="shared" si="1"/>
        <v>3</v>
      </c>
      <c r="H19" s="12">
        <f t="shared" si="2"/>
        <v>16</v>
      </c>
      <c r="I19" s="14">
        <f t="shared" si="3"/>
        <v>18</v>
      </c>
    </row>
    <row r="20">
      <c r="A20" s="11" t="s">
        <v>27</v>
      </c>
      <c r="B20" s="12">
        <v>17.0</v>
      </c>
      <c r="C20" s="11"/>
      <c r="D20" s="11"/>
      <c r="E20" s="13">
        <v>4.0</v>
      </c>
      <c r="F20" s="13">
        <v>3.0</v>
      </c>
      <c r="G20" s="12">
        <f t="shared" si="1"/>
        <v>1</v>
      </c>
      <c r="H20" s="12">
        <f t="shared" si="2"/>
        <v>16</v>
      </c>
      <c r="I20" s="14">
        <f t="shared" si="3"/>
        <v>6</v>
      </c>
    </row>
    <row r="21">
      <c r="A21" s="11" t="s">
        <v>28</v>
      </c>
      <c r="B21" s="12">
        <v>39.0</v>
      </c>
      <c r="C21" s="11"/>
      <c r="D21" s="13"/>
      <c r="E21" s="13">
        <v>8.0</v>
      </c>
      <c r="F21" s="13">
        <v>7.0</v>
      </c>
      <c r="G21" s="12">
        <f t="shared" si="1"/>
        <v>1</v>
      </c>
      <c r="H21" s="12">
        <f t="shared" si="2"/>
        <v>38</v>
      </c>
      <c r="I21" s="14">
        <f t="shared" si="3"/>
        <v>6</v>
      </c>
    </row>
    <row r="22">
      <c r="A22" s="11" t="s">
        <v>30</v>
      </c>
      <c r="B22" s="12">
        <v>16.0</v>
      </c>
      <c r="C22" s="11"/>
      <c r="D22" s="11"/>
      <c r="E22" s="13">
        <v>2.0</v>
      </c>
      <c r="F22" s="13">
        <v>2.0</v>
      </c>
      <c r="G22" s="12">
        <f t="shared" si="1"/>
        <v>0</v>
      </c>
      <c r="H22" s="12">
        <f t="shared" si="2"/>
        <v>16</v>
      </c>
      <c r="I22" s="14">
        <f t="shared" si="3"/>
        <v>0</v>
      </c>
    </row>
    <row r="23">
      <c r="A23" s="18" t="s">
        <v>86</v>
      </c>
      <c r="B23" s="12">
        <v>24.0</v>
      </c>
      <c r="C23" s="11"/>
      <c r="D23" s="11"/>
      <c r="E23" s="13">
        <v>4.0</v>
      </c>
      <c r="F23" s="13">
        <v>3.0</v>
      </c>
      <c r="G23" s="12">
        <f t="shared" si="1"/>
        <v>1</v>
      </c>
      <c r="H23" s="12">
        <f t="shared" si="2"/>
        <v>23</v>
      </c>
      <c r="I23" s="14">
        <f t="shared" si="3"/>
        <v>6</v>
      </c>
    </row>
    <row r="24">
      <c r="A24" s="19" t="s">
        <v>33</v>
      </c>
      <c r="B24" s="20">
        <f>SUM(B3:B23)</f>
        <v>512</v>
      </c>
      <c r="C24" s="19"/>
      <c r="D24" s="19"/>
      <c r="E24" s="20">
        <f t="shared" ref="E24:G24" si="4">SUM(E2:E23)</f>
        <v>115</v>
      </c>
      <c r="F24" s="20">
        <f t="shared" si="4"/>
        <v>87</v>
      </c>
      <c r="G24" s="20">
        <f t="shared" si="4"/>
        <v>28</v>
      </c>
      <c r="H24" s="20">
        <f>SUM(H3:H23)</f>
        <v>478</v>
      </c>
      <c r="I24" s="21">
        <f>SUM(I2:I23)</f>
        <v>168</v>
      </c>
    </row>
    <row r="25">
      <c r="A25" s="22"/>
      <c r="B25" s="22"/>
      <c r="C25" s="22"/>
      <c r="D25" s="22"/>
      <c r="E25" s="22"/>
      <c r="F25" s="23" t="s">
        <v>34</v>
      </c>
      <c r="G25" s="4"/>
      <c r="H25" s="24"/>
      <c r="I25" s="25"/>
    </row>
    <row r="26">
      <c r="A26" s="22"/>
      <c r="B26" s="32"/>
      <c r="C26" s="32"/>
      <c r="D26" s="32"/>
      <c r="E26" s="33" t="s">
        <v>87</v>
      </c>
      <c r="F26" s="3"/>
      <c r="G26" s="4"/>
      <c r="H26" s="34"/>
      <c r="I26" s="35">
        <f>SUM(I3:I23)</f>
        <v>168</v>
      </c>
    </row>
    <row r="28">
      <c r="A28" s="1"/>
      <c r="B28" s="2" t="s">
        <v>88</v>
      </c>
      <c r="C28" s="3"/>
      <c r="D28" s="3"/>
      <c r="E28" s="3"/>
      <c r="F28" s="3"/>
      <c r="G28" s="3"/>
      <c r="H28" s="3"/>
      <c r="I28" s="4"/>
    </row>
    <row r="29">
      <c r="A29" s="5" t="s">
        <v>1</v>
      </c>
      <c r="B29" s="6" t="s">
        <v>2</v>
      </c>
      <c r="C29" s="7" t="s">
        <v>3</v>
      </c>
      <c r="D29" s="8" t="s">
        <v>4</v>
      </c>
      <c r="E29" s="5" t="s">
        <v>5</v>
      </c>
      <c r="F29" s="5" t="s">
        <v>6</v>
      </c>
      <c r="G29" s="5" t="s">
        <v>7</v>
      </c>
      <c r="H29" s="9" t="s">
        <v>8</v>
      </c>
      <c r="I29" s="10" t="s">
        <v>9</v>
      </c>
    </row>
    <row r="30">
      <c r="A30" s="11" t="s">
        <v>10</v>
      </c>
      <c r="B30" s="12">
        <f t="shared" ref="B30:B50" si="5">H3</f>
        <v>34</v>
      </c>
      <c r="C30" s="11"/>
      <c r="D30" s="11"/>
      <c r="E30" s="13">
        <v>6.0</v>
      </c>
      <c r="F30" s="13">
        <v>0.0</v>
      </c>
      <c r="G30" s="12">
        <f t="shared" ref="G30:G50" si="6">E30-F30</f>
        <v>6</v>
      </c>
      <c r="H30" s="12">
        <f t="shared" ref="H30:H50" si="7">B30-C30+D30-G30</f>
        <v>28</v>
      </c>
      <c r="I30" s="14">
        <f t="shared" ref="I30:I50" si="8">G30*6</f>
        <v>36</v>
      </c>
    </row>
    <row r="31">
      <c r="A31" s="11" t="s">
        <v>11</v>
      </c>
      <c r="B31" s="12">
        <f t="shared" si="5"/>
        <v>10</v>
      </c>
      <c r="C31" s="11"/>
      <c r="D31" s="11"/>
      <c r="E31" s="13">
        <v>6.0</v>
      </c>
      <c r="F31" s="13">
        <v>5.0</v>
      </c>
      <c r="G31" s="12">
        <f t="shared" si="6"/>
        <v>1</v>
      </c>
      <c r="H31" s="12">
        <f t="shared" si="7"/>
        <v>9</v>
      </c>
      <c r="I31" s="14">
        <f t="shared" si="8"/>
        <v>6</v>
      </c>
    </row>
    <row r="32">
      <c r="A32" s="11" t="s">
        <v>12</v>
      </c>
      <c r="B32" s="12">
        <f t="shared" si="5"/>
        <v>37</v>
      </c>
      <c r="C32" s="11"/>
      <c r="D32" s="11"/>
      <c r="E32" s="13">
        <v>6.0</v>
      </c>
      <c r="F32" s="13">
        <v>6.0</v>
      </c>
      <c r="G32" s="12">
        <f t="shared" si="6"/>
        <v>0</v>
      </c>
      <c r="H32" s="12">
        <f t="shared" si="7"/>
        <v>37</v>
      </c>
      <c r="I32" s="14">
        <f t="shared" si="8"/>
        <v>0</v>
      </c>
    </row>
    <row r="33">
      <c r="A33" s="11" t="s">
        <v>13</v>
      </c>
      <c r="B33" s="12">
        <f t="shared" si="5"/>
        <v>15</v>
      </c>
      <c r="C33" s="11"/>
      <c r="D33" s="11"/>
      <c r="E33" s="13">
        <v>6.0</v>
      </c>
      <c r="F33" s="13">
        <v>3.0</v>
      </c>
      <c r="G33" s="12">
        <f t="shared" si="6"/>
        <v>3</v>
      </c>
      <c r="H33" s="12">
        <f t="shared" si="7"/>
        <v>12</v>
      </c>
      <c r="I33" s="14">
        <f t="shared" si="8"/>
        <v>18</v>
      </c>
    </row>
    <row r="34">
      <c r="A34" s="11" t="s">
        <v>14</v>
      </c>
      <c r="B34" s="12">
        <f t="shared" si="5"/>
        <v>24</v>
      </c>
      <c r="C34" s="11"/>
      <c r="D34" s="11"/>
      <c r="E34" s="13">
        <v>4.0</v>
      </c>
      <c r="F34" s="13">
        <v>3.0</v>
      </c>
      <c r="G34" s="12">
        <f t="shared" si="6"/>
        <v>1</v>
      </c>
      <c r="H34" s="12">
        <f t="shared" si="7"/>
        <v>23</v>
      </c>
      <c r="I34" s="14">
        <f t="shared" si="8"/>
        <v>6</v>
      </c>
    </row>
    <row r="35">
      <c r="A35" s="11" t="s">
        <v>15</v>
      </c>
      <c r="B35" s="12">
        <f t="shared" si="5"/>
        <v>37</v>
      </c>
      <c r="C35" s="11"/>
      <c r="D35" s="11"/>
      <c r="E35" s="13">
        <v>6.0</v>
      </c>
      <c r="F35" s="13">
        <v>4.0</v>
      </c>
      <c r="G35" s="12">
        <f t="shared" si="6"/>
        <v>2</v>
      </c>
      <c r="H35" s="12">
        <f t="shared" si="7"/>
        <v>35</v>
      </c>
      <c r="I35" s="14">
        <f t="shared" si="8"/>
        <v>12</v>
      </c>
    </row>
    <row r="36">
      <c r="A36" s="11" t="s">
        <v>16</v>
      </c>
      <c r="B36" s="12">
        <f t="shared" si="5"/>
        <v>32</v>
      </c>
      <c r="C36" s="11"/>
      <c r="D36" s="11"/>
      <c r="E36" s="13">
        <v>5.0</v>
      </c>
      <c r="F36" s="13">
        <v>3.0</v>
      </c>
      <c r="G36" s="12">
        <f t="shared" si="6"/>
        <v>2</v>
      </c>
      <c r="H36" s="12">
        <f t="shared" si="7"/>
        <v>30</v>
      </c>
      <c r="I36" s="14">
        <f t="shared" si="8"/>
        <v>12</v>
      </c>
    </row>
    <row r="37">
      <c r="A37" s="11" t="s">
        <v>17</v>
      </c>
      <c r="B37" s="12">
        <f t="shared" si="5"/>
        <v>20</v>
      </c>
      <c r="C37" s="11"/>
      <c r="D37" s="11"/>
      <c r="E37" s="13">
        <v>4.0</v>
      </c>
      <c r="F37" s="13">
        <v>1.0</v>
      </c>
      <c r="G37" s="12">
        <f t="shared" si="6"/>
        <v>3</v>
      </c>
      <c r="H37" s="12">
        <f t="shared" si="7"/>
        <v>17</v>
      </c>
      <c r="I37" s="14">
        <f t="shared" si="8"/>
        <v>18</v>
      </c>
    </row>
    <row r="38">
      <c r="A38" s="11" t="s">
        <v>18</v>
      </c>
      <c r="B38" s="12">
        <f t="shared" si="5"/>
        <v>13</v>
      </c>
      <c r="C38" s="11"/>
      <c r="D38" s="11"/>
      <c r="E38" s="13">
        <v>6.0</v>
      </c>
      <c r="F38" s="13">
        <v>4.0</v>
      </c>
      <c r="G38" s="12">
        <f t="shared" si="6"/>
        <v>2</v>
      </c>
      <c r="H38" s="12">
        <f t="shared" si="7"/>
        <v>11</v>
      </c>
      <c r="I38" s="14">
        <f t="shared" si="8"/>
        <v>12</v>
      </c>
      <c r="L38" s="36">
        <v>31.0</v>
      </c>
    </row>
    <row r="39">
      <c r="A39" s="11" t="s">
        <v>19</v>
      </c>
      <c r="B39" s="12">
        <f t="shared" si="5"/>
        <v>32</v>
      </c>
      <c r="C39" s="11"/>
      <c r="D39" s="11"/>
      <c r="E39" s="13">
        <v>6.0</v>
      </c>
      <c r="F39" s="13">
        <v>4.0</v>
      </c>
      <c r="G39" s="12">
        <f t="shared" si="6"/>
        <v>2</v>
      </c>
      <c r="H39" s="12">
        <f t="shared" si="7"/>
        <v>30</v>
      </c>
      <c r="I39" s="14">
        <f t="shared" si="8"/>
        <v>12</v>
      </c>
      <c r="L39" s="36">
        <v>3131.0</v>
      </c>
    </row>
    <row r="40">
      <c r="A40" s="11" t="s">
        <v>20</v>
      </c>
      <c r="B40" s="12">
        <f t="shared" si="5"/>
        <v>20</v>
      </c>
      <c r="C40" s="11"/>
      <c r="D40" s="11"/>
      <c r="E40" s="13">
        <v>6.0</v>
      </c>
      <c r="F40" s="13">
        <v>6.0</v>
      </c>
      <c r="G40" s="12">
        <f t="shared" si="6"/>
        <v>0</v>
      </c>
      <c r="H40" s="12">
        <f t="shared" si="7"/>
        <v>20</v>
      </c>
      <c r="I40" s="14">
        <f t="shared" si="8"/>
        <v>0</v>
      </c>
    </row>
    <row r="41">
      <c r="A41" s="11" t="s">
        <v>21</v>
      </c>
      <c r="B41" s="12">
        <f t="shared" si="5"/>
        <v>14</v>
      </c>
      <c r="C41" s="11"/>
      <c r="D41" s="11"/>
      <c r="E41" s="13">
        <v>2.0</v>
      </c>
      <c r="F41" s="13">
        <v>2.0</v>
      </c>
      <c r="G41" s="12">
        <f t="shared" si="6"/>
        <v>0</v>
      </c>
      <c r="H41" s="12">
        <f t="shared" si="7"/>
        <v>14</v>
      </c>
      <c r="I41" s="14">
        <f t="shared" si="8"/>
        <v>0</v>
      </c>
    </row>
    <row r="42">
      <c r="A42" s="11" t="s">
        <v>22</v>
      </c>
      <c r="B42" s="12">
        <f t="shared" si="5"/>
        <v>28</v>
      </c>
      <c r="C42" s="11"/>
      <c r="D42" s="11"/>
      <c r="E42" s="13">
        <v>5.0</v>
      </c>
      <c r="F42" s="13">
        <v>5.0</v>
      </c>
      <c r="G42" s="12">
        <f t="shared" si="6"/>
        <v>0</v>
      </c>
      <c r="H42" s="12">
        <f t="shared" si="7"/>
        <v>28</v>
      </c>
      <c r="I42" s="14">
        <f t="shared" si="8"/>
        <v>0</v>
      </c>
    </row>
    <row r="43">
      <c r="A43" s="11" t="s">
        <v>23</v>
      </c>
      <c r="B43" s="12">
        <f t="shared" si="5"/>
        <v>16</v>
      </c>
      <c r="C43" s="11"/>
      <c r="D43" s="11"/>
      <c r="E43" s="13">
        <v>6.0</v>
      </c>
      <c r="F43" s="13">
        <v>2.0</v>
      </c>
      <c r="G43" s="12">
        <f t="shared" si="6"/>
        <v>4</v>
      </c>
      <c r="H43" s="12">
        <f t="shared" si="7"/>
        <v>12</v>
      </c>
      <c r="I43" s="14">
        <f t="shared" si="8"/>
        <v>24</v>
      </c>
    </row>
    <row r="44">
      <c r="A44" s="11" t="s">
        <v>24</v>
      </c>
      <c r="B44" s="12">
        <f t="shared" si="5"/>
        <v>9</v>
      </c>
      <c r="C44" s="11"/>
      <c r="D44" s="11"/>
      <c r="E44" s="13">
        <v>4.0</v>
      </c>
      <c r="F44" s="13">
        <v>2.0</v>
      </c>
      <c r="G44" s="12">
        <f t="shared" si="6"/>
        <v>2</v>
      </c>
      <c r="H44" s="12">
        <f t="shared" si="7"/>
        <v>7</v>
      </c>
      <c r="I44" s="14">
        <f t="shared" si="8"/>
        <v>12</v>
      </c>
    </row>
    <row r="45">
      <c r="A45" s="11" t="s">
        <v>25</v>
      </c>
      <c r="B45" s="12">
        <f t="shared" si="5"/>
        <v>28</v>
      </c>
      <c r="C45" s="11"/>
      <c r="D45" s="11"/>
      <c r="E45" s="13">
        <v>10.0</v>
      </c>
      <c r="F45" s="13">
        <v>5.0</v>
      </c>
      <c r="G45" s="12">
        <f t="shared" si="6"/>
        <v>5</v>
      </c>
      <c r="H45" s="12">
        <f t="shared" si="7"/>
        <v>23</v>
      </c>
      <c r="I45" s="14">
        <f t="shared" si="8"/>
        <v>30</v>
      </c>
    </row>
    <row r="46">
      <c r="A46" s="11" t="s">
        <v>26</v>
      </c>
      <c r="B46" s="12">
        <f t="shared" si="5"/>
        <v>16</v>
      </c>
      <c r="C46" s="11"/>
      <c r="D46" s="11"/>
      <c r="E46" s="13">
        <v>6.0</v>
      </c>
      <c r="F46" s="13">
        <v>6.0</v>
      </c>
      <c r="G46" s="12">
        <f t="shared" si="6"/>
        <v>0</v>
      </c>
      <c r="H46" s="12">
        <f t="shared" si="7"/>
        <v>16</v>
      </c>
      <c r="I46" s="14">
        <f t="shared" si="8"/>
        <v>0</v>
      </c>
    </row>
    <row r="47">
      <c r="A47" s="11" t="s">
        <v>27</v>
      </c>
      <c r="B47" s="12">
        <f t="shared" si="5"/>
        <v>16</v>
      </c>
      <c r="C47" s="11"/>
      <c r="D47" s="11"/>
      <c r="E47" s="13">
        <v>4.0</v>
      </c>
      <c r="F47" s="13">
        <v>3.0</v>
      </c>
      <c r="G47" s="12">
        <f t="shared" si="6"/>
        <v>1</v>
      </c>
      <c r="H47" s="12">
        <f t="shared" si="7"/>
        <v>15</v>
      </c>
      <c r="I47" s="14">
        <f t="shared" si="8"/>
        <v>6</v>
      </c>
    </row>
    <row r="48">
      <c r="A48" s="11" t="s">
        <v>28</v>
      </c>
      <c r="B48" s="12">
        <f t="shared" si="5"/>
        <v>38</v>
      </c>
      <c r="C48" s="13">
        <v>1.0</v>
      </c>
      <c r="D48" s="13"/>
      <c r="E48" s="13">
        <v>8.0</v>
      </c>
      <c r="F48" s="13">
        <v>8.0</v>
      </c>
      <c r="G48" s="12">
        <f t="shared" si="6"/>
        <v>0</v>
      </c>
      <c r="H48" s="12">
        <f t="shared" si="7"/>
        <v>37</v>
      </c>
      <c r="I48" s="14">
        <f t="shared" si="8"/>
        <v>0</v>
      </c>
    </row>
    <row r="49">
      <c r="A49" s="11" t="s">
        <v>30</v>
      </c>
      <c r="B49" s="12">
        <f t="shared" si="5"/>
        <v>16</v>
      </c>
      <c r="C49" s="11"/>
      <c r="D49" s="11"/>
      <c r="E49" s="13">
        <v>2.0</v>
      </c>
      <c r="F49" s="13">
        <v>2.0</v>
      </c>
      <c r="G49" s="12">
        <f t="shared" si="6"/>
        <v>0</v>
      </c>
      <c r="H49" s="12">
        <f t="shared" si="7"/>
        <v>16</v>
      </c>
      <c r="I49" s="14">
        <f t="shared" si="8"/>
        <v>0</v>
      </c>
    </row>
    <row r="50">
      <c r="A50" s="18" t="s">
        <v>86</v>
      </c>
      <c r="B50" s="12">
        <f t="shared" si="5"/>
        <v>23</v>
      </c>
      <c r="C50" s="11"/>
      <c r="D50" s="11"/>
      <c r="E50" s="13">
        <v>4.0</v>
      </c>
      <c r="F50" s="13">
        <v>2.0</v>
      </c>
      <c r="G50" s="12">
        <f t="shared" si="6"/>
        <v>2</v>
      </c>
      <c r="H50" s="12">
        <f t="shared" si="7"/>
        <v>21</v>
      </c>
      <c r="I50" s="14">
        <f t="shared" si="8"/>
        <v>12</v>
      </c>
    </row>
    <row r="51">
      <c r="A51" s="19" t="s">
        <v>33</v>
      </c>
      <c r="B51" s="20">
        <f>SUM(B30:B50)</f>
        <v>478</v>
      </c>
      <c r="C51" s="19"/>
      <c r="D51" s="19"/>
      <c r="E51" s="20">
        <f t="shared" ref="E51:G51" si="9">SUM(E29:E50)</f>
        <v>112</v>
      </c>
      <c r="F51" s="20">
        <f t="shared" si="9"/>
        <v>76</v>
      </c>
      <c r="G51" s="20">
        <f t="shared" si="9"/>
        <v>36</v>
      </c>
      <c r="H51" s="20">
        <f>SUM(H30:H50)</f>
        <v>441</v>
      </c>
      <c r="I51" s="21">
        <f>SUM(I29:I50)</f>
        <v>216</v>
      </c>
    </row>
    <row r="52">
      <c r="A52" s="22"/>
      <c r="B52" s="22"/>
      <c r="C52" s="22"/>
      <c r="D52" s="22"/>
      <c r="E52" s="22"/>
      <c r="F52" s="23" t="s">
        <v>34</v>
      </c>
      <c r="G52" s="4"/>
      <c r="H52" s="24"/>
      <c r="I52" s="25"/>
    </row>
    <row r="53">
      <c r="A53" s="22"/>
      <c r="B53" s="32"/>
      <c r="C53" s="32"/>
      <c r="D53" s="32"/>
      <c r="E53" s="33" t="s">
        <v>87</v>
      </c>
      <c r="F53" s="3"/>
      <c r="G53" s="4"/>
      <c r="H53" s="34"/>
      <c r="I53" s="35">
        <f>SUM(I30:I50)</f>
        <v>216</v>
      </c>
    </row>
    <row r="55">
      <c r="A55" s="1"/>
      <c r="B55" s="2" t="s">
        <v>89</v>
      </c>
      <c r="C55" s="3"/>
      <c r="D55" s="3"/>
      <c r="E55" s="3"/>
      <c r="F55" s="3"/>
      <c r="G55" s="3"/>
      <c r="H55" s="3"/>
      <c r="I55" s="4"/>
    </row>
    <row r="56">
      <c r="A56" s="5" t="s">
        <v>1</v>
      </c>
      <c r="B56" s="6" t="s">
        <v>2</v>
      </c>
      <c r="C56" s="7" t="s">
        <v>3</v>
      </c>
      <c r="D56" s="8" t="s">
        <v>4</v>
      </c>
      <c r="E56" s="5" t="s">
        <v>5</v>
      </c>
      <c r="F56" s="5" t="s">
        <v>6</v>
      </c>
      <c r="G56" s="5" t="s">
        <v>7</v>
      </c>
      <c r="H56" s="9" t="s">
        <v>8</v>
      </c>
      <c r="I56" s="10" t="s">
        <v>9</v>
      </c>
    </row>
    <row r="57">
      <c r="A57" s="11" t="s">
        <v>10</v>
      </c>
      <c r="B57" s="12">
        <f t="shared" ref="B57:B77" si="10">H30</f>
        <v>28</v>
      </c>
      <c r="C57" s="11"/>
      <c r="D57" s="11"/>
      <c r="E57" s="13">
        <v>6.0</v>
      </c>
      <c r="F57" s="13">
        <v>1.0</v>
      </c>
      <c r="G57" s="12">
        <f t="shared" ref="G57:G77" si="11">E57-F57</f>
        <v>5</v>
      </c>
      <c r="H57" s="12">
        <f t="shared" ref="H57:H77" si="12">B57-C57+D57-G57</f>
        <v>23</v>
      </c>
      <c r="I57" s="14">
        <f t="shared" ref="I57:I77" si="13">G57*6</f>
        <v>30</v>
      </c>
    </row>
    <row r="58">
      <c r="A58" s="11" t="s">
        <v>11</v>
      </c>
      <c r="B58" s="12">
        <f t="shared" si="10"/>
        <v>9</v>
      </c>
      <c r="C58" s="11"/>
      <c r="D58" s="13">
        <v>32.0</v>
      </c>
      <c r="E58" s="13">
        <v>6.0</v>
      </c>
      <c r="F58" s="13">
        <v>2.0</v>
      </c>
      <c r="G58" s="12">
        <f t="shared" si="11"/>
        <v>4</v>
      </c>
      <c r="H58" s="12">
        <f t="shared" si="12"/>
        <v>37</v>
      </c>
      <c r="I58" s="14">
        <f t="shared" si="13"/>
        <v>24</v>
      </c>
    </row>
    <row r="59">
      <c r="A59" s="11" t="s">
        <v>12</v>
      </c>
      <c r="B59" s="12">
        <f t="shared" si="10"/>
        <v>37</v>
      </c>
      <c r="C59" s="11"/>
      <c r="D59" s="11"/>
      <c r="E59" s="13">
        <v>6.0</v>
      </c>
      <c r="F59" s="13">
        <v>4.0</v>
      </c>
      <c r="G59" s="12">
        <f t="shared" si="11"/>
        <v>2</v>
      </c>
      <c r="H59" s="12">
        <f t="shared" si="12"/>
        <v>35</v>
      </c>
      <c r="I59" s="14">
        <f t="shared" si="13"/>
        <v>12</v>
      </c>
    </row>
    <row r="60">
      <c r="A60" s="11" t="s">
        <v>13</v>
      </c>
      <c r="B60" s="12">
        <f t="shared" si="10"/>
        <v>12</v>
      </c>
      <c r="C60" s="11"/>
      <c r="D60" s="11"/>
      <c r="E60" s="13">
        <v>6.0</v>
      </c>
      <c r="F60" s="13">
        <v>3.0</v>
      </c>
      <c r="G60" s="12">
        <f t="shared" si="11"/>
        <v>3</v>
      </c>
      <c r="H60" s="12">
        <f t="shared" si="12"/>
        <v>9</v>
      </c>
      <c r="I60" s="14">
        <f t="shared" si="13"/>
        <v>18</v>
      </c>
    </row>
    <row r="61">
      <c r="A61" s="11" t="s">
        <v>14</v>
      </c>
      <c r="B61" s="12">
        <f t="shared" si="10"/>
        <v>23</v>
      </c>
      <c r="C61" s="11"/>
      <c r="D61" s="11"/>
      <c r="E61" s="13">
        <v>4.0</v>
      </c>
      <c r="F61" s="13">
        <v>0.0</v>
      </c>
      <c r="G61" s="12">
        <f t="shared" si="11"/>
        <v>4</v>
      </c>
      <c r="H61" s="12">
        <f t="shared" si="12"/>
        <v>19</v>
      </c>
      <c r="I61" s="14">
        <f t="shared" si="13"/>
        <v>24</v>
      </c>
    </row>
    <row r="62">
      <c r="A62" s="11" t="s">
        <v>15</v>
      </c>
      <c r="B62" s="12">
        <f t="shared" si="10"/>
        <v>35</v>
      </c>
      <c r="C62" s="11"/>
      <c r="D62" s="11"/>
      <c r="E62" s="13">
        <v>6.0</v>
      </c>
      <c r="F62" s="13">
        <v>4.0</v>
      </c>
      <c r="G62" s="12">
        <f t="shared" si="11"/>
        <v>2</v>
      </c>
      <c r="H62" s="12">
        <f t="shared" si="12"/>
        <v>33</v>
      </c>
      <c r="I62" s="14">
        <f t="shared" si="13"/>
        <v>12</v>
      </c>
    </row>
    <row r="63">
      <c r="A63" s="11" t="s">
        <v>16</v>
      </c>
      <c r="B63" s="12">
        <f t="shared" si="10"/>
        <v>30</v>
      </c>
      <c r="C63" s="11"/>
      <c r="D63" s="11"/>
      <c r="E63" s="13">
        <v>5.0</v>
      </c>
      <c r="F63" s="13">
        <v>5.0</v>
      </c>
      <c r="G63" s="12">
        <f t="shared" si="11"/>
        <v>0</v>
      </c>
      <c r="H63" s="12">
        <f t="shared" si="12"/>
        <v>30</v>
      </c>
      <c r="I63" s="14">
        <f t="shared" si="13"/>
        <v>0</v>
      </c>
    </row>
    <row r="64">
      <c r="A64" s="11" t="s">
        <v>17</v>
      </c>
      <c r="B64" s="12">
        <f t="shared" si="10"/>
        <v>17</v>
      </c>
      <c r="C64" s="13">
        <v>1.0</v>
      </c>
      <c r="D64" s="11"/>
      <c r="E64" s="13">
        <v>5.0</v>
      </c>
      <c r="F64" s="13">
        <v>3.0</v>
      </c>
      <c r="G64" s="12">
        <f t="shared" si="11"/>
        <v>2</v>
      </c>
      <c r="H64" s="12">
        <f t="shared" si="12"/>
        <v>14</v>
      </c>
      <c r="I64" s="14">
        <f t="shared" si="13"/>
        <v>12</v>
      </c>
    </row>
    <row r="65">
      <c r="A65" s="11" t="s">
        <v>18</v>
      </c>
      <c r="B65" s="12">
        <f t="shared" si="10"/>
        <v>11</v>
      </c>
      <c r="C65" s="11"/>
      <c r="D65" s="11"/>
      <c r="E65" s="13">
        <v>6.0</v>
      </c>
      <c r="F65" s="13">
        <v>3.0</v>
      </c>
      <c r="G65" s="12">
        <f t="shared" si="11"/>
        <v>3</v>
      </c>
      <c r="H65" s="12">
        <f t="shared" si="12"/>
        <v>8</v>
      </c>
      <c r="I65" s="14">
        <f t="shared" si="13"/>
        <v>18</v>
      </c>
    </row>
    <row r="66">
      <c r="A66" s="11" t="s">
        <v>19</v>
      </c>
      <c r="B66" s="12">
        <f t="shared" si="10"/>
        <v>30</v>
      </c>
      <c r="C66" s="11"/>
      <c r="D66" s="11"/>
      <c r="E66" s="13">
        <v>6.0</v>
      </c>
      <c r="F66" s="13">
        <v>4.0</v>
      </c>
      <c r="G66" s="12">
        <f t="shared" si="11"/>
        <v>2</v>
      </c>
      <c r="H66" s="12">
        <f t="shared" si="12"/>
        <v>28</v>
      </c>
      <c r="I66" s="14">
        <f t="shared" si="13"/>
        <v>12</v>
      </c>
    </row>
    <row r="67">
      <c r="A67" s="11" t="s">
        <v>20</v>
      </c>
      <c r="B67" s="12">
        <f t="shared" si="10"/>
        <v>20</v>
      </c>
      <c r="C67" s="11"/>
      <c r="D67" s="11"/>
      <c r="E67" s="13">
        <v>6.0</v>
      </c>
      <c r="F67" s="13">
        <v>2.0</v>
      </c>
      <c r="G67" s="12">
        <f t="shared" si="11"/>
        <v>4</v>
      </c>
      <c r="H67" s="12">
        <f t="shared" si="12"/>
        <v>16</v>
      </c>
      <c r="I67" s="14">
        <f t="shared" si="13"/>
        <v>24</v>
      </c>
    </row>
    <row r="68">
      <c r="A68" s="11" t="s">
        <v>21</v>
      </c>
      <c r="B68" s="12">
        <f t="shared" si="10"/>
        <v>14</v>
      </c>
      <c r="C68" s="11"/>
      <c r="D68" s="11"/>
      <c r="E68" s="13">
        <v>2.0</v>
      </c>
      <c r="F68" s="13">
        <v>1.0</v>
      </c>
      <c r="G68" s="12">
        <f t="shared" si="11"/>
        <v>1</v>
      </c>
      <c r="H68" s="12">
        <f t="shared" si="12"/>
        <v>13</v>
      </c>
      <c r="I68" s="14">
        <f t="shared" si="13"/>
        <v>6</v>
      </c>
    </row>
    <row r="69">
      <c r="A69" s="11" t="s">
        <v>22</v>
      </c>
      <c r="B69" s="12">
        <f t="shared" si="10"/>
        <v>28</v>
      </c>
      <c r="C69" s="11"/>
      <c r="D69" s="11"/>
      <c r="E69" s="13">
        <v>5.0</v>
      </c>
      <c r="F69" s="13">
        <v>4.0</v>
      </c>
      <c r="G69" s="12">
        <f t="shared" si="11"/>
        <v>1</v>
      </c>
      <c r="H69" s="12">
        <f t="shared" si="12"/>
        <v>27</v>
      </c>
      <c r="I69" s="14">
        <f t="shared" si="13"/>
        <v>6</v>
      </c>
    </row>
    <row r="70">
      <c r="A70" s="11" t="s">
        <v>23</v>
      </c>
      <c r="B70" s="12">
        <f t="shared" si="10"/>
        <v>12</v>
      </c>
      <c r="C70" s="11"/>
      <c r="D70" s="11"/>
      <c r="E70" s="13">
        <v>6.0</v>
      </c>
      <c r="F70" s="13">
        <v>1.0</v>
      </c>
      <c r="G70" s="12">
        <f t="shared" si="11"/>
        <v>5</v>
      </c>
      <c r="H70" s="12">
        <f t="shared" si="12"/>
        <v>7</v>
      </c>
      <c r="I70" s="14">
        <f t="shared" si="13"/>
        <v>30</v>
      </c>
    </row>
    <row r="71">
      <c r="A71" s="11" t="s">
        <v>24</v>
      </c>
      <c r="B71" s="12">
        <f t="shared" si="10"/>
        <v>7</v>
      </c>
      <c r="C71" s="11"/>
      <c r="D71" s="11"/>
      <c r="E71" s="13">
        <v>4.0</v>
      </c>
      <c r="F71" s="13">
        <v>2.0</v>
      </c>
      <c r="G71" s="12">
        <f t="shared" si="11"/>
        <v>2</v>
      </c>
      <c r="H71" s="12">
        <f t="shared" si="12"/>
        <v>5</v>
      </c>
      <c r="I71" s="14">
        <f t="shared" si="13"/>
        <v>12</v>
      </c>
    </row>
    <row r="72">
      <c r="A72" s="11" t="s">
        <v>25</v>
      </c>
      <c r="B72" s="12">
        <f t="shared" si="10"/>
        <v>23</v>
      </c>
      <c r="C72" s="11"/>
      <c r="D72" s="11"/>
      <c r="E72" s="13">
        <v>10.0</v>
      </c>
      <c r="F72" s="13">
        <v>0.0</v>
      </c>
      <c r="G72" s="12">
        <f t="shared" si="11"/>
        <v>10</v>
      </c>
      <c r="H72" s="12">
        <f t="shared" si="12"/>
        <v>13</v>
      </c>
      <c r="I72" s="14">
        <f t="shared" si="13"/>
        <v>60</v>
      </c>
    </row>
    <row r="73">
      <c r="A73" s="11" t="s">
        <v>26</v>
      </c>
      <c r="B73" s="12">
        <f t="shared" si="10"/>
        <v>16</v>
      </c>
      <c r="C73" s="11"/>
      <c r="D73" s="11"/>
      <c r="E73" s="13">
        <v>6.0</v>
      </c>
      <c r="F73" s="13">
        <v>4.0</v>
      </c>
      <c r="G73" s="12">
        <f t="shared" si="11"/>
        <v>2</v>
      </c>
      <c r="H73" s="12">
        <f t="shared" si="12"/>
        <v>14</v>
      </c>
      <c r="I73" s="14">
        <f t="shared" si="13"/>
        <v>12</v>
      </c>
    </row>
    <row r="74">
      <c r="A74" s="11" t="s">
        <v>27</v>
      </c>
      <c r="B74" s="12">
        <f t="shared" si="10"/>
        <v>15</v>
      </c>
      <c r="C74" s="11"/>
      <c r="D74" s="11"/>
      <c r="E74" s="13">
        <v>4.0</v>
      </c>
      <c r="F74" s="13">
        <v>3.0</v>
      </c>
      <c r="G74" s="12">
        <f t="shared" si="11"/>
        <v>1</v>
      </c>
      <c r="H74" s="12">
        <f t="shared" si="12"/>
        <v>14</v>
      </c>
      <c r="I74" s="14">
        <f t="shared" si="13"/>
        <v>6</v>
      </c>
    </row>
    <row r="75">
      <c r="A75" s="11" t="s">
        <v>28</v>
      </c>
      <c r="B75" s="12">
        <f t="shared" si="10"/>
        <v>37</v>
      </c>
      <c r="C75" s="11"/>
      <c r="D75" s="13"/>
      <c r="E75" s="13">
        <v>8.0</v>
      </c>
      <c r="F75" s="13">
        <v>7.0</v>
      </c>
      <c r="G75" s="12">
        <f t="shared" si="11"/>
        <v>1</v>
      </c>
      <c r="H75" s="12">
        <f t="shared" si="12"/>
        <v>36</v>
      </c>
      <c r="I75" s="14">
        <f t="shared" si="13"/>
        <v>6</v>
      </c>
    </row>
    <row r="76">
      <c r="A76" s="11" t="s">
        <v>30</v>
      </c>
      <c r="B76" s="12">
        <f t="shared" si="10"/>
        <v>16</v>
      </c>
      <c r="C76" s="11"/>
      <c r="D76" s="11"/>
      <c r="E76" s="13">
        <v>2.0</v>
      </c>
      <c r="F76" s="13">
        <v>1.0</v>
      </c>
      <c r="G76" s="12">
        <f t="shared" si="11"/>
        <v>1</v>
      </c>
      <c r="H76" s="12">
        <f t="shared" si="12"/>
        <v>15</v>
      </c>
      <c r="I76" s="14">
        <f t="shared" si="13"/>
        <v>6</v>
      </c>
    </row>
    <row r="77">
      <c r="A77" s="18" t="s">
        <v>86</v>
      </c>
      <c r="B77" s="12">
        <f t="shared" si="10"/>
        <v>21</v>
      </c>
      <c r="C77" s="11"/>
      <c r="D77" s="11"/>
      <c r="E77" s="13">
        <v>4.0</v>
      </c>
      <c r="F77" s="13">
        <v>2.0</v>
      </c>
      <c r="G77" s="12">
        <f t="shared" si="11"/>
        <v>2</v>
      </c>
      <c r="H77" s="12">
        <f t="shared" si="12"/>
        <v>19</v>
      </c>
      <c r="I77" s="14">
        <f t="shared" si="13"/>
        <v>12</v>
      </c>
    </row>
    <row r="78">
      <c r="A78" s="19" t="s">
        <v>33</v>
      </c>
      <c r="B78" s="20">
        <f>SUM(B57:B77)</f>
        <v>441</v>
      </c>
      <c r="C78" s="19"/>
      <c r="D78" s="19"/>
      <c r="E78" s="20">
        <f t="shared" ref="E78:G78" si="14">SUM(E56:E77)</f>
        <v>113</v>
      </c>
      <c r="F78" s="20">
        <f t="shared" si="14"/>
        <v>56</v>
      </c>
      <c r="G78" s="20">
        <f t="shared" si="14"/>
        <v>57</v>
      </c>
      <c r="H78" s="20">
        <f>SUM(H57:H77)</f>
        <v>415</v>
      </c>
      <c r="I78" s="21">
        <f>SUM(I56:I77)</f>
        <v>342</v>
      </c>
    </row>
    <row r="79">
      <c r="A79" s="22"/>
      <c r="B79" s="22"/>
      <c r="C79" s="22"/>
      <c r="D79" s="22"/>
      <c r="E79" s="22"/>
      <c r="F79" s="23" t="s">
        <v>34</v>
      </c>
      <c r="G79" s="4"/>
      <c r="H79" s="24"/>
      <c r="I79" s="25"/>
    </row>
    <row r="80">
      <c r="A80" s="22"/>
      <c r="B80" s="32"/>
      <c r="C80" s="32"/>
      <c r="D80" s="32"/>
      <c r="E80" s="33" t="s">
        <v>87</v>
      </c>
      <c r="F80" s="3"/>
      <c r="G80" s="4"/>
      <c r="H80" s="34"/>
      <c r="I80" s="35">
        <f>SUM(I57:I77)</f>
        <v>342</v>
      </c>
    </row>
    <row r="82">
      <c r="A82" s="1"/>
      <c r="B82" s="2" t="s">
        <v>90</v>
      </c>
      <c r="C82" s="3"/>
      <c r="D82" s="3"/>
      <c r="E82" s="3"/>
      <c r="F82" s="3"/>
      <c r="G82" s="3"/>
      <c r="H82" s="3"/>
      <c r="I82" s="4"/>
    </row>
    <row r="83">
      <c r="A83" s="5" t="s">
        <v>1</v>
      </c>
      <c r="B83" s="6" t="s">
        <v>2</v>
      </c>
      <c r="C83" s="7" t="s">
        <v>3</v>
      </c>
      <c r="D83" s="8" t="s">
        <v>4</v>
      </c>
      <c r="E83" s="5" t="s">
        <v>5</v>
      </c>
      <c r="F83" s="5" t="s">
        <v>6</v>
      </c>
      <c r="G83" s="5" t="s">
        <v>7</v>
      </c>
      <c r="H83" s="9" t="s">
        <v>8</v>
      </c>
      <c r="I83" s="10" t="s">
        <v>9</v>
      </c>
    </row>
    <row r="84">
      <c r="A84" s="11" t="s">
        <v>10</v>
      </c>
      <c r="B84" s="12">
        <f t="shared" ref="B84:B103" si="15">H57</f>
        <v>23</v>
      </c>
      <c r="C84" s="11"/>
      <c r="D84" s="11"/>
      <c r="E84" s="13">
        <v>6.0</v>
      </c>
      <c r="F84" s="13">
        <v>5.0</v>
      </c>
      <c r="G84" s="12">
        <f t="shared" ref="G84:G105" si="16">E84-F84</f>
        <v>1</v>
      </c>
      <c r="H84" s="12">
        <f t="shared" ref="H84:H105" si="17">B84-C84+D84-G84</f>
        <v>22</v>
      </c>
      <c r="I84" s="14">
        <f t="shared" ref="I84:I105" si="18">G84*6</f>
        <v>6</v>
      </c>
    </row>
    <row r="85">
      <c r="A85" s="11" t="s">
        <v>11</v>
      </c>
      <c r="B85" s="12">
        <f t="shared" si="15"/>
        <v>37</v>
      </c>
      <c r="C85" s="11"/>
      <c r="D85" s="11"/>
      <c r="E85" s="13">
        <v>6.0</v>
      </c>
      <c r="F85" s="13">
        <v>2.0</v>
      </c>
      <c r="G85" s="12">
        <f t="shared" si="16"/>
        <v>4</v>
      </c>
      <c r="H85" s="12">
        <f t="shared" si="17"/>
        <v>33</v>
      </c>
      <c r="I85" s="14">
        <f t="shared" si="18"/>
        <v>24</v>
      </c>
    </row>
    <row r="86">
      <c r="A86" s="11" t="s">
        <v>12</v>
      </c>
      <c r="B86" s="12">
        <f t="shared" si="15"/>
        <v>35</v>
      </c>
      <c r="C86" s="11"/>
      <c r="D86" s="11"/>
      <c r="E86" s="13">
        <v>6.0</v>
      </c>
      <c r="F86" s="13">
        <v>5.0</v>
      </c>
      <c r="G86" s="12">
        <f t="shared" si="16"/>
        <v>1</v>
      </c>
      <c r="H86" s="12">
        <f t="shared" si="17"/>
        <v>34</v>
      </c>
      <c r="I86" s="14">
        <f t="shared" si="18"/>
        <v>6</v>
      </c>
    </row>
    <row r="87">
      <c r="A87" s="11" t="s">
        <v>13</v>
      </c>
      <c r="B87" s="12">
        <f t="shared" si="15"/>
        <v>9</v>
      </c>
      <c r="C87" s="11"/>
      <c r="D87" s="13">
        <v>29.0</v>
      </c>
      <c r="E87" s="13">
        <v>6.0</v>
      </c>
      <c r="F87" s="13">
        <v>0.0</v>
      </c>
      <c r="G87" s="12">
        <f t="shared" si="16"/>
        <v>6</v>
      </c>
      <c r="H87" s="12">
        <f t="shared" si="17"/>
        <v>32</v>
      </c>
      <c r="I87" s="14">
        <f t="shared" si="18"/>
        <v>36</v>
      </c>
    </row>
    <row r="88">
      <c r="A88" s="11" t="s">
        <v>14</v>
      </c>
      <c r="B88" s="12">
        <f t="shared" si="15"/>
        <v>19</v>
      </c>
      <c r="C88" s="11"/>
      <c r="D88" s="11"/>
      <c r="E88" s="13">
        <v>4.0</v>
      </c>
      <c r="F88" s="13">
        <v>2.0</v>
      </c>
      <c r="G88" s="12">
        <f t="shared" si="16"/>
        <v>2</v>
      </c>
      <c r="H88" s="12">
        <f t="shared" si="17"/>
        <v>17</v>
      </c>
      <c r="I88" s="14">
        <f t="shared" si="18"/>
        <v>12</v>
      </c>
    </row>
    <row r="89">
      <c r="A89" s="11" t="s">
        <v>15</v>
      </c>
      <c r="B89" s="12">
        <f t="shared" si="15"/>
        <v>33</v>
      </c>
      <c r="C89" s="11"/>
      <c r="D89" s="11"/>
      <c r="E89" s="13">
        <v>6.0</v>
      </c>
      <c r="F89" s="13">
        <v>5.0</v>
      </c>
      <c r="G89" s="12">
        <f t="shared" si="16"/>
        <v>1</v>
      </c>
      <c r="H89" s="12">
        <f t="shared" si="17"/>
        <v>32</v>
      </c>
      <c r="I89" s="14">
        <f t="shared" si="18"/>
        <v>6</v>
      </c>
    </row>
    <row r="90">
      <c r="A90" s="11" t="s">
        <v>16</v>
      </c>
      <c r="B90" s="12">
        <f t="shared" si="15"/>
        <v>30</v>
      </c>
      <c r="C90" s="11"/>
      <c r="D90" s="11"/>
      <c r="E90" s="13">
        <v>5.0</v>
      </c>
      <c r="F90" s="13">
        <v>5.0</v>
      </c>
      <c r="G90" s="12">
        <f t="shared" si="16"/>
        <v>0</v>
      </c>
      <c r="H90" s="12">
        <f t="shared" si="17"/>
        <v>30</v>
      </c>
      <c r="I90" s="14">
        <f t="shared" si="18"/>
        <v>0</v>
      </c>
    </row>
    <row r="91">
      <c r="A91" s="11" t="s">
        <v>17</v>
      </c>
      <c r="B91" s="12">
        <f t="shared" si="15"/>
        <v>14</v>
      </c>
      <c r="C91" s="11"/>
      <c r="D91" s="11"/>
      <c r="E91" s="13">
        <v>4.0</v>
      </c>
      <c r="F91" s="13">
        <v>2.0</v>
      </c>
      <c r="G91" s="12">
        <f t="shared" si="16"/>
        <v>2</v>
      </c>
      <c r="H91" s="12">
        <f t="shared" si="17"/>
        <v>12</v>
      </c>
      <c r="I91" s="14">
        <f t="shared" si="18"/>
        <v>12</v>
      </c>
    </row>
    <row r="92">
      <c r="A92" s="11" t="s">
        <v>18</v>
      </c>
      <c r="B92" s="12">
        <f t="shared" si="15"/>
        <v>8</v>
      </c>
      <c r="C92" s="11"/>
      <c r="D92" s="11"/>
      <c r="E92" s="13">
        <v>6.0</v>
      </c>
      <c r="F92" s="13">
        <v>6.0</v>
      </c>
      <c r="G92" s="12">
        <f t="shared" si="16"/>
        <v>0</v>
      </c>
      <c r="H92" s="12">
        <f t="shared" si="17"/>
        <v>8</v>
      </c>
      <c r="I92" s="14">
        <f t="shared" si="18"/>
        <v>0</v>
      </c>
    </row>
    <row r="93">
      <c r="A93" s="11" t="s">
        <v>19</v>
      </c>
      <c r="B93" s="12">
        <f t="shared" si="15"/>
        <v>28</v>
      </c>
      <c r="C93" s="11"/>
      <c r="D93" s="11"/>
      <c r="E93" s="13">
        <v>6.0</v>
      </c>
      <c r="F93" s="13">
        <v>5.0</v>
      </c>
      <c r="G93" s="12">
        <f t="shared" si="16"/>
        <v>1</v>
      </c>
      <c r="H93" s="12">
        <f t="shared" si="17"/>
        <v>27</v>
      </c>
      <c r="I93" s="14">
        <f t="shared" si="18"/>
        <v>6</v>
      </c>
    </row>
    <row r="94">
      <c r="A94" s="11" t="s">
        <v>20</v>
      </c>
      <c r="B94" s="12">
        <f t="shared" si="15"/>
        <v>16</v>
      </c>
      <c r="C94" s="11"/>
      <c r="D94" s="11"/>
      <c r="E94" s="13">
        <v>6.0</v>
      </c>
      <c r="F94" s="13">
        <v>3.0</v>
      </c>
      <c r="G94" s="12">
        <f t="shared" si="16"/>
        <v>3</v>
      </c>
      <c r="H94" s="12">
        <f t="shared" si="17"/>
        <v>13</v>
      </c>
      <c r="I94" s="14">
        <f t="shared" si="18"/>
        <v>18</v>
      </c>
    </row>
    <row r="95">
      <c r="A95" s="11" t="s">
        <v>21</v>
      </c>
      <c r="B95" s="12">
        <f t="shared" si="15"/>
        <v>13</v>
      </c>
      <c r="C95" s="11"/>
      <c r="D95" s="11"/>
      <c r="E95" s="13">
        <v>2.0</v>
      </c>
      <c r="F95" s="13">
        <v>2.0</v>
      </c>
      <c r="G95" s="12">
        <f t="shared" si="16"/>
        <v>0</v>
      </c>
      <c r="H95" s="12">
        <f t="shared" si="17"/>
        <v>13</v>
      </c>
      <c r="I95" s="14">
        <f t="shared" si="18"/>
        <v>0</v>
      </c>
    </row>
    <row r="96">
      <c r="A96" s="11" t="s">
        <v>22</v>
      </c>
      <c r="B96" s="12">
        <f t="shared" si="15"/>
        <v>27</v>
      </c>
      <c r="C96" s="11"/>
      <c r="D96" s="11"/>
      <c r="E96" s="13">
        <v>5.0</v>
      </c>
      <c r="F96" s="13">
        <v>5.0</v>
      </c>
      <c r="G96" s="12">
        <f t="shared" si="16"/>
        <v>0</v>
      </c>
      <c r="H96" s="12">
        <f t="shared" si="17"/>
        <v>27</v>
      </c>
      <c r="I96" s="14">
        <f t="shared" si="18"/>
        <v>0</v>
      </c>
    </row>
    <row r="97">
      <c r="A97" s="11" t="s">
        <v>23</v>
      </c>
      <c r="B97" s="12">
        <f t="shared" si="15"/>
        <v>7</v>
      </c>
      <c r="C97" s="11"/>
      <c r="D97" s="13">
        <v>30.0</v>
      </c>
      <c r="E97" s="13">
        <v>6.0</v>
      </c>
      <c r="F97" s="13">
        <v>3.0</v>
      </c>
      <c r="G97" s="12">
        <f t="shared" si="16"/>
        <v>3</v>
      </c>
      <c r="H97" s="12">
        <f t="shared" si="17"/>
        <v>34</v>
      </c>
      <c r="I97" s="14">
        <f t="shared" si="18"/>
        <v>18</v>
      </c>
    </row>
    <row r="98">
      <c r="A98" s="11" t="s">
        <v>24</v>
      </c>
      <c r="B98" s="12">
        <f t="shared" si="15"/>
        <v>5</v>
      </c>
      <c r="C98" s="11"/>
      <c r="D98" s="11"/>
      <c r="E98" s="13">
        <v>4.0</v>
      </c>
      <c r="F98" s="13">
        <v>3.0</v>
      </c>
      <c r="G98" s="12">
        <f t="shared" si="16"/>
        <v>1</v>
      </c>
      <c r="H98" s="12">
        <f t="shared" si="17"/>
        <v>4</v>
      </c>
      <c r="I98" s="14">
        <f t="shared" si="18"/>
        <v>6</v>
      </c>
    </row>
    <row r="99">
      <c r="A99" s="11" t="s">
        <v>25</v>
      </c>
      <c r="B99" s="12">
        <f t="shared" si="15"/>
        <v>13</v>
      </c>
      <c r="C99" s="11"/>
      <c r="D99" s="13">
        <v>28.0</v>
      </c>
      <c r="E99" s="13">
        <v>10.0</v>
      </c>
      <c r="F99" s="13">
        <v>6.0</v>
      </c>
      <c r="G99" s="12">
        <f t="shared" si="16"/>
        <v>4</v>
      </c>
      <c r="H99" s="12">
        <f t="shared" si="17"/>
        <v>37</v>
      </c>
      <c r="I99" s="14">
        <f t="shared" si="18"/>
        <v>24</v>
      </c>
    </row>
    <row r="100">
      <c r="A100" s="11" t="s">
        <v>26</v>
      </c>
      <c r="B100" s="12">
        <f t="shared" si="15"/>
        <v>14</v>
      </c>
      <c r="C100" s="11"/>
      <c r="D100" s="11"/>
      <c r="E100" s="13">
        <v>6.0</v>
      </c>
      <c r="F100" s="13">
        <v>5.0</v>
      </c>
      <c r="G100" s="12">
        <f t="shared" si="16"/>
        <v>1</v>
      </c>
      <c r="H100" s="12">
        <f t="shared" si="17"/>
        <v>13</v>
      </c>
      <c r="I100" s="14">
        <f t="shared" si="18"/>
        <v>6</v>
      </c>
    </row>
    <row r="101">
      <c r="A101" s="11" t="s">
        <v>27</v>
      </c>
      <c r="B101" s="12">
        <f t="shared" si="15"/>
        <v>14</v>
      </c>
      <c r="C101" s="11"/>
      <c r="D101" s="11"/>
      <c r="E101" s="13">
        <v>4.0</v>
      </c>
      <c r="F101" s="13">
        <v>2.0</v>
      </c>
      <c r="G101" s="12">
        <f t="shared" si="16"/>
        <v>2</v>
      </c>
      <c r="H101" s="12">
        <f t="shared" si="17"/>
        <v>12</v>
      </c>
      <c r="I101" s="14">
        <f t="shared" si="18"/>
        <v>12</v>
      </c>
    </row>
    <row r="102">
      <c r="A102" s="11" t="s">
        <v>28</v>
      </c>
      <c r="B102" s="12">
        <f t="shared" si="15"/>
        <v>36</v>
      </c>
      <c r="C102" s="11"/>
      <c r="D102" s="13"/>
      <c r="E102" s="13">
        <v>8.0</v>
      </c>
      <c r="F102" s="13">
        <v>6.0</v>
      </c>
      <c r="G102" s="12">
        <f t="shared" si="16"/>
        <v>2</v>
      </c>
      <c r="H102" s="12">
        <f t="shared" si="17"/>
        <v>34</v>
      </c>
      <c r="I102" s="14">
        <f t="shared" si="18"/>
        <v>12</v>
      </c>
    </row>
    <row r="103">
      <c r="A103" s="11" t="s">
        <v>30</v>
      </c>
      <c r="B103" s="12">
        <f t="shared" si="15"/>
        <v>15</v>
      </c>
      <c r="C103" s="11"/>
      <c r="D103" s="11"/>
      <c r="E103" s="13">
        <v>2.0</v>
      </c>
      <c r="F103" s="13">
        <v>0.0</v>
      </c>
      <c r="G103" s="12">
        <f t="shared" si="16"/>
        <v>2</v>
      </c>
      <c r="H103" s="12">
        <f t="shared" si="17"/>
        <v>13</v>
      </c>
      <c r="I103" s="14">
        <f t="shared" si="18"/>
        <v>12</v>
      </c>
    </row>
    <row r="104">
      <c r="A104" s="37" t="s">
        <v>31</v>
      </c>
      <c r="B104" s="29">
        <v>23.0</v>
      </c>
      <c r="C104" s="11"/>
      <c r="D104" s="11"/>
      <c r="E104" s="13">
        <v>3.0</v>
      </c>
      <c r="F104" s="13">
        <v>1.0</v>
      </c>
      <c r="G104" s="12">
        <f t="shared" si="16"/>
        <v>2</v>
      </c>
      <c r="H104" s="12">
        <f t="shared" si="17"/>
        <v>21</v>
      </c>
      <c r="I104" s="14">
        <f t="shared" si="18"/>
        <v>12</v>
      </c>
    </row>
    <row r="105">
      <c r="A105" s="37" t="s">
        <v>32</v>
      </c>
      <c r="B105" s="12">
        <f>H77</f>
        <v>19</v>
      </c>
      <c r="C105" s="11"/>
      <c r="D105" s="11"/>
      <c r="E105" s="13">
        <v>2.0</v>
      </c>
      <c r="F105" s="13">
        <v>2.0</v>
      </c>
      <c r="G105" s="12">
        <f t="shared" si="16"/>
        <v>0</v>
      </c>
      <c r="H105" s="12">
        <f t="shared" si="17"/>
        <v>19</v>
      </c>
      <c r="I105" s="14">
        <f t="shared" si="18"/>
        <v>0</v>
      </c>
    </row>
    <row r="106">
      <c r="A106" s="19" t="s">
        <v>33</v>
      </c>
      <c r="B106" s="20">
        <f>SUM(B84:B105)</f>
        <v>438</v>
      </c>
      <c r="C106" s="19"/>
      <c r="D106" s="19"/>
      <c r="E106" s="20">
        <f t="shared" ref="E106:G106" si="19">SUM(E83:E105)</f>
        <v>113</v>
      </c>
      <c r="F106" s="20">
        <f t="shared" si="19"/>
        <v>75</v>
      </c>
      <c r="G106" s="20">
        <f t="shared" si="19"/>
        <v>38</v>
      </c>
      <c r="H106" s="20">
        <f t="shared" ref="H106:I106" si="20">SUM(H84:H105)</f>
        <v>487</v>
      </c>
      <c r="I106" s="21">
        <f t="shared" si="20"/>
        <v>228</v>
      </c>
    </row>
    <row r="107">
      <c r="A107" s="22"/>
      <c r="B107" s="22"/>
      <c r="C107" s="22"/>
      <c r="D107" s="22"/>
      <c r="E107" s="22"/>
      <c r="F107" s="23" t="s">
        <v>34</v>
      </c>
      <c r="G107" s="4"/>
      <c r="H107" s="24"/>
      <c r="I107" s="25"/>
    </row>
    <row r="108">
      <c r="A108" s="22"/>
      <c r="B108" s="32"/>
      <c r="C108" s="32"/>
      <c r="D108" s="32"/>
      <c r="E108" s="33" t="s">
        <v>87</v>
      </c>
      <c r="F108" s="3"/>
      <c r="G108" s="4"/>
      <c r="H108" s="34"/>
      <c r="I108" s="35">
        <f>SUM(I84:I105)</f>
        <v>228</v>
      </c>
    </row>
    <row r="110">
      <c r="A110" s="1"/>
      <c r="B110" s="2" t="s">
        <v>91</v>
      </c>
      <c r="C110" s="3"/>
      <c r="D110" s="3"/>
      <c r="E110" s="3"/>
      <c r="F110" s="3"/>
      <c r="G110" s="3"/>
      <c r="H110" s="3"/>
      <c r="I110" s="4"/>
    </row>
    <row r="111">
      <c r="A111" s="5" t="s">
        <v>1</v>
      </c>
      <c r="B111" s="6" t="s">
        <v>2</v>
      </c>
      <c r="C111" s="7" t="s">
        <v>3</v>
      </c>
      <c r="D111" s="8" t="s">
        <v>4</v>
      </c>
      <c r="E111" s="5" t="s">
        <v>5</v>
      </c>
      <c r="F111" s="5" t="s">
        <v>6</v>
      </c>
      <c r="G111" s="5" t="s">
        <v>7</v>
      </c>
      <c r="H111" s="9" t="s">
        <v>8</v>
      </c>
      <c r="I111" s="10" t="s">
        <v>9</v>
      </c>
    </row>
    <row r="112">
      <c r="A112" s="11" t="s">
        <v>10</v>
      </c>
      <c r="B112" s="12">
        <f t="shared" ref="B112:B131" si="21">H84</f>
        <v>22</v>
      </c>
      <c r="C112" s="11"/>
      <c r="D112" s="11"/>
      <c r="E112" s="13">
        <v>7.0</v>
      </c>
      <c r="F112" s="13">
        <v>0.0</v>
      </c>
      <c r="G112" s="12">
        <f t="shared" ref="G112:G133" si="22">E112-F112</f>
        <v>7</v>
      </c>
      <c r="H112" s="12">
        <f t="shared" ref="H112:H133" si="23">B112-C112+D112-G112</f>
        <v>15</v>
      </c>
      <c r="I112" s="14">
        <f t="shared" ref="I112:I133" si="24">G112*6</f>
        <v>42</v>
      </c>
    </row>
    <row r="113">
      <c r="A113" s="11" t="s">
        <v>11</v>
      </c>
      <c r="B113" s="12">
        <f t="shared" si="21"/>
        <v>33</v>
      </c>
      <c r="C113" s="13">
        <v>1.0</v>
      </c>
      <c r="D113" s="11"/>
      <c r="E113" s="13">
        <v>6.0</v>
      </c>
      <c r="F113" s="13">
        <v>5.0</v>
      </c>
      <c r="G113" s="12">
        <f t="shared" si="22"/>
        <v>1</v>
      </c>
      <c r="H113" s="12">
        <f t="shared" si="23"/>
        <v>31</v>
      </c>
      <c r="I113" s="14">
        <f t="shared" si="24"/>
        <v>6</v>
      </c>
    </row>
    <row r="114">
      <c r="A114" s="11" t="s">
        <v>12</v>
      </c>
      <c r="B114" s="12">
        <f t="shared" si="21"/>
        <v>34</v>
      </c>
      <c r="C114" s="11"/>
      <c r="D114" s="11"/>
      <c r="E114" s="13">
        <v>6.0</v>
      </c>
      <c r="F114" s="13">
        <v>0.0</v>
      </c>
      <c r="G114" s="12">
        <f t="shared" si="22"/>
        <v>6</v>
      </c>
      <c r="H114" s="12">
        <f t="shared" si="23"/>
        <v>28</v>
      </c>
      <c r="I114" s="14">
        <f t="shared" si="24"/>
        <v>36</v>
      </c>
    </row>
    <row r="115">
      <c r="A115" s="11" t="s">
        <v>13</v>
      </c>
      <c r="B115" s="12">
        <f t="shared" si="21"/>
        <v>32</v>
      </c>
      <c r="C115" s="11"/>
      <c r="D115" s="11"/>
      <c r="E115" s="13">
        <v>8.0</v>
      </c>
      <c r="F115" s="13">
        <v>6.0</v>
      </c>
      <c r="G115" s="12">
        <f t="shared" si="22"/>
        <v>2</v>
      </c>
      <c r="H115" s="12">
        <f t="shared" si="23"/>
        <v>30</v>
      </c>
      <c r="I115" s="14">
        <f t="shared" si="24"/>
        <v>12</v>
      </c>
    </row>
    <row r="116">
      <c r="A116" s="11" t="s">
        <v>14</v>
      </c>
      <c r="B116" s="12">
        <f t="shared" si="21"/>
        <v>17</v>
      </c>
      <c r="C116" s="11"/>
      <c r="D116" s="11"/>
      <c r="E116" s="26">
        <v>5.0</v>
      </c>
      <c r="F116" s="13">
        <v>0.0</v>
      </c>
      <c r="G116" s="12">
        <f t="shared" si="22"/>
        <v>5</v>
      </c>
      <c r="H116" s="12">
        <f t="shared" si="23"/>
        <v>12</v>
      </c>
      <c r="I116" s="14">
        <f t="shared" si="24"/>
        <v>30</v>
      </c>
    </row>
    <row r="117">
      <c r="A117" s="11" t="s">
        <v>15</v>
      </c>
      <c r="B117" s="12">
        <f t="shared" si="21"/>
        <v>32</v>
      </c>
      <c r="C117" s="11"/>
      <c r="D117" s="11"/>
      <c r="E117" s="13">
        <v>11.0</v>
      </c>
      <c r="F117" s="13">
        <v>5.0</v>
      </c>
      <c r="G117" s="12">
        <f t="shared" si="22"/>
        <v>6</v>
      </c>
      <c r="H117" s="12">
        <f t="shared" si="23"/>
        <v>26</v>
      </c>
      <c r="I117" s="14">
        <f t="shared" si="24"/>
        <v>36</v>
      </c>
    </row>
    <row r="118">
      <c r="A118" s="11" t="s">
        <v>16</v>
      </c>
      <c r="B118" s="12">
        <f t="shared" si="21"/>
        <v>30</v>
      </c>
      <c r="C118" s="11"/>
      <c r="D118" s="11"/>
      <c r="E118" s="13">
        <v>8.0</v>
      </c>
      <c r="F118" s="13">
        <v>5.0</v>
      </c>
      <c r="G118" s="12">
        <f t="shared" si="22"/>
        <v>3</v>
      </c>
      <c r="H118" s="12">
        <f t="shared" si="23"/>
        <v>27</v>
      </c>
      <c r="I118" s="14">
        <f t="shared" si="24"/>
        <v>18</v>
      </c>
    </row>
    <row r="119">
      <c r="A119" s="11" t="s">
        <v>17</v>
      </c>
      <c r="B119" s="12">
        <f t="shared" si="21"/>
        <v>12</v>
      </c>
      <c r="C119" s="11"/>
      <c r="D119" s="13">
        <v>29.0</v>
      </c>
      <c r="E119" s="13">
        <v>6.0</v>
      </c>
      <c r="F119" s="13">
        <v>3.0</v>
      </c>
      <c r="G119" s="12">
        <f t="shared" si="22"/>
        <v>3</v>
      </c>
      <c r="H119" s="12">
        <f t="shared" si="23"/>
        <v>38</v>
      </c>
      <c r="I119" s="14">
        <f t="shared" si="24"/>
        <v>18</v>
      </c>
    </row>
    <row r="120">
      <c r="A120" s="11" t="s">
        <v>18</v>
      </c>
      <c r="B120" s="12">
        <f t="shared" si="21"/>
        <v>8</v>
      </c>
      <c r="C120" s="11"/>
      <c r="D120" s="13">
        <v>35.0</v>
      </c>
      <c r="E120" s="13">
        <v>7.0</v>
      </c>
      <c r="F120" s="13">
        <v>6.0</v>
      </c>
      <c r="G120" s="12">
        <f t="shared" si="22"/>
        <v>1</v>
      </c>
      <c r="H120" s="12">
        <f t="shared" si="23"/>
        <v>42</v>
      </c>
      <c r="I120" s="14">
        <f t="shared" si="24"/>
        <v>6</v>
      </c>
    </row>
    <row r="121">
      <c r="A121" s="11" t="s">
        <v>19</v>
      </c>
      <c r="B121" s="12">
        <f t="shared" si="21"/>
        <v>27</v>
      </c>
      <c r="C121" s="11"/>
      <c r="D121" s="11"/>
      <c r="E121" s="13">
        <v>6.0</v>
      </c>
      <c r="F121" s="13">
        <v>5.0</v>
      </c>
      <c r="G121" s="12">
        <f t="shared" si="22"/>
        <v>1</v>
      </c>
      <c r="H121" s="12">
        <f t="shared" si="23"/>
        <v>26</v>
      </c>
      <c r="I121" s="14">
        <f t="shared" si="24"/>
        <v>6</v>
      </c>
    </row>
    <row r="122">
      <c r="A122" s="11" t="s">
        <v>20</v>
      </c>
      <c r="B122" s="12">
        <f t="shared" si="21"/>
        <v>13</v>
      </c>
      <c r="C122" s="11"/>
      <c r="D122" s="11"/>
      <c r="E122" s="13">
        <v>6.0</v>
      </c>
      <c r="F122" s="13">
        <v>5.0</v>
      </c>
      <c r="G122" s="12">
        <f t="shared" si="22"/>
        <v>1</v>
      </c>
      <c r="H122" s="12">
        <f t="shared" si="23"/>
        <v>12</v>
      </c>
      <c r="I122" s="14">
        <f t="shared" si="24"/>
        <v>6</v>
      </c>
    </row>
    <row r="123">
      <c r="A123" s="11" t="s">
        <v>21</v>
      </c>
      <c r="B123" s="12">
        <f t="shared" si="21"/>
        <v>13</v>
      </c>
      <c r="C123" s="11"/>
      <c r="D123" s="11"/>
      <c r="E123" s="13">
        <v>2.0</v>
      </c>
      <c r="F123" s="13">
        <v>2.0</v>
      </c>
      <c r="G123" s="12">
        <f t="shared" si="22"/>
        <v>0</v>
      </c>
      <c r="H123" s="12">
        <f t="shared" si="23"/>
        <v>13</v>
      </c>
      <c r="I123" s="14">
        <f t="shared" si="24"/>
        <v>0</v>
      </c>
    </row>
    <row r="124">
      <c r="A124" s="11" t="s">
        <v>22</v>
      </c>
      <c r="B124" s="12">
        <f t="shared" si="21"/>
        <v>27</v>
      </c>
      <c r="C124" s="11"/>
      <c r="D124" s="11"/>
      <c r="E124" s="13">
        <v>6.0</v>
      </c>
      <c r="F124" s="13">
        <v>5.0</v>
      </c>
      <c r="G124" s="12">
        <f t="shared" si="22"/>
        <v>1</v>
      </c>
      <c r="H124" s="12">
        <f t="shared" si="23"/>
        <v>26</v>
      </c>
      <c r="I124" s="14">
        <f t="shared" si="24"/>
        <v>6</v>
      </c>
    </row>
    <row r="125">
      <c r="A125" s="11" t="s">
        <v>23</v>
      </c>
      <c r="B125" s="12">
        <f t="shared" si="21"/>
        <v>34</v>
      </c>
      <c r="C125" s="13">
        <v>1.0</v>
      </c>
      <c r="D125" s="11"/>
      <c r="E125" s="13">
        <v>6.0</v>
      </c>
      <c r="F125" s="13">
        <v>3.0</v>
      </c>
      <c r="G125" s="12">
        <f t="shared" si="22"/>
        <v>3</v>
      </c>
      <c r="H125" s="12">
        <f t="shared" si="23"/>
        <v>30</v>
      </c>
      <c r="I125" s="14">
        <f t="shared" si="24"/>
        <v>18</v>
      </c>
    </row>
    <row r="126">
      <c r="A126" s="11" t="s">
        <v>24</v>
      </c>
      <c r="B126" s="12">
        <f t="shared" si="21"/>
        <v>4</v>
      </c>
      <c r="C126" s="11"/>
      <c r="D126" s="13">
        <v>29.0</v>
      </c>
      <c r="E126" s="13">
        <v>5.0</v>
      </c>
      <c r="F126" s="13">
        <v>3.0</v>
      </c>
      <c r="G126" s="12">
        <f t="shared" si="22"/>
        <v>2</v>
      </c>
      <c r="H126" s="12">
        <f t="shared" si="23"/>
        <v>31</v>
      </c>
      <c r="I126" s="14">
        <f t="shared" si="24"/>
        <v>12</v>
      </c>
    </row>
    <row r="127">
      <c r="A127" s="11" t="s">
        <v>25</v>
      </c>
      <c r="B127" s="12">
        <f t="shared" si="21"/>
        <v>37</v>
      </c>
      <c r="C127" s="11"/>
      <c r="D127" s="11"/>
      <c r="E127" s="13">
        <v>14.0</v>
      </c>
      <c r="F127" s="13">
        <v>4.0</v>
      </c>
      <c r="G127" s="12">
        <f t="shared" si="22"/>
        <v>10</v>
      </c>
      <c r="H127" s="12">
        <f t="shared" si="23"/>
        <v>27</v>
      </c>
      <c r="I127" s="14">
        <f t="shared" si="24"/>
        <v>60</v>
      </c>
    </row>
    <row r="128">
      <c r="A128" s="11" t="s">
        <v>26</v>
      </c>
      <c r="B128" s="12">
        <f t="shared" si="21"/>
        <v>13</v>
      </c>
      <c r="C128" s="11"/>
      <c r="D128" s="11"/>
      <c r="E128" s="26">
        <v>6.0</v>
      </c>
      <c r="F128" s="13">
        <v>6.0</v>
      </c>
      <c r="G128" s="12">
        <f t="shared" si="22"/>
        <v>0</v>
      </c>
      <c r="H128" s="12">
        <f t="shared" si="23"/>
        <v>13</v>
      </c>
      <c r="I128" s="14">
        <f t="shared" si="24"/>
        <v>0</v>
      </c>
    </row>
    <row r="129">
      <c r="A129" s="11" t="s">
        <v>27</v>
      </c>
      <c r="B129" s="12">
        <f t="shared" si="21"/>
        <v>12</v>
      </c>
      <c r="C129" s="11"/>
      <c r="D129" s="11"/>
      <c r="E129" s="13">
        <v>4.0</v>
      </c>
      <c r="F129" s="13">
        <v>2.0</v>
      </c>
      <c r="G129" s="12">
        <f t="shared" si="22"/>
        <v>2</v>
      </c>
      <c r="H129" s="12">
        <f t="shared" si="23"/>
        <v>10</v>
      </c>
      <c r="I129" s="14">
        <f t="shared" si="24"/>
        <v>12</v>
      </c>
    </row>
    <row r="130">
      <c r="A130" s="11" t="s">
        <v>28</v>
      </c>
      <c r="B130" s="12">
        <f t="shared" si="21"/>
        <v>34</v>
      </c>
      <c r="C130" s="11"/>
      <c r="D130" s="13"/>
      <c r="E130" s="13">
        <v>9.0</v>
      </c>
      <c r="F130" s="13">
        <v>8.0</v>
      </c>
      <c r="G130" s="12">
        <f t="shared" si="22"/>
        <v>1</v>
      </c>
      <c r="H130" s="12">
        <f t="shared" si="23"/>
        <v>33</v>
      </c>
      <c r="I130" s="14">
        <f t="shared" si="24"/>
        <v>6</v>
      </c>
    </row>
    <row r="131">
      <c r="A131" s="11" t="s">
        <v>30</v>
      </c>
      <c r="B131" s="12">
        <f t="shared" si="21"/>
        <v>13</v>
      </c>
      <c r="C131" s="11"/>
      <c r="D131" s="11"/>
      <c r="E131" s="13">
        <v>3.0</v>
      </c>
      <c r="F131" s="13">
        <v>1.0</v>
      </c>
      <c r="G131" s="12">
        <f t="shared" si="22"/>
        <v>2</v>
      </c>
      <c r="H131" s="12">
        <f t="shared" si="23"/>
        <v>11</v>
      </c>
      <c r="I131" s="14">
        <f t="shared" si="24"/>
        <v>12</v>
      </c>
    </row>
    <row r="132">
      <c r="A132" s="37" t="s">
        <v>31</v>
      </c>
      <c r="B132" s="29">
        <v>21.0</v>
      </c>
      <c r="C132" s="11"/>
      <c r="D132" s="11"/>
      <c r="E132" s="13">
        <v>3.0</v>
      </c>
      <c r="F132" s="13">
        <v>3.0</v>
      </c>
      <c r="G132" s="12">
        <f t="shared" si="22"/>
        <v>0</v>
      </c>
      <c r="H132" s="12">
        <f t="shared" si="23"/>
        <v>21</v>
      </c>
      <c r="I132" s="14">
        <f t="shared" si="24"/>
        <v>0</v>
      </c>
    </row>
    <row r="133">
      <c r="A133" s="37" t="s">
        <v>32</v>
      </c>
      <c r="B133" s="12">
        <f>H105</f>
        <v>19</v>
      </c>
      <c r="C133" s="11"/>
      <c r="D133" s="11"/>
      <c r="E133" s="13">
        <v>2.0</v>
      </c>
      <c r="F133" s="13">
        <v>2.0</v>
      </c>
      <c r="G133" s="12">
        <f t="shared" si="22"/>
        <v>0</v>
      </c>
      <c r="H133" s="12">
        <f t="shared" si="23"/>
        <v>19</v>
      </c>
      <c r="I133" s="14">
        <f t="shared" si="24"/>
        <v>0</v>
      </c>
    </row>
    <row r="134">
      <c r="A134" s="19" t="s">
        <v>33</v>
      </c>
      <c r="B134" s="20">
        <f>SUM(B112:B133)</f>
        <v>487</v>
      </c>
      <c r="C134" s="19"/>
      <c r="D134" s="19"/>
      <c r="E134" s="20">
        <f t="shared" ref="E134:G134" si="25">SUM(E111:E133)</f>
        <v>136</v>
      </c>
      <c r="F134" s="20">
        <f t="shared" si="25"/>
        <v>79</v>
      </c>
      <c r="G134" s="20">
        <f t="shared" si="25"/>
        <v>57</v>
      </c>
      <c r="H134" s="20">
        <f>SUM(H112:H133)</f>
        <v>521</v>
      </c>
      <c r="I134" s="21">
        <f>SUM(I111:I133)</f>
        <v>342</v>
      </c>
    </row>
    <row r="135">
      <c r="A135" s="22"/>
      <c r="B135" s="22"/>
      <c r="C135" s="22"/>
      <c r="D135" s="22"/>
      <c r="E135" s="22"/>
      <c r="F135" s="23" t="s">
        <v>34</v>
      </c>
      <c r="G135" s="4"/>
      <c r="H135" s="24"/>
      <c r="I135" s="25"/>
    </row>
    <row r="136">
      <c r="A136" s="22"/>
      <c r="B136" s="32"/>
      <c r="C136" s="32"/>
      <c r="D136" s="32"/>
      <c r="E136" s="33" t="s">
        <v>87</v>
      </c>
      <c r="F136" s="3"/>
      <c r="G136" s="4"/>
      <c r="H136" s="34"/>
      <c r="I136" s="35">
        <f>SUM(I112:I133)</f>
        <v>342</v>
      </c>
    </row>
    <row r="138">
      <c r="A138" s="1"/>
      <c r="B138" s="2" t="s">
        <v>92</v>
      </c>
      <c r="C138" s="3"/>
      <c r="D138" s="3"/>
      <c r="E138" s="3"/>
      <c r="F138" s="3"/>
      <c r="G138" s="3"/>
      <c r="H138" s="3"/>
      <c r="I138" s="4"/>
    </row>
    <row r="139">
      <c r="A139" s="5" t="s">
        <v>1</v>
      </c>
      <c r="B139" s="6" t="s">
        <v>2</v>
      </c>
      <c r="C139" s="7" t="s">
        <v>3</v>
      </c>
      <c r="D139" s="8" t="s">
        <v>4</v>
      </c>
      <c r="E139" s="5" t="s">
        <v>5</v>
      </c>
      <c r="F139" s="5" t="s">
        <v>6</v>
      </c>
      <c r="G139" s="5" t="s">
        <v>7</v>
      </c>
      <c r="H139" s="9" t="s">
        <v>8</v>
      </c>
      <c r="I139" s="10" t="s">
        <v>9</v>
      </c>
    </row>
    <row r="140">
      <c r="A140" s="11" t="s">
        <v>10</v>
      </c>
      <c r="B140" s="12">
        <f t="shared" ref="B140:B159" si="26">H112</f>
        <v>15</v>
      </c>
      <c r="C140" s="11"/>
      <c r="D140" s="11"/>
      <c r="E140" s="13">
        <v>6.0</v>
      </c>
      <c r="F140" s="13">
        <v>6.0</v>
      </c>
      <c r="G140" s="12">
        <f t="shared" ref="G140:G161" si="27">E140-F140</f>
        <v>0</v>
      </c>
      <c r="H140" s="12">
        <f t="shared" ref="H140:H161" si="28">B140-C140+D140-G140</f>
        <v>15</v>
      </c>
      <c r="I140" s="14">
        <f t="shared" ref="I140:I161" si="29">G140*6</f>
        <v>0</v>
      </c>
    </row>
    <row r="141">
      <c r="A141" s="11" t="s">
        <v>11</v>
      </c>
      <c r="B141" s="12">
        <f t="shared" si="26"/>
        <v>31</v>
      </c>
      <c r="C141" s="13"/>
      <c r="D141" s="11"/>
      <c r="E141" s="13">
        <v>6.0</v>
      </c>
      <c r="F141" s="13">
        <v>3.0</v>
      </c>
      <c r="G141" s="12">
        <f t="shared" si="27"/>
        <v>3</v>
      </c>
      <c r="H141" s="12">
        <f t="shared" si="28"/>
        <v>28</v>
      </c>
      <c r="I141" s="14">
        <f t="shared" si="29"/>
        <v>18</v>
      </c>
    </row>
    <row r="142">
      <c r="A142" s="11" t="s">
        <v>12</v>
      </c>
      <c r="B142" s="12">
        <f t="shared" si="26"/>
        <v>28</v>
      </c>
      <c r="C142" s="11"/>
      <c r="D142" s="11"/>
      <c r="E142" s="13">
        <v>6.0</v>
      </c>
      <c r="F142" s="13">
        <v>6.0</v>
      </c>
      <c r="G142" s="12">
        <f t="shared" si="27"/>
        <v>0</v>
      </c>
      <c r="H142" s="12">
        <f t="shared" si="28"/>
        <v>28</v>
      </c>
      <c r="I142" s="14">
        <f t="shared" si="29"/>
        <v>0</v>
      </c>
    </row>
    <row r="143">
      <c r="A143" s="11" t="s">
        <v>13</v>
      </c>
      <c r="B143" s="12">
        <f t="shared" si="26"/>
        <v>30</v>
      </c>
      <c r="C143" s="11"/>
      <c r="D143" s="11"/>
      <c r="E143" s="13">
        <v>6.0</v>
      </c>
      <c r="F143" s="13">
        <v>5.0</v>
      </c>
      <c r="G143" s="12">
        <f t="shared" si="27"/>
        <v>1</v>
      </c>
      <c r="H143" s="12">
        <f t="shared" si="28"/>
        <v>29</v>
      </c>
      <c r="I143" s="14">
        <f t="shared" si="29"/>
        <v>6</v>
      </c>
    </row>
    <row r="144">
      <c r="A144" s="11" t="s">
        <v>14</v>
      </c>
      <c r="B144" s="12">
        <f t="shared" si="26"/>
        <v>12</v>
      </c>
      <c r="C144" s="11"/>
      <c r="D144" s="11"/>
      <c r="E144" s="26">
        <v>4.0</v>
      </c>
      <c r="F144" s="13">
        <v>1.0</v>
      </c>
      <c r="G144" s="12">
        <f t="shared" si="27"/>
        <v>3</v>
      </c>
      <c r="H144" s="12">
        <f t="shared" si="28"/>
        <v>9</v>
      </c>
      <c r="I144" s="14">
        <f t="shared" si="29"/>
        <v>18</v>
      </c>
    </row>
    <row r="145">
      <c r="A145" s="11" t="s">
        <v>15</v>
      </c>
      <c r="B145" s="12">
        <f t="shared" si="26"/>
        <v>26</v>
      </c>
      <c r="C145" s="11"/>
      <c r="D145" s="11"/>
      <c r="E145" s="13">
        <v>6.0</v>
      </c>
      <c r="F145" s="13">
        <v>4.0</v>
      </c>
      <c r="G145" s="12">
        <f t="shared" si="27"/>
        <v>2</v>
      </c>
      <c r="H145" s="12">
        <f t="shared" si="28"/>
        <v>24</v>
      </c>
      <c r="I145" s="14">
        <f t="shared" si="29"/>
        <v>12</v>
      </c>
    </row>
    <row r="146">
      <c r="A146" s="11" t="s">
        <v>16</v>
      </c>
      <c r="B146" s="12">
        <f t="shared" si="26"/>
        <v>27</v>
      </c>
      <c r="C146" s="11"/>
      <c r="D146" s="11"/>
      <c r="E146" s="13">
        <v>5.0</v>
      </c>
      <c r="F146" s="13">
        <v>4.0</v>
      </c>
      <c r="G146" s="12">
        <f t="shared" si="27"/>
        <v>1</v>
      </c>
      <c r="H146" s="12">
        <f t="shared" si="28"/>
        <v>26</v>
      </c>
      <c r="I146" s="14">
        <f t="shared" si="29"/>
        <v>6</v>
      </c>
    </row>
    <row r="147">
      <c r="A147" s="11" t="s">
        <v>17</v>
      </c>
      <c r="B147" s="12">
        <f t="shared" si="26"/>
        <v>38</v>
      </c>
      <c r="C147" s="11"/>
      <c r="D147" s="11"/>
      <c r="E147" s="13">
        <v>4.0</v>
      </c>
      <c r="F147" s="13">
        <v>2.0</v>
      </c>
      <c r="G147" s="12">
        <f t="shared" si="27"/>
        <v>2</v>
      </c>
      <c r="H147" s="12">
        <f t="shared" si="28"/>
        <v>36</v>
      </c>
      <c r="I147" s="14">
        <f t="shared" si="29"/>
        <v>12</v>
      </c>
    </row>
    <row r="148">
      <c r="A148" s="11" t="s">
        <v>18</v>
      </c>
      <c r="B148" s="12">
        <f t="shared" si="26"/>
        <v>42</v>
      </c>
      <c r="C148" s="11"/>
      <c r="D148" s="13"/>
      <c r="E148" s="13">
        <v>6.0</v>
      </c>
      <c r="F148" s="13">
        <v>5.0</v>
      </c>
      <c r="G148" s="12">
        <f t="shared" si="27"/>
        <v>1</v>
      </c>
      <c r="H148" s="12">
        <f t="shared" si="28"/>
        <v>41</v>
      </c>
      <c r="I148" s="14">
        <f t="shared" si="29"/>
        <v>6</v>
      </c>
    </row>
    <row r="149">
      <c r="A149" s="11" t="s">
        <v>19</v>
      </c>
      <c r="B149" s="12">
        <f t="shared" si="26"/>
        <v>26</v>
      </c>
      <c r="C149" s="11"/>
      <c r="D149" s="11"/>
      <c r="E149" s="13">
        <v>6.0</v>
      </c>
      <c r="F149" s="13">
        <v>5.0</v>
      </c>
      <c r="G149" s="12">
        <f t="shared" si="27"/>
        <v>1</v>
      </c>
      <c r="H149" s="12">
        <f t="shared" si="28"/>
        <v>25</v>
      </c>
      <c r="I149" s="14">
        <f t="shared" si="29"/>
        <v>6</v>
      </c>
    </row>
    <row r="150">
      <c r="A150" s="11" t="s">
        <v>20</v>
      </c>
      <c r="B150" s="12">
        <f t="shared" si="26"/>
        <v>12</v>
      </c>
      <c r="C150" s="11"/>
      <c r="D150" s="11"/>
      <c r="E150" s="13">
        <v>6.0</v>
      </c>
      <c r="F150" s="13">
        <v>3.0</v>
      </c>
      <c r="G150" s="12">
        <f t="shared" si="27"/>
        <v>3</v>
      </c>
      <c r="H150" s="12">
        <f t="shared" si="28"/>
        <v>9</v>
      </c>
      <c r="I150" s="14">
        <f t="shared" si="29"/>
        <v>18</v>
      </c>
    </row>
    <row r="151">
      <c r="A151" s="11" t="s">
        <v>21</v>
      </c>
      <c r="B151" s="12">
        <f t="shared" si="26"/>
        <v>13</v>
      </c>
      <c r="C151" s="11"/>
      <c r="D151" s="11"/>
      <c r="E151" s="13">
        <v>2.0</v>
      </c>
      <c r="F151" s="13">
        <v>2.0</v>
      </c>
      <c r="G151" s="12">
        <f t="shared" si="27"/>
        <v>0</v>
      </c>
      <c r="H151" s="12">
        <f t="shared" si="28"/>
        <v>13</v>
      </c>
      <c r="I151" s="14">
        <f t="shared" si="29"/>
        <v>0</v>
      </c>
    </row>
    <row r="152">
      <c r="A152" s="11" t="s">
        <v>22</v>
      </c>
      <c r="B152" s="12">
        <f t="shared" si="26"/>
        <v>26</v>
      </c>
      <c r="C152" s="11"/>
      <c r="D152" s="11"/>
      <c r="E152" s="13">
        <v>5.0</v>
      </c>
      <c r="F152" s="13">
        <v>5.0</v>
      </c>
      <c r="G152" s="12">
        <f t="shared" si="27"/>
        <v>0</v>
      </c>
      <c r="H152" s="12">
        <f t="shared" si="28"/>
        <v>26</v>
      </c>
      <c r="I152" s="14">
        <f t="shared" si="29"/>
        <v>0</v>
      </c>
    </row>
    <row r="153">
      <c r="A153" s="11" t="s">
        <v>23</v>
      </c>
      <c r="B153" s="12">
        <f t="shared" si="26"/>
        <v>30</v>
      </c>
      <c r="C153" s="13"/>
      <c r="D153" s="11"/>
      <c r="E153" s="13">
        <v>6.0</v>
      </c>
      <c r="F153" s="13">
        <v>4.0</v>
      </c>
      <c r="G153" s="12">
        <f t="shared" si="27"/>
        <v>2</v>
      </c>
      <c r="H153" s="12">
        <f t="shared" si="28"/>
        <v>28</v>
      </c>
      <c r="I153" s="14">
        <f t="shared" si="29"/>
        <v>12</v>
      </c>
    </row>
    <row r="154">
      <c r="A154" s="11" t="s">
        <v>24</v>
      </c>
      <c r="B154" s="12">
        <f t="shared" si="26"/>
        <v>31</v>
      </c>
      <c r="C154" s="11"/>
      <c r="D154" s="13"/>
      <c r="E154" s="13">
        <v>4.0</v>
      </c>
      <c r="F154" s="13">
        <v>4.0</v>
      </c>
      <c r="G154" s="12">
        <f t="shared" si="27"/>
        <v>0</v>
      </c>
      <c r="H154" s="12">
        <f t="shared" si="28"/>
        <v>31</v>
      </c>
      <c r="I154" s="14">
        <f t="shared" si="29"/>
        <v>0</v>
      </c>
    </row>
    <row r="155">
      <c r="A155" s="11" t="s">
        <v>25</v>
      </c>
      <c r="B155" s="12">
        <f t="shared" si="26"/>
        <v>27</v>
      </c>
      <c r="C155" s="11"/>
      <c r="D155" s="11"/>
      <c r="E155" s="13">
        <v>10.0</v>
      </c>
      <c r="F155" s="13">
        <v>5.0</v>
      </c>
      <c r="G155" s="12">
        <f t="shared" si="27"/>
        <v>5</v>
      </c>
      <c r="H155" s="12">
        <f t="shared" si="28"/>
        <v>22</v>
      </c>
      <c r="I155" s="14">
        <f t="shared" si="29"/>
        <v>30</v>
      </c>
    </row>
    <row r="156">
      <c r="A156" s="11" t="s">
        <v>26</v>
      </c>
      <c r="B156" s="12">
        <f t="shared" si="26"/>
        <v>13</v>
      </c>
      <c r="C156" s="11"/>
      <c r="D156" s="11"/>
      <c r="E156" s="13">
        <v>6.0</v>
      </c>
      <c r="F156" s="13">
        <v>4.0</v>
      </c>
      <c r="G156" s="12">
        <f t="shared" si="27"/>
        <v>2</v>
      </c>
      <c r="H156" s="12">
        <f t="shared" si="28"/>
        <v>11</v>
      </c>
      <c r="I156" s="14">
        <f t="shared" si="29"/>
        <v>12</v>
      </c>
    </row>
    <row r="157">
      <c r="A157" s="11" t="s">
        <v>27</v>
      </c>
      <c r="B157" s="12">
        <f t="shared" si="26"/>
        <v>10</v>
      </c>
      <c r="C157" s="11"/>
      <c r="D157" s="11"/>
      <c r="E157" s="13">
        <v>4.0</v>
      </c>
      <c r="F157" s="13">
        <v>2.0</v>
      </c>
      <c r="G157" s="12">
        <f t="shared" si="27"/>
        <v>2</v>
      </c>
      <c r="H157" s="12">
        <f t="shared" si="28"/>
        <v>8</v>
      </c>
      <c r="I157" s="14">
        <f t="shared" si="29"/>
        <v>12</v>
      </c>
    </row>
    <row r="158">
      <c r="A158" s="11" t="s">
        <v>28</v>
      </c>
      <c r="B158" s="12">
        <f t="shared" si="26"/>
        <v>33</v>
      </c>
      <c r="C158" s="11"/>
      <c r="D158" s="13"/>
      <c r="E158" s="13">
        <v>8.0</v>
      </c>
      <c r="F158" s="13">
        <v>6.0</v>
      </c>
      <c r="G158" s="12">
        <f t="shared" si="27"/>
        <v>2</v>
      </c>
      <c r="H158" s="12">
        <f t="shared" si="28"/>
        <v>31</v>
      </c>
      <c r="I158" s="14">
        <f t="shared" si="29"/>
        <v>12</v>
      </c>
    </row>
    <row r="159">
      <c r="A159" s="11" t="s">
        <v>30</v>
      </c>
      <c r="B159" s="12">
        <f t="shared" si="26"/>
        <v>11</v>
      </c>
      <c r="C159" s="11"/>
      <c r="D159" s="11"/>
      <c r="E159" s="13">
        <v>2.0</v>
      </c>
      <c r="F159" s="13">
        <v>1.0</v>
      </c>
      <c r="G159" s="12">
        <f t="shared" si="27"/>
        <v>1</v>
      </c>
      <c r="H159" s="12">
        <f t="shared" si="28"/>
        <v>10</v>
      </c>
      <c r="I159" s="14">
        <f t="shared" si="29"/>
        <v>6</v>
      </c>
    </row>
    <row r="160">
      <c r="A160" s="37" t="s">
        <v>31</v>
      </c>
      <c r="B160" s="29">
        <v>21.0</v>
      </c>
      <c r="C160" s="11"/>
      <c r="D160" s="11"/>
      <c r="E160" s="13">
        <v>3.0</v>
      </c>
      <c r="F160" s="13">
        <v>2.0</v>
      </c>
      <c r="G160" s="12">
        <f t="shared" si="27"/>
        <v>1</v>
      </c>
      <c r="H160" s="12">
        <f t="shared" si="28"/>
        <v>20</v>
      </c>
      <c r="I160" s="14">
        <f t="shared" si="29"/>
        <v>6</v>
      </c>
    </row>
    <row r="161">
      <c r="A161" s="37" t="s">
        <v>32</v>
      </c>
      <c r="B161" s="12">
        <f>H133</f>
        <v>19</v>
      </c>
      <c r="C161" s="11"/>
      <c r="D161" s="11"/>
      <c r="E161" s="13">
        <v>2.0</v>
      </c>
      <c r="F161" s="13">
        <v>2.0</v>
      </c>
      <c r="G161" s="12">
        <f t="shared" si="27"/>
        <v>0</v>
      </c>
      <c r="H161" s="12">
        <f t="shared" si="28"/>
        <v>19</v>
      </c>
      <c r="I161" s="14">
        <f t="shared" si="29"/>
        <v>0</v>
      </c>
    </row>
    <row r="162">
      <c r="A162" s="19" t="s">
        <v>33</v>
      </c>
      <c r="B162" s="20">
        <f>SUM(B140:B161)</f>
        <v>521</v>
      </c>
      <c r="C162" s="19"/>
      <c r="D162" s="19"/>
      <c r="E162" s="20">
        <f t="shared" ref="E162:G162" si="30">SUM(E139:E161)</f>
        <v>113</v>
      </c>
      <c r="F162" s="20">
        <f t="shared" si="30"/>
        <v>81</v>
      </c>
      <c r="G162" s="20">
        <f t="shared" si="30"/>
        <v>32</v>
      </c>
      <c r="H162" s="20">
        <f>SUM(H140:H161)</f>
        <v>489</v>
      </c>
      <c r="I162" s="21">
        <f>SUM(I139:I161)</f>
        <v>192</v>
      </c>
    </row>
    <row r="163">
      <c r="A163" s="22"/>
      <c r="B163" s="22"/>
      <c r="C163" s="22"/>
      <c r="D163" s="22"/>
      <c r="E163" s="22"/>
      <c r="F163" s="23" t="s">
        <v>34</v>
      </c>
      <c r="G163" s="4"/>
      <c r="H163" s="24"/>
      <c r="I163" s="25"/>
    </row>
    <row r="164">
      <c r="A164" s="22"/>
      <c r="B164" s="32"/>
      <c r="C164" s="32"/>
      <c r="D164" s="32"/>
      <c r="E164" s="33" t="s">
        <v>87</v>
      </c>
      <c r="F164" s="3"/>
      <c r="G164" s="4"/>
      <c r="H164" s="34"/>
      <c r="I164" s="35">
        <f>SUM(I140:I161)</f>
        <v>192</v>
      </c>
    </row>
    <row r="166">
      <c r="A166" s="1"/>
      <c r="B166" s="2" t="s">
        <v>93</v>
      </c>
      <c r="C166" s="3"/>
      <c r="D166" s="3"/>
      <c r="E166" s="3"/>
      <c r="F166" s="3"/>
      <c r="G166" s="3"/>
      <c r="H166" s="3"/>
      <c r="I166" s="4"/>
    </row>
    <row r="167">
      <c r="A167" s="5" t="s">
        <v>1</v>
      </c>
      <c r="B167" s="6" t="s">
        <v>2</v>
      </c>
      <c r="C167" s="7" t="s">
        <v>3</v>
      </c>
      <c r="D167" s="8" t="s">
        <v>4</v>
      </c>
      <c r="E167" s="5" t="s">
        <v>5</v>
      </c>
      <c r="F167" s="5" t="s">
        <v>6</v>
      </c>
      <c r="G167" s="5" t="s">
        <v>7</v>
      </c>
      <c r="H167" s="9" t="s">
        <v>8</v>
      </c>
      <c r="I167" s="10" t="s">
        <v>9</v>
      </c>
    </row>
    <row r="168">
      <c r="A168" s="11" t="s">
        <v>10</v>
      </c>
      <c r="B168" s="12">
        <f t="shared" ref="B168:B187" si="31">H140</f>
        <v>15</v>
      </c>
      <c r="C168" s="11"/>
      <c r="D168" s="11"/>
      <c r="E168" s="13">
        <v>6.0</v>
      </c>
      <c r="F168" s="13">
        <v>4.0</v>
      </c>
      <c r="G168" s="12">
        <f t="shared" ref="G168:G189" si="32">E168-F168</f>
        <v>2</v>
      </c>
      <c r="H168" s="12">
        <f t="shared" ref="H168:H189" si="33">B168-C168+D168-G168</f>
        <v>13</v>
      </c>
      <c r="I168" s="14">
        <f t="shared" ref="I168:I189" si="34">G168*6</f>
        <v>12</v>
      </c>
    </row>
    <row r="169">
      <c r="A169" s="11" t="s">
        <v>11</v>
      </c>
      <c r="B169" s="12">
        <f t="shared" si="31"/>
        <v>28</v>
      </c>
      <c r="C169" s="13"/>
      <c r="D169" s="11"/>
      <c r="E169" s="13">
        <v>6.0</v>
      </c>
      <c r="F169" s="13">
        <v>5.0</v>
      </c>
      <c r="G169" s="12">
        <f t="shared" si="32"/>
        <v>1</v>
      </c>
      <c r="H169" s="12">
        <f t="shared" si="33"/>
        <v>27</v>
      </c>
      <c r="I169" s="14">
        <f t="shared" si="34"/>
        <v>6</v>
      </c>
    </row>
    <row r="170">
      <c r="A170" s="11" t="s">
        <v>12</v>
      </c>
      <c r="B170" s="12">
        <f t="shared" si="31"/>
        <v>28</v>
      </c>
      <c r="C170" s="11"/>
      <c r="D170" s="11"/>
      <c r="E170" s="13">
        <v>6.0</v>
      </c>
      <c r="F170" s="13">
        <v>0.0</v>
      </c>
      <c r="G170" s="12">
        <f t="shared" si="32"/>
        <v>6</v>
      </c>
      <c r="H170" s="12">
        <f t="shared" si="33"/>
        <v>22</v>
      </c>
      <c r="I170" s="14">
        <f t="shared" si="34"/>
        <v>36</v>
      </c>
    </row>
    <row r="171">
      <c r="A171" s="11" t="s">
        <v>13</v>
      </c>
      <c r="B171" s="12">
        <f t="shared" si="31"/>
        <v>29</v>
      </c>
      <c r="C171" s="11"/>
      <c r="D171" s="11"/>
      <c r="E171" s="13">
        <v>6.0</v>
      </c>
      <c r="F171" s="13">
        <v>3.0</v>
      </c>
      <c r="G171" s="12">
        <f t="shared" si="32"/>
        <v>3</v>
      </c>
      <c r="H171" s="12">
        <f t="shared" si="33"/>
        <v>26</v>
      </c>
      <c r="I171" s="14">
        <f t="shared" si="34"/>
        <v>18</v>
      </c>
    </row>
    <row r="172">
      <c r="A172" s="11" t="s">
        <v>14</v>
      </c>
      <c r="B172" s="12">
        <f t="shared" si="31"/>
        <v>9</v>
      </c>
      <c r="C172" s="11"/>
      <c r="D172" s="11"/>
      <c r="E172" s="26">
        <v>4.0</v>
      </c>
      <c r="F172" s="13">
        <v>4.0</v>
      </c>
      <c r="G172" s="12">
        <f t="shared" si="32"/>
        <v>0</v>
      </c>
      <c r="H172" s="12">
        <f t="shared" si="33"/>
        <v>9</v>
      </c>
      <c r="I172" s="14">
        <f t="shared" si="34"/>
        <v>0</v>
      </c>
    </row>
    <row r="173">
      <c r="A173" s="11" t="s">
        <v>15</v>
      </c>
      <c r="B173" s="12">
        <f t="shared" si="31"/>
        <v>24</v>
      </c>
      <c r="C173" s="11"/>
      <c r="D173" s="11"/>
      <c r="E173" s="13">
        <v>6.0</v>
      </c>
      <c r="F173" s="13">
        <v>5.0</v>
      </c>
      <c r="G173" s="12">
        <f t="shared" si="32"/>
        <v>1</v>
      </c>
      <c r="H173" s="12">
        <f t="shared" si="33"/>
        <v>23</v>
      </c>
      <c r="I173" s="14">
        <f t="shared" si="34"/>
        <v>6</v>
      </c>
    </row>
    <row r="174">
      <c r="A174" s="11" t="s">
        <v>16</v>
      </c>
      <c r="B174" s="12">
        <f t="shared" si="31"/>
        <v>26</v>
      </c>
      <c r="C174" s="11"/>
      <c r="D174" s="11"/>
      <c r="E174" s="13">
        <v>5.0</v>
      </c>
      <c r="F174" s="13">
        <v>5.0</v>
      </c>
      <c r="G174" s="12">
        <f t="shared" si="32"/>
        <v>0</v>
      </c>
      <c r="H174" s="12">
        <f t="shared" si="33"/>
        <v>26</v>
      </c>
      <c r="I174" s="14">
        <f t="shared" si="34"/>
        <v>0</v>
      </c>
    </row>
    <row r="175">
      <c r="A175" s="11" t="s">
        <v>17</v>
      </c>
      <c r="B175" s="12">
        <f t="shared" si="31"/>
        <v>36</v>
      </c>
      <c r="C175" s="11"/>
      <c r="D175" s="11"/>
      <c r="E175" s="13">
        <v>4.0</v>
      </c>
      <c r="F175" s="13">
        <v>2.0</v>
      </c>
      <c r="G175" s="12">
        <f t="shared" si="32"/>
        <v>2</v>
      </c>
      <c r="H175" s="12">
        <f t="shared" si="33"/>
        <v>34</v>
      </c>
      <c r="I175" s="14">
        <f t="shared" si="34"/>
        <v>12</v>
      </c>
    </row>
    <row r="176">
      <c r="A176" s="11" t="s">
        <v>18</v>
      </c>
      <c r="B176" s="12">
        <f t="shared" si="31"/>
        <v>41</v>
      </c>
      <c r="C176" s="11"/>
      <c r="D176" s="13"/>
      <c r="E176" s="13">
        <v>6.0</v>
      </c>
      <c r="F176" s="13">
        <v>3.0</v>
      </c>
      <c r="G176" s="12">
        <f t="shared" si="32"/>
        <v>3</v>
      </c>
      <c r="H176" s="12">
        <f t="shared" si="33"/>
        <v>38</v>
      </c>
      <c r="I176" s="14">
        <f t="shared" si="34"/>
        <v>18</v>
      </c>
    </row>
    <row r="177">
      <c r="A177" s="11" t="s">
        <v>19</v>
      </c>
      <c r="B177" s="12">
        <f t="shared" si="31"/>
        <v>25</v>
      </c>
      <c r="C177" s="11"/>
      <c r="D177" s="11"/>
      <c r="E177" s="13">
        <v>6.0</v>
      </c>
      <c r="F177" s="13">
        <v>4.0</v>
      </c>
      <c r="G177" s="12">
        <f t="shared" si="32"/>
        <v>2</v>
      </c>
      <c r="H177" s="12">
        <f t="shared" si="33"/>
        <v>23</v>
      </c>
      <c r="I177" s="14">
        <f t="shared" si="34"/>
        <v>12</v>
      </c>
    </row>
    <row r="178">
      <c r="A178" s="11" t="s">
        <v>20</v>
      </c>
      <c r="B178" s="12">
        <f t="shared" si="31"/>
        <v>9</v>
      </c>
      <c r="C178" s="11"/>
      <c r="D178" s="11"/>
      <c r="E178" s="13">
        <v>6.0</v>
      </c>
      <c r="F178" s="13">
        <v>5.0</v>
      </c>
      <c r="G178" s="12">
        <f t="shared" si="32"/>
        <v>1</v>
      </c>
      <c r="H178" s="12">
        <f t="shared" si="33"/>
        <v>8</v>
      </c>
      <c r="I178" s="14">
        <f t="shared" si="34"/>
        <v>6</v>
      </c>
    </row>
    <row r="179">
      <c r="A179" s="11" t="s">
        <v>21</v>
      </c>
      <c r="B179" s="12">
        <f t="shared" si="31"/>
        <v>13</v>
      </c>
      <c r="C179" s="11"/>
      <c r="D179" s="11"/>
      <c r="E179" s="13">
        <v>2.0</v>
      </c>
      <c r="F179" s="13">
        <v>2.0</v>
      </c>
      <c r="G179" s="12">
        <f t="shared" si="32"/>
        <v>0</v>
      </c>
      <c r="H179" s="12">
        <f t="shared" si="33"/>
        <v>13</v>
      </c>
      <c r="I179" s="14">
        <f t="shared" si="34"/>
        <v>0</v>
      </c>
    </row>
    <row r="180">
      <c r="A180" s="11" t="s">
        <v>22</v>
      </c>
      <c r="B180" s="12">
        <f t="shared" si="31"/>
        <v>26</v>
      </c>
      <c r="C180" s="11"/>
      <c r="D180" s="11"/>
      <c r="E180" s="13">
        <v>5.0</v>
      </c>
      <c r="F180" s="13">
        <v>3.0</v>
      </c>
      <c r="G180" s="12">
        <f t="shared" si="32"/>
        <v>2</v>
      </c>
      <c r="H180" s="12">
        <f t="shared" si="33"/>
        <v>24</v>
      </c>
      <c r="I180" s="14">
        <f t="shared" si="34"/>
        <v>12</v>
      </c>
    </row>
    <row r="181">
      <c r="A181" s="11" t="s">
        <v>23</v>
      </c>
      <c r="B181" s="12">
        <f t="shared" si="31"/>
        <v>28</v>
      </c>
      <c r="C181" s="13"/>
      <c r="D181" s="11"/>
      <c r="E181" s="13">
        <v>6.0</v>
      </c>
      <c r="F181" s="13">
        <v>3.0</v>
      </c>
      <c r="G181" s="12">
        <f t="shared" si="32"/>
        <v>3</v>
      </c>
      <c r="H181" s="12">
        <f t="shared" si="33"/>
        <v>25</v>
      </c>
      <c r="I181" s="14">
        <f t="shared" si="34"/>
        <v>18</v>
      </c>
    </row>
    <row r="182">
      <c r="A182" s="11" t="s">
        <v>24</v>
      </c>
      <c r="B182" s="12">
        <f t="shared" si="31"/>
        <v>31</v>
      </c>
      <c r="C182" s="11"/>
      <c r="D182" s="13"/>
      <c r="E182" s="13">
        <v>4.0</v>
      </c>
      <c r="F182" s="13">
        <v>4.0</v>
      </c>
      <c r="G182" s="12">
        <f t="shared" si="32"/>
        <v>0</v>
      </c>
      <c r="H182" s="12">
        <f t="shared" si="33"/>
        <v>31</v>
      </c>
      <c r="I182" s="14">
        <f t="shared" si="34"/>
        <v>0</v>
      </c>
    </row>
    <row r="183">
      <c r="A183" s="11" t="s">
        <v>25</v>
      </c>
      <c r="B183" s="12">
        <f t="shared" si="31"/>
        <v>22</v>
      </c>
      <c r="C183" s="11"/>
      <c r="D183" s="11"/>
      <c r="E183" s="13">
        <v>10.0</v>
      </c>
      <c r="F183" s="13">
        <v>1.0</v>
      </c>
      <c r="G183" s="12">
        <f t="shared" si="32"/>
        <v>9</v>
      </c>
      <c r="H183" s="12">
        <f t="shared" si="33"/>
        <v>13</v>
      </c>
      <c r="I183" s="14">
        <f t="shared" si="34"/>
        <v>54</v>
      </c>
    </row>
    <row r="184">
      <c r="A184" s="11" t="s">
        <v>26</v>
      </c>
      <c r="B184" s="12">
        <f t="shared" si="31"/>
        <v>11</v>
      </c>
      <c r="C184" s="11"/>
      <c r="D184" s="11"/>
      <c r="E184" s="26">
        <v>6.0</v>
      </c>
      <c r="F184" s="13">
        <v>4.0</v>
      </c>
      <c r="G184" s="12">
        <f t="shared" si="32"/>
        <v>2</v>
      </c>
      <c r="H184" s="12">
        <f t="shared" si="33"/>
        <v>9</v>
      </c>
      <c r="I184" s="14">
        <f t="shared" si="34"/>
        <v>12</v>
      </c>
    </row>
    <row r="185">
      <c r="A185" s="11" t="s">
        <v>27</v>
      </c>
      <c r="B185" s="12">
        <f t="shared" si="31"/>
        <v>8</v>
      </c>
      <c r="C185" s="11"/>
      <c r="D185" s="11"/>
      <c r="E185" s="13">
        <v>4.0</v>
      </c>
      <c r="F185" s="13">
        <v>3.0</v>
      </c>
      <c r="G185" s="12">
        <f t="shared" si="32"/>
        <v>1</v>
      </c>
      <c r="H185" s="12">
        <f t="shared" si="33"/>
        <v>7</v>
      </c>
      <c r="I185" s="14">
        <f t="shared" si="34"/>
        <v>6</v>
      </c>
    </row>
    <row r="186">
      <c r="A186" s="11" t="s">
        <v>28</v>
      </c>
      <c r="B186" s="12">
        <f t="shared" si="31"/>
        <v>31</v>
      </c>
      <c r="C186" s="13">
        <v>1.0</v>
      </c>
      <c r="D186" s="13"/>
      <c r="E186" s="13">
        <v>8.0</v>
      </c>
      <c r="F186" s="13">
        <v>6.0</v>
      </c>
      <c r="G186" s="12">
        <f t="shared" si="32"/>
        <v>2</v>
      </c>
      <c r="H186" s="12">
        <f t="shared" si="33"/>
        <v>28</v>
      </c>
      <c r="I186" s="14">
        <f t="shared" si="34"/>
        <v>12</v>
      </c>
    </row>
    <row r="187">
      <c r="A187" s="11" t="s">
        <v>30</v>
      </c>
      <c r="B187" s="12">
        <f t="shared" si="31"/>
        <v>10</v>
      </c>
      <c r="C187" s="11"/>
      <c r="D187" s="11"/>
      <c r="E187" s="13">
        <v>2.0</v>
      </c>
      <c r="F187" s="13">
        <v>1.0</v>
      </c>
      <c r="G187" s="12">
        <f t="shared" si="32"/>
        <v>1</v>
      </c>
      <c r="H187" s="12">
        <f t="shared" si="33"/>
        <v>9</v>
      </c>
      <c r="I187" s="14">
        <f t="shared" si="34"/>
        <v>6</v>
      </c>
    </row>
    <row r="188">
      <c r="A188" s="37" t="s">
        <v>31</v>
      </c>
      <c r="B188" s="29">
        <v>21.0</v>
      </c>
      <c r="C188" s="11"/>
      <c r="D188" s="11"/>
      <c r="E188" s="13">
        <v>3.0</v>
      </c>
      <c r="F188" s="13">
        <v>2.0</v>
      </c>
      <c r="G188" s="12">
        <f t="shared" si="32"/>
        <v>1</v>
      </c>
      <c r="H188" s="12">
        <f t="shared" si="33"/>
        <v>20</v>
      </c>
      <c r="I188" s="14">
        <f t="shared" si="34"/>
        <v>6</v>
      </c>
    </row>
    <row r="189">
      <c r="A189" s="37" t="s">
        <v>32</v>
      </c>
      <c r="B189" s="12">
        <f>H161</f>
        <v>19</v>
      </c>
      <c r="C189" s="11"/>
      <c r="D189" s="11"/>
      <c r="E189" s="13">
        <v>2.0</v>
      </c>
      <c r="F189" s="13">
        <v>0.0</v>
      </c>
      <c r="G189" s="12">
        <f t="shared" si="32"/>
        <v>2</v>
      </c>
      <c r="H189" s="12">
        <f t="shared" si="33"/>
        <v>17</v>
      </c>
      <c r="I189" s="14">
        <f t="shared" si="34"/>
        <v>12</v>
      </c>
    </row>
    <row r="190">
      <c r="A190" s="19" t="s">
        <v>33</v>
      </c>
      <c r="B190" s="20">
        <f>SUM(B168:B189)</f>
        <v>490</v>
      </c>
      <c r="C190" s="19"/>
      <c r="D190" s="19"/>
      <c r="E190" s="20">
        <f t="shared" ref="E190:G190" si="35">SUM(E167:E189)</f>
        <v>113</v>
      </c>
      <c r="F190" s="20">
        <f t="shared" si="35"/>
        <v>69</v>
      </c>
      <c r="G190" s="20">
        <f t="shared" si="35"/>
        <v>44</v>
      </c>
      <c r="H190" s="20">
        <f>SUM(H168:H189)</f>
        <v>445</v>
      </c>
      <c r="I190" s="21">
        <f>SUM(I167:I189)</f>
        <v>264</v>
      </c>
    </row>
    <row r="191">
      <c r="A191" s="22"/>
      <c r="B191" s="22"/>
      <c r="C191" s="22"/>
      <c r="D191" s="22"/>
      <c r="E191" s="22"/>
      <c r="F191" s="23" t="s">
        <v>34</v>
      </c>
      <c r="G191" s="4"/>
      <c r="H191" s="24"/>
      <c r="I191" s="25"/>
    </row>
    <row r="194">
      <c r="A194" s="1"/>
      <c r="B194" s="2" t="s">
        <v>94</v>
      </c>
      <c r="C194" s="3"/>
      <c r="D194" s="3"/>
      <c r="E194" s="3"/>
      <c r="F194" s="3"/>
      <c r="G194" s="3"/>
      <c r="H194" s="3"/>
      <c r="I194" s="4"/>
    </row>
    <row r="195">
      <c r="A195" s="5" t="s">
        <v>1</v>
      </c>
      <c r="B195" s="6" t="s">
        <v>2</v>
      </c>
      <c r="C195" s="7" t="s">
        <v>3</v>
      </c>
      <c r="D195" s="8" t="s">
        <v>4</v>
      </c>
      <c r="E195" s="5" t="s">
        <v>5</v>
      </c>
      <c r="F195" s="5" t="s">
        <v>6</v>
      </c>
      <c r="G195" s="5" t="s">
        <v>7</v>
      </c>
      <c r="H195" s="9" t="s">
        <v>8</v>
      </c>
      <c r="I195" s="10" t="s">
        <v>9</v>
      </c>
    </row>
    <row r="196">
      <c r="A196" s="11" t="s">
        <v>10</v>
      </c>
      <c r="B196" s="12">
        <f t="shared" ref="B196:B215" si="36">H168</f>
        <v>13</v>
      </c>
      <c r="C196" s="11"/>
      <c r="D196" s="13">
        <v>35.0</v>
      </c>
      <c r="E196" s="13">
        <v>6.0</v>
      </c>
      <c r="F196" s="13">
        <v>2.0</v>
      </c>
      <c r="G196" s="12">
        <f t="shared" ref="G196:G217" si="37">E196-F196</f>
        <v>4</v>
      </c>
      <c r="H196" s="12">
        <f t="shared" ref="H196:H217" si="38">B196-C196+D196-G196</f>
        <v>44</v>
      </c>
      <c r="I196" s="14">
        <f t="shared" ref="I196:I217" si="39">G196*6</f>
        <v>24</v>
      </c>
    </row>
    <row r="197">
      <c r="A197" s="11" t="s">
        <v>11</v>
      </c>
      <c r="B197" s="12">
        <f t="shared" si="36"/>
        <v>27</v>
      </c>
      <c r="C197" s="13"/>
      <c r="D197" s="11"/>
      <c r="E197" s="13">
        <v>6.0</v>
      </c>
      <c r="F197" s="13">
        <v>2.0</v>
      </c>
      <c r="G197" s="12">
        <f t="shared" si="37"/>
        <v>4</v>
      </c>
      <c r="H197" s="12">
        <f t="shared" si="38"/>
        <v>23</v>
      </c>
      <c r="I197" s="14">
        <f t="shared" si="39"/>
        <v>24</v>
      </c>
    </row>
    <row r="198">
      <c r="A198" s="11" t="s">
        <v>12</v>
      </c>
      <c r="B198" s="12">
        <f t="shared" si="36"/>
        <v>22</v>
      </c>
      <c r="C198" s="11"/>
      <c r="D198" s="11"/>
      <c r="E198" s="13">
        <v>6.0</v>
      </c>
      <c r="F198" s="13">
        <v>4.0</v>
      </c>
      <c r="G198" s="12">
        <f t="shared" si="37"/>
        <v>2</v>
      </c>
      <c r="H198" s="12">
        <f t="shared" si="38"/>
        <v>20</v>
      </c>
      <c r="I198" s="14">
        <f t="shared" si="39"/>
        <v>12</v>
      </c>
    </row>
    <row r="199">
      <c r="A199" s="11" t="s">
        <v>13</v>
      </c>
      <c r="B199" s="12">
        <f t="shared" si="36"/>
        <v>26</v>
      </c>
      <c r="C199" s="11"/>
      <c r="D199" s="11"/>
      <c r="E199" s="13">
        <v>6.0</v>
      </c>
      <c r="F199" s="13">
        <v>4.0</v>
      </c>
      <c r="G199" s="12">
        <f t="shared" si="37"/>
        <v>2</v>
      </c>
      <c r="H199" s="12">
        <f t="shared" si="38"/>
        <v>24</v>
      </c>
      <c r="I199" s="14">
        <f t="shared" si="39"/>
        <v>12</v>
      </c>
    </row>
    <row r="200">
      <c r="A200" s="11" t="s">
        <v>14</v>
      </c>
      <c r="B200" s="12">
        <f t="shared" si="36"/>
        <v>9</v>
      </c>
      <c r="C200" s="13">
        <v>1.0</v>
      </c>
      <c r="D200" s="11"/>
      <c r="E200" s="26">
        <v>4.0</v>
      </c>
      <c r="F200" s="13">
        <v>2.0</v>
      </c>
      <c r="G200" s="12">
        <f t="shared" si="37"/>
        <v>2</v>
      </c>
      <c r="H200" s="12">
        <f t="shared" si="38"/>
        <v>6</v>
      </c>
      <c r="I200" s="14">
        <f t="shared" si="39"/>
        <v>12</v>
      </c>
    </row>
    <row r="201">
      <c r="A201" s="11" t="s">
        <v>15</v>
      </c>
      <c r="B201" s="12">
        <f t="shared" si="36"/>
        <v>23</v>
      </c>
      <c r="C201" s="11"/>
      <c r="D201" s="11"/>
      <c r="E201" s="13">
        <v>6.0</v>
      </c>
      <c r="F201" s="13">
        <v>5.0</v>
      </c>
      <c r="G201" s="12">
        <f t="shared" si="37"/>
        <v>1</v>
      </c>
      <c r="H201" s="12">
        <f t="shared" si="38"/>
        <v>22</v>
      </c>
      <c r="I201" s="14">
        <f t="shared" si="39"/>
        <v>6</v>
      </c>
    </row>
    <row r="202">
      <c r="A202" s="11" t="s">
        <v>16</v>
      </c>
      <c r="B202" s="12">
        <f t="shared" si="36"/>
        <v>26</v>
      </c>
      <c r="C202" s="11"/>
      <c r="D202" s="11"/>
      <c r="E202" s="13">
        <v>5.0</v>
      </c>
      <c r="F202" s="13">
        <v>1.0</v>
      </c>
      <c r="G202" s="12">
        <f t="shared" si="37"/>
        <v>4</v>
      </c>
      <c r="H202" s="12">
        <f t="shared" si="38"/>
        <v>22</v>
      </c>
      <c r="I202" s="14">
        <f t="shared" si="39"/>
        <v>24</v>
      </c>
    </row>
    <row r="203">
      <c r="A203" s="11" t="s">
        <v>17</v>
      </c>
      <c r="B203" s="12">
        <f t="shared" si="36"/>
        <v>34</v>
      </c>
      <c r="C203" s="11"/>
      <c r="D203" s="11"/>
      <c r="E203" s="13">
        <v>4.0</v>
      </c>
      <c r="F203" s="13">
        <v>4.0</v>
      </c>
      <c r="G203" s="12">
        <f t="shared" si="37"/>
        <v>0</v>
      </c>
      <c r="H203" s="12">
        <f t="shared" si="38"/>
        <v>34</v>
      </c>
      <c r="I203" s="14">
        <f t="shared" si="39"/>
        <v>0</v>
      </c>
    </row>
    <row r="204">
      <c r="A204" s="11" t="s">
        <v>18</v>
      </c>
      <c r="B204" s="12">
        <f t="shared" si="36"/>
        <v>38</v>
      </c>
      <c r="C204" s="11"/>
      <c r="D204" s="13"/>
      <c r="E204" s="13">
        <v>6.0</v>
      </c>
      <c r="F204" s="13">
        <v>4.0</v>
      </c>
      <c r="G204" s="12">
        <f t="shared" si="37"/>
        <v>2</v>
      </c>
      <c r="H204" s="12">
        <f t="shared" si="38"/>
        <v>36</v>
      </c>
      <c r="I204" s="14">
        <f t="shared" si="39"/>
        <v>12</v>
      </c>
    </row>
    <row r="205">
      <c r="A205" s="11" t="s">
        <v>19</v>
      </c>
      <c r="B205" s="12">
        <f t="shared" si="36"/>
        <v>23</v>
      </c>
      <c r="C205" s="11"/>
      <c r="D205" s="11"/>
      <c r="E205" s="13">
        <v>6.0</v>
      </c>
      <c r="F205" s="13">
        <v>2.0</v>
      </c>
      <c r="G205" s="12">
        <f t="shared" si="37"/>
        <v>4</v>
      </c>
      <c r="H205" s="12">
        <f t="shared" si="38"/>
        <v>19</v>
      </c>
      <c r="I205" s="14">
        <f t="shared" si="39"/>
        <v>24</v>
      </c>
    </row>
    <row r="206">
      <c r="A206" s="11" t="s">
        <v>20</v>
      </c>
      <c r="B206" s="12">
        <f t="shared" si="36"/>
        <v>8</v>
      </c>
      <c r="C206" s="11"/>
      <c r="D206" s="13">
        <v>29.0</v>
      </c>
      <c r="E206" s="13">
        <v>6.0</v>
      </c>
      <c r="F206" s="13">
        <v>0.0</v>
      </c>
      <c r="G206" s="12">
        <f t="shared" si="37"/>
        <v>6</v>
      </c>
      <c r="H206" s="12">
        <f t="shared" si="38"/>
        <v>31</v>
      </c>
      <c r="I206" s="14">
        <f t="shared" si="39"/>
        <v>36</v>
      </c>
    </row>
    <row r="207">
      <c r="A207" s="11" t="s">
        <v>21</v>
      </c>
      <c r="B207" s="12">
        <f t="shared" si="36"/>
        <v>13</v>
      </c>
      <c r="C207" s="11"/>
      <c r="D207" s="11"/>
      <c r="E207" s="13">
        <v>2.0</v>
      </c>
      <c r="F207" s="13">
        <v>1.0</v>
      </c>
      <c r="G207" s="12">
        <f t="shared" si="37"/>
        <v>1</v>
      </c>
      <c r="H207" s="12">
        <f t="shared" si="38"/>
        <v>12</v>
      </c>
      <c r="I207" s="14">
        <f t="shared" si="39"/>
        <v>6</v>
      </c>
    </row>
    <row r="208">
      <c r="A208" s="11" t="s">
        <v>22</v>
      </c>
      <c r="B208" s="12">
        <f t="shared" si="36"/>
        <v>24</v>
      </c>
      <c r="C208" s="11"/>
      <c r="D208" s="11"/>
      <c r="E208" s="13">
        <v>5.0</v>
      </c>
      <c r="F208" s="13">
        <v>3.0</v>
      </c>
      <c r="G208" s="12">
        <f t="shared" si="37"/>
        <v>2</v>
      </c>
      <c r="H208" s="12">
        <f t="shared" si="38"/>
        <v>22</v>
      </c>
      <c r="I208" s="14">
        <f t="shared" si="39"/>
        <v>12</v>
      </c>
    </row>
    <row r="209">
      <c r="A209" s="11" t="s">
        <v>23</v>
      </c>
      <c r="B209" s="12">
        <f t="shared" si="36"/>
        <v>25</v>
      </c>
      <c r="C209" s="13"/>
      <c r="D209" s="13"/>
      <c r="E209" s="13">
        <v>6.0</v>
      </c>
      <c r="F209" s="13">
        <v>5.0</v>
      </c>
      <c r="G209" s="12">
        <f t="shared" si="37"/>
        <v>1</v>
      </c>
      <c r="H209" s="12">
        <f t="shared" si="38"/>
        <v>24</v>
      </c>
      <c r="I209" s="14">
        <f t="shared" si="39"/>
        <v>6</v>
      </c>
    </row>
    <row r="210">
      <c r="A210" s="11" t="s">
        <v>24</v>
      </c>
      <c r="B210" s="12">
        <f t="shared" si="36"/>
        <v>31</v>
      </c>
      <c r="C210" s="13">
        <v>1.0</v>
      </c>
      <c r="D210" s="13"/>
      <c r="E210" s="13">
        <v>4.0</v>
      </c>
      <c r="F210" s="13">
        <v>4.0</v>
      </c>
      <c r="G210" s="12">
        <f t="shared" si="37"/>
        <v>0</v>
      </c>
      <c r="H210" s="12">
        <f t="shared" si="38"/>
        <v>30</v>
      </c>
      <c r="I210" s="14">
        <f t="shared" si="39"/>
        <v>0</v>
      </c>
    </row>
    <row r="211">
      <c r="A211" s="11" t="s">
        <v>25</v>
      </c>
      <c r="B211" s="12">
        <f t="shared" si="36"/>
        <v>13</v>
      </c>
      <c r="C211" s="11"/>
      <c r="D211" s="13">
        <v>29.0</v>
      </c>
      <c r="E211" s="13">
        <v>10.0</v>
      </c>
      <c r="F211" s="13">
        <v>5.0</v>
      </c>
      <c r="G211" s="12">
        <f t="shared" si="37"/>
        <v>5</v>
      </c>
      <c r="H211" s="12">
        <f t="shared" si="38"/>
        <v>37</v>
      </c>
      <c r="I211" s="14">
        <f t="shared" si="39"/>
        <v>30</v>
      </c>
    </row>
    <row r="212">
      <c r="A212" s="11" t="s">
        <v>26</v>
      </c>
      <c r="B212" s="12">
        <f t="shared" si="36"/>
        <v>9</v>
      </c>
      <c r="C212" s="11"/>
      <c r="D212" s="11"/>
      <c r="E212" s="26">
        <v>6.0</v>
      </c>
      <c r="F212" s="13">
        <v>2.0</v>
      </c>
      <c r="G212" s="12">
        <f t="shared" si="37"/>
        <v>4</v>
      </c>
      <c r="H212" s="12">
        <f t="shared" si="38"/>
        <v>5</v>
      </c>
      <c r="I212" s="14">
        <f t="shared" si="39"/>
        <v>24</v>
      </c>
    </row>
    <row r="213">
      <c r="A213" s="11" t="s">
        <v>27</v>
      </c>
      <c r="B213" s="12">
        <f t="shared" si="36"/>
        <v>7</v>
      </c>
      <c r="C213" s="11"/>
      <c r="D213" s="11"/>
      <c r="E213" s="13">
        <v>4.0</v>
      </c>
      <c r="F213" s="13">
        <v>4.0</v>
      </c>
      <c r="G213" s="12">
        <f t="shared" si="37"/>
        <v>0</v>
      </c>
      <c r="H213" s="12">
        <f t="shared" si="38"/>
        <v>7</v>
      </c>
      <c r="I213" s="14">
        <f t="shared" si="39"/>
        <v>0</v>
      </c>
    </row>
    <row r="214">
      <c r="A214" s="11" t="s">
        <v>28</v>
      </c>
      <c r="B214" s="12">
        <f t="shared" si="36"/>
        <v>28</v>
      </c>
      <c r="C214" s="11"/>
      <c r="D214" s="13"/>
      <c r="E214" s="13">
        <v>8.0</v>
      </c>
      <c r="F214" s="13">
        <v>3.0</v>
      </c>
      <c r="G214" s="12">
        <f t="shared" si="37"/>
        <v>5</v>
      </c>
      <c r="H214" s="12">
        <f t="shared" si="38"/>
        <v>23</v>
      </c>
      <c r="I214" s="14">
        <f t="shared" si="39"/>
        <v>30</v>
      </c>
    </row>
    <row r="215">
      <c r="A215" s="11" t="s">
        <v>30</v>
      </c>
      <c r="B215" s="12">
        <f t="shared" si="36"/>
        <v>9</v>
      </c>
      <c r="C215" s="11"/>
      <c r="D215" s="11"/>
      <c r="E215" s="13">
        <v>2.0</v>
      </c>
      <c r="F215" s="13">
        <v>0.0</v>
      </c>
      <c r="G215" s="12">
        <f t="shared" si="37"/>
        <v>2</v>
      </c>
      <c r="H215" s="12">
        <f t="shared" si="38"/>
        <v>7</v>
      </c>
      <c r="I215" s="14">
        <f t="shared" si="39"/>
        <v>12</v>
      </c>
    </row>
    <row r="216">
      <c r="A216" s="37" t="s">
        <v>31</v>
      </c>
      <c r="B216" s="29">
        <v>21.0</v>
      </c>
      <c r="C216" s="11"/>
      <c r="D216" s="11"/>
      <c r="E216" s="13">
        <v>3.0</v>
      </c>
      <c r="F216" s="13">
        <v>3.0</v>
      </c>
      <c r="G216" s="12">
        <f t="shared" si="37"/>
        <v>0</v>
      </c>
      <c r="H216" s="12">
        <f t="shared" si="38"/>
        <v>21</v>
      </c>
      <c r="I216" s="14">
        <f t="shared" si="39"/>
        <v>0</v>
      </c>
    </row>
    <row r="217">
      <c r="A217" s="37" t="s">
        <v>32</v>
      </c>
      <c r="B217" s="12">
        <f>H189</f>
        <v>17</v>
      </c>
      <c r="C217" s="11"/>
      <c r="D217" s="11"/>
      <c r="E217" s="13">
        <v>3.0</v>
      </c>
      <c r="F217" s="13">
        <v>3.0</v>
      </c>
      <c r="G217" s="12">
        <f t="shared" si="37"/>
        <v>0</v>
      </c>
      <c r="H217" s="12">
        <f t="shared" si="38"/>
        <v>17</v>
      </c>
      <c r="I217" s="14">
        <f t="shared" si="39"/>
        <v>0</v>
      </c>
    </row>
    <row r="218">
      <c r="A218" s="19" t="s">
        <v>33</v>
      </c>
      <c r="B218" s="20">
        <f>SUM(B196:B217)</f>
        <v>446</v>
      </c>
      <c r="C218" s="19"/>
      <c r="D218" s="19"/>
      <c r="E218" s="20">
        <f t="shared" ref="E218:G218" si="40">SUM(E195:E217)</f>
        <v>114</v>
      </c>
      <c r="F218" s="20">
        <f t="shared" si="40"/>
        <v>63</v>
      </c>
      <c r="G218" s="20">
        <f t="shared" si="40"/>
        <v>51</v>
      </c>
      <c r="H218" s="20">
        <f>SUM(H196:H217)</f>
        <v>486</v>
      </c>
      <c r="I218" s="21">
        <f>SUM(I195:I217)</f>
        <v>306</v>
      </c>
    </row>
    <row r="219">
      <c r="A219" s="22"/>
      <c r="B219" s="22"/>
      <c r="C219" s="22"/>
      <c r="D219" s="22"/>
      <c r="E219" s="22"/>
      <c r="F219" s="23" t="s">
        <v>34</v>
      </c>
      <c r="G219" s="4"/>
      <c r="H219" s="24"/>
      <c r="I219" s="25"/>
    </row>
    <row r="221">
      <c r="A221" s="22"/>
      <c r="B221" s="22"/>
      <c r="C221" s="22"/>
      <c r="D221" s="22"/>
      <c r="E221" s="22"/>
      <c r="F221" s="22"/>
      <c r="G221" s="22"/>
      <c r="H221" s="22"/>
      <c r="I221" s="22"/>
    </row>
    <row r="222">
      <c r="A222" s="1"/>
      <c r="B222" s="2" t="s">
        <v>95</v>
      </c>
      <c r="C222" s="3"/>
      <c r="D222" s="3"/>
      <c r="E222" s="3"/>
      <c r="F222" s="3"/>
      <c r="G222" s="3"/>
      <c r="H222" s="3"/>
      <c r="I222" s="4"/>
    </row>
    <row r="223">
      <c r="A223" s="5" t="s">
        <v>1</v>
      </c>
      <c r="B223" s="6" t="s">
        <v>2</v>
      </c>
      <c r="C223" s="7" t="s">
        <v>3</v>
      </c>
      <c r="D223" s="8" t="s">
        <v>4</v>
      </c>
      <c r="E223" s="5" t="s">
        <v>5</v>
      </c>
      <c r="F223" s="5" t="s">
        <v>6</v>
      </c>
      <c r="G223" s="5" t="s">
        <v>7</v>
      </c>
      <c r="H223" s="9" t="s">
        <v>8</v>
      </c>
      <c r="I223" s="10" t="s">
        <v>9</v>
      </c>
    </row>
    <row r="224">
      <c r="A224" s="11" t="s">
        <v>10</v>
      </c>
      <c r="B224" s="12">
        <f t="shared" ref="B224:B243" si="41">H196</f>
        <v>44</v>
      </c>
      <c r="C224" s="11"/>
      <c r="D224" s="11"/>
      <c r="E224" s="13">
        <v>6.0</v>
      </c>
      <c r="F224" s="13">
        <v>6.0</v>
      </c>
      <c r="G224" s="12">
        <f t="shared" ref="G224:G245" si="42">E224-F224</f>
        <v>0</v>
      </c>
      <c r="H224" s="12">
        <f t="shared" ref="H224:H245" si="43">B224-C224+D224-G224</f>
        <v>44</v>
      </c>
      <c r="I224" s="14">
        <f t="shared" ref="I224:I245" si="44">G224*6</f>
        <v>0</v>
      </c>
    </row>
    <row r="225">
      <c r="A225" s="11" t="s">
        <v>11</v>
      </c>
      <c r="B225" s="12">
        <f t="shared" si="41"/>
        <v>23</v>
      </c>
      <c r="C225" s="17"/>
      <c r="D225" s="11"/>
      <c r="E225" s="13">
        <v>6.0</v>
      </c>
      <c r="F225" s="13">
        <v>4.0</v>
      </c>
      <c r="G225" s="12">
        <f t="shared" si="42"/>
        <v>2</v>
      </c>
      <c r="H225" s="12">
        <f t="shared" si="43"/>
        <v>21</v>
      </c>
      <c r="I225" s="14">
        <f t="shared" si="44"/>
        <v>12</v>
      </c>
    </row>
    <row r="226">
      <c r="A226" s="11" t="s">
        <v>12</v>
      </c>
      <c r="B226" s="12">
        <f t="shared" si="41"/>
        <v>20</v>
      </c>
      <c r="C226" s="11"/>
      <c r="D226" s="11"/>
      <c r="E226" s="13">
        <v>6.0</v>
      </c>
      <c r="F226" s="13">
        <v>4.0</v>
      </c>
      <c r="G226" s="12">
        <f t="shared" si="42"/>
        <v>2</v>
      </c>
      <c r="H226" s="12">
        <f t="shared" si="43"/>
        <v>18</v>
      </c>
      <c r="I226" s="14">
        <f t="shared" si="44"/>
        <v>12</v>
      </c>
    </row>
    <row r="227">
      <c r="A227" s="11" t="s">
        <v>13</v>
      </c>
      <c r="B227" s="12">
        <f t="shared" si="41"/>
        <v>24</v>
      </c>
      <c r="C227" s="11"/>
      <c r="D227" s="11"/>
      <c r="E227" s="13">
        <v>6.0</v>
      </c>
      <c r="F227" s="13">
        <v>4.0</v>
      </c>
      <c r="G227" s="12">
        <f t="shared" si="42"/>
        <v>2</v>
      </c>
      <c r="H227" s="12">
        <f t="shared" si="43"/>
        <v>22</v>
      </c>
      <c r="I227" s="14">
        <f t="shared" si="44"/>
        <v>12</v>
      </c>
    </row>
    <row r="228">
      <c r="A228" s="11" t="s">
        <v>14</v>
      </c>
      <c r="B228" s="12">
        <f t="shared" si="41"/>
        <v>6</v>
      </c>
      <c r="C228" s="11"/>
      <c r="D228" s="11"/>
      <c r="E228" s="13">
        <v>4.0</v>
      </c>
      <c r="F228" s="13">
        <v>2.0</v>
      </c>
      <c r="G228" s="12">
        <f t="shared" si="42"/>
        <v>2</v>
      </c>
      <c r="H228" s="12">
        <f t="shared" si="43"/>
        <v>4</v>
      </c>
      <c r="I228" s="14">
        <f t="shared" si="44"/>
        <v>12</v>
      </c>
    </row>
    <row r="229">
      <c r="A229" s="11" t="s">
        <v>15</v>
      </c>
      <c r="B229" s="12">
        <f t="shared" si="41"/>
        <v>22</v>
      </c>
      <c r="C229" s="11"/>
      <c r="D229" s="11"/>
      <c r="E229" s="13">
        <v>6.0</v>
      </c>
      <c r="F229" s="13">
        <v>4.0</v>
      </c>
      <c r="G229" s="12">
        <f t="shared" si="42"/>
        <v>2</v>
      </c>
      <c r="H229" s="12">
        <f t="shared" si="43"/>
        <v>20</v>
      </c>
      <c r="I229" s="14">
        <f t="shared" si="44"/>
        <v>12</v>
      </c>
    </row>
    <row r="230">
      <c r="A230" s="11" t="s">
        <v>16</v>
      </c>
      <c r="B230" s="12">
        <f t="shared" si="41"/>
        <v>22</v>
      </c>
      <c r="C230" s="11"/>
      <c r="D230" s="11"/>
      <c r="E230" s="13">
        <v>5.0</v>
      </c>
      <c r="F230" s="13">
        <v>4.0</v>
      </c>
      <c r="G230" s="12">
        <f t="shared" si="42"/>
        <v>1</v>
      </c>
      <c r="H230" s="12">
        <f t="shared" si="43"/>
        <v>21</v>
      </c>
      <c r="I230" s="14">
        <f t="shared" si="44"/>
        <v>6</v>
      </c>
    </row>
    <row r="231">
      <c r="A231" s="11" t="s">
        <v>17</v>
      </c>
      <c r="B231" s="12">
        <f t="shared" si="41"/>
        <v>34</v>
      </c>
      <c r="C231" s="11"/>
      <c r="D231" s="11"/>
      <c r="E231" s="13">
        <v>4.0</v>
      </c>
      <c r="F231" s="13">
        <v>2.0</v>
      </c>
      <c r="G231" s="12">
        <f t="shared" si="42"/>
        <v>2</v>
      </c>
      <c r="H231" s="12">
        <f t="shared" si="43"/>
        <v>32</v>
      </c>
      <c r="I231" s="14">
        <f t="shared" si="44"/>
        <v>12</v>
      </c>
    </row>
    <row r="232">
      <c r="A232" s="11" t="s">
        <v>18</v>
      </c>
      <c r="B232" s="12">
        <f t="shared" si="41"/>
        <v>36</v>
      </c>
      <c r="C232" s="11"/>
      <c r="D232" s="11"/>
      <c r="E232" s="13">
        <v>6.0</v>
      </c>
      <c r="F232" s="13">
        <v>5.0</v>
      </c>
      <c r="G232" s="12">
        <f t="shared" si="42"/>
        <v>1</v>
      </c>
      <c r="H232" s="12">
        <f t="shared" si="43"/>
        <v>35</v>
      </c>
      <c r="I232" s="14">
        <f t="shared" si="44"/>
        <v>6</v>
      </c>
    </row>
    <row r="233">
      <c r="A233" s="11" t="s">
        <v>19</v>
      </c>
      <c r="B233" s="12">
        <f t="shared" si="41"/>
        <v>19</v>
      </c>
      <c r="C233" s="11"/>
      <c r="D233" s="11"/>
      <c r="E233" s="13">
        <v>6.0</v>
      </c>
      <c r="F233" s="13">
        <v>5.0</v>
      </c>
      <c r="G233" s="12">
        <f t="shared" si="42"/>
        <v>1</v>
      </c>
      <c r="H233" s="12">
        <f t="shared" si="43"/>
        <v>18</v>
      </c>
      <c r="I233" s="14">
        <f t="shared" si="44"/>
        <v>6</v>
      </c>
    </row>
    <row r="234">
      <c r="A234" s="11" t="s">
        <v>20</v>
      </c>
      <c r="B234" s="12">
        <f t="shared" si="41"/>
        <v>31</v>
      </c>
      <c r="C234" s="11"/>
      <c r="D234" s="11"/>
      <c r="E234" s="13">
        <v>6.0</v>
      </c>
      <c r="F234" s="13">
        <v>5.0</v>
      </c>
      <c r="G234" s="12">
        <f t="shared" si="42"/>
        <v>1</v>
      </c>
      <c r="H234" s="12">
        <f t="shared" si="43"/>
        <v>30</v>
      </c>
      <c r="I234" s="14">
        <f t="shared" si="44"/>
        <v>6</v>
      </c>
    </row>
    <row r="235">
      <c r="A235" s="11" t="s">
        <v>21</v>
      </c>
      <c r="B235" s="12">
        <f t="shared" si="41"/>
        <v>12</v>
      </c>
      <c r="C235" s="11"/>
      <c r="D235" s="11"/>
      <c r="E235" s="13">
        <v>2.0</v>
      </c>
      <c r="F235" s="13">
        <v>1.0</v>
      </c>
      <c r="G235" s="12">
        <f t="shared" si="42"/>
        <v>1</v>
      </c>
      <c r="H235" s="12">
        <f t="shared" si="43"/>
        <v>11</v>
      </c>
      <c r="I235" s="14">
        <f t="shared" si="44"/>
        <v>6</v>
      </c>
    </row>
    <row r="236">
      <c r="A236" s="11" t="s">
        <v>22</v>
      </c>
      <c r="B236" s="12">
        <f t="shared" si="41"/>
        <v>22</v>
      </c>
      <c r="C236" s="11"/>
      <c r="D236" s="11"/>
      <c r="E236" s="13">
        <v>5.0</v>
      </c>
      <c r="F236" s="13">
        <v>4.0</v>
      </c>
      <c r="G236" s="12">
        <f t="shared" si="42"/>
        <v>1</v>
      </c>
      <c r="H236" s="12">
        <f t="shared" si="43"/>
        <v>21</v>
      </c>
      <c r="I236" s="14">
        <f t="shared" si="44"/>
        <v>6</v>
      </c>
    </row>
    <row r="237">
      <c r="A237" s="11" t="s">
        <v>23</v>
      </c>
      <c r="B237" s="12">
        <f t="shared" si="41"/>
        <v>24</v>
      </c>
      <c r="C237" s="17"/>
      <c r="D237" s="11"/>
      <c r="E237" s="13">
        <v>6.0</v>
      </c>
      <c r="F237" s="13">
        <v>5.0</v>
      </c>
      <c r="G237" s="12">
        <f t="shared" si="42"/>
        <v>1</v>
      </c>
      <c r="H237" s="12">
        <f t="shared" si="43"/>
        <v>23</v>
      </c>
      <c r="I237" s="14">
        <f t="shared" si="44"/>
        <v>6</v>
      </c>
    </row>
    <row r="238">
      <c r="A238" s="11" t="s">
        <v>24</v>
      </c>
      <c r="B238" s="12">
        <f t="shared" si="41"/>
        <v>30</v>
      </c>
      <c r="C238" s="13">
        <v>1.0</v>
      </c>
      <c r="D238" s="11"/>
      <c r="E238" s="13">
        <v>4.0</v>
      </c>
      <c r="F238" s="13">
        <v>3.0</v>
      </c>
      <c r="G238" s="12">
        <f t="shared" si="42"/>
        <v>1</v>
      </c>
      <c r="H238" s="12">
        <f t="shared" si="43"/>
        <v>28</v>
      </c>
      <c r="I238" s="14">
        <f t="shared" si="44"/>
        <v>6</v>
      </c>
    </row>
    <row r="239">
      <c r="A239" s="11" t="s">
        <v>25</v>
      </c>
      <c r="B239" s="12">
        <f t="shared" si="41"/>
        <v>37</v>
      </c>
      <c r="C239" s="11"/>
      <c r="D239" s="11"/>
      <c r="E239" s="13">
        <v>10.0</v>
      </c>
      <c r="F239" s="13">
        <v>3.0</v>
      </c>
      <c r="G239" s="12">
        <f t="shared" si="42"/>
        <v>7</v>
      </c>
      <c r="H239" s="12">
        <f t="shared" si="43"/>
        <v>30</v>
      </c>
      <c r="I239" s="14">
        <f t="shared" si="44"/>
        <v>42</v>
      </c>
    </row>
    <row r="240">
      <c r="A240" s="11" t="s">
        <v>26</v>
      </c>
      <c r="B240" s="12">
        <f t="shared" si="41"/>
        <v>5</v>
      </c>
      <c r="C240" s="11"/>
      <c r="D240" s="13">
        <v>31.0</v>
      </c>
      <c r="E240" s="13">
        <v>5.0</v>
      </c>
      <c r="F240" s="13">
        <v>1.0</v>
      </c>
      <c r="G240" s="12">
        <f t="shared" si="42"/>
        <v>4</v>
      </c>
      <c r="H240" s="12">
        <f t="shared" si="43"/>
        <v>32</v>
      </c>
      <c r="I240" s="14">
        <f t="shared" si="44"/>
        <v>24</v>
      </c>
    </row>
    <row r="241">
      <c r="A241" s="11" t="s">
        <v>27</v>
      </c>
      <c r="B241" s="12">
        <f t="shared" si="41"/>
        <v>7</v>
      </c>
      <c r="C241" s="11"/>
      <c r="D241" s="11"/>
      <c r="E241" s="13">
        <v>4.0</v>
      </c>
      <c r="F241" s="13">
        <v>3.0</v>
      </c>
      <c r="G241" s="12">
        <f t="shared" si="42"/>
        <v>1</v>
      </c>
      <c r="H241" s="12">
        <f t="shared" si="43"/>
        <v>6</v>
      </c>
      <c r="I241" s="14">
        <f t="shared" si="44"/>
        <v>6</v>
      </c>
    </row>
    <row r="242">
      <c r="A242" s="11" t="s">
        <v>28</v>
      </c>
      <c r="B242" s="12">
        <f t="shared" si="41"/>
        <v>23</v>
      </c>
      <c r="C242" s="11"/>
      <c r="D242" s="11"/>
      <c r="E242" s="13">
        <v>8.0</v>
      </c>
      <c r="F242" s="13">
        <v>3.0</v>
      </c>
      <c r="G242" s="12">
        <f t="shared" si="42"/>
        <v>5</v>
      </c>
      <c r="H242" s="12">
        <f t="shared" si="43"/>
        <v>18</v>
      </c>
      <c r="I242" s="14">
        <f t="shared" si="44"/>
        <v>30</v>
      </c>
    </row>
    <row r="243">
      <c r="A243" s="11" t="s">
        <v>30</v>
      </c>
      <c r="B243" s="12">
        <f t="shared" si="41"/>
        <v>7</v>
      </c>
      <c r="C243" s="11"/>
      <c r="D243" s="11"/>
      <c r="E243" s="13">
        <v>2.0</v>
      </c>
      <c r="F243" s="13">
        <v>1.0</v>
      </c>
      <c r="G243" s="12">
        <f t="shared" si="42"/>
        <v>1</v>
      </c>
      <c r="H243" s="12">
        <f t="shared" si="43"/>
        <v>6</v>
      </c>
      <c r="I243" s="14">
        <f t="shared" si="44"/>
        <v>6</v>
      </c>
    </row>
    <row r="244">
      <c r="A244" s="18" t="s">
        <v>31</v>
      </c>
      <c r="B244" s="12">
        <v>21.0</v>
      </c>
      <c r="C244" s="13">
        <v>2.0</v>
      </c>
      <c r="D244" s="11"/>
      <c r="E244" s="13">
        <v>3.0</v>
      </c>
      <c r="F244" s="13">
        <v>2.0</v>
      </c>
      <c r="G244" s="12">
        <f t="shared" si="42"/>
        <v>1</v>
      </c>
      <c r="H244" s="12">
        <f t="shared" si="43"/>
        <v>18</v>
      </c>
      <c r="I244" s="14">
        <f t="shared" si="44"/>
        <v>6</v>
      </c>
    </row>
    <row r="245">
      <c r="A245" s="18" t="s">
        <v>32</v>
      </c>
      <c r="B245" s="12">
        <f>H217</f>
        <v>17</v>
      </c>
      <c r="C245" s="11"/>
      <c r="D245" s="11"/>
      <c r="E245" s="13">
        <v>3.0</v>
      </c>
      <c r="F245" s="13">
        <v>2.0</v>
      </c>
      <c r="G245" s="12">
        <f t="shared" si="42"/>
        <v>1</v>
      </c>
      <c r="H245" s="12">
        <f t="shared" si="43"/>
        <v>16</v>
      </c>
      <c r="I245" s="14">
        <f t="shared" si="44"/>
        <v>6</v>
      </c>
    </row>
    <row r="246">
      <c r="A246" s="19" t="s">
        <v>33</v>
      </c>
      <c r="B246" s="20">
        <f>SUM(B224:B245)</f>
        <v>486</v>
      </c>
      <c r="C246" s="19"/>
      <c r="D246" s="19"/>
      <c r="E246" s="20">
        <f t="shared" ref="E246:G246" si="45">SUM(E223:E245)</f>
        <v>113</v>
      </c>
      <c r="F246" s="20">
        <f t="shared" si="45"/>
        <v>73</v>
      </c>
      <c r="G246" s="20">
        <f t="shared" si="45"/>
        <v>40</v>
      </c>
      <c r="H246" s="20">
        <f>SUM(H224:H245)</f>
        <v>474</v>
      </c>
      <c r="I246" s="21">
        <f>SUM(I223:I245)</f>
        <v>240</v>
      </c>
    </row>
    <row r="247">
      <c r="A247" s="22"/>
      <c r="B247" s="22"/>
      <c r="C247" s="22"/>
      <c r="D247" s="22"/>
      <c r="E247" s="22"/>
      <c r="F247" s="23" t="s">
        <v>34</v>
      </c>
      <c r="G247" s="4"/>
      <c r="H247" s="24"/>
      <c r="I247" s="25"/>
    </row>
    <row r="249">
      <c r="A249" s="22"/>
      <c r="B249" s="22"/>
      <c r="C249" s="22"/>
      <c r="D249" s="22"/>
      <c r="E249" s="22"/>
      <c r="F249" s="22"/>
      <c r="G249" s="22"/>
      <c r="H249" s="22"/>
      <c r="I249" s="22"/>
    </row>
    <row r="250">
      <c r="A250" s="1"/>
      <c r="B250" s="2" t="s">
        <v>96</v>
      </c>
      <c r="C250" s="3"/>
      <c r="D250" s="3"/>
      <c r="E250" s="3"/>
      <c r="F250" s="3"/>
      <c r="G250" s="3"/>
      <c r="H250" s="3"/>
      <c r="I250" s="4"/>
    </row>
    <row r="251">
      <c r="A251" s="5" t="s">
        <v>1</v>
      </c>
      <c r="B251" s="6" t="s">
        <v>2</v>
      </c>
      <c r="C251" s="7" t="s">
        <v>3</v>
      </c>
      <c r="D251" s="8" t="s">
        <v>4</v>
      </c>
      <c r="E251" s="5" t="s">
        <v>5</v>
      </c>
      <c r="F251" s="5" t="s">
        <v>6</v>
      </c>
      <c r="G251" s="5" t="s">
        <v>7</v>
      </c>
      <c r="H251" s="9" t="s">
        <v>8</v>
      </c>
      <c r="I251" s="10" t="s">
        <v>9</v>
      </c>
    </row>
    <row r="252">
      <c r="A252" s="11" t="s">
        <v>10</v>
      </c>
      <c r="B252" s="12">
        <f t="shared" ref="B252:B271" si="46">H224</f>
        <v>44</v>
      </c>
      <c r="C252" s="11"/>
      <c r="D252" s="11"/>
      <c r="E252" s="13">
        <v>17.0</v>
      </c>
      <c r="F252" s="13">
        <v>5.0</v>
      </c>
      <c r="G252" s="12">
        <f t="shared" ref="G252:G273" si="47">E252-F252</f>
        <v>12</v>
      </c>
      <c r="H252" s="12">
        <f t="shared" ref="H252:H273" si="48">B252-C252+D252-G252</f>
        <v>32</v>
      </c>
      <c r="I252" s="14">
        <f t="shared" ref="I252:I273" si="49">G252*6</f>
        <v>72</v>
      </c>
    </row>
    <row r="253">
      <c r="A253" s="11" t="s">
        <v>11</v>
      </c>
      <c r="B253" s="12">
        <f t="shared" si="46"/>
        <v>21</v>
      </c>
      <c r="C253" s="17"/>
      <c r="D253" s="11"/>
      <c r="E253" s="13">
        <v>7.0</v>
      </c>
      <c r="F253" s="13">
        <v>5.0</v>
      </c>
      <c r="G253" s="12">
        <f t="shared" si="47"/>
        <v>2</v>
      </c>
      <c r="H253" s="12">
        <f t="shared" si="48"/>
        <v>19</v>
      </c>
      <c r="I253" s="14">
        <f t="shared" si="49"/>
        <v>12</v>
      </c>
    </row>
    <row r="254">
      <c r="A254" s="11" t="s">
        <v>12</v>
      </c>
      <c r="B254" s="12">
        <f t="shared" si="46"/>
        <v>18</v>
      </c>
      <c r="C254" s="11"/>
      <c r="D254" s="11"/>
      <c r="E254" s="13">
        <v>13.0</v>
      </c>
      <c r="F254" s="13">
        <v>5.0</v>
      </c>
      <c r="G254" s="12">
        <f t="shared" si="47"/>
        <v>8</v>
      </c>
      <c r="H254" s="12">
        <f t="shared" si="48"/>
        <v>10</v>
      </c>
      <c r="I254" s="14">
        <f t="shared" si="49"/>
        <v>48</v>
      </c>
    </row>
    <row r="255">
      <c r="A255" s="11" t="s">
        <v>13</v>
      </c>
      <c r="B255" s="12">
        <f t="shared" si="46"/>
        <v>22</v>
      </c>
      <c r="C255" s="11"/>
      <c r="D255" s="11"/>
      <c r="E255" s="13">
        <v>9.0</v>
      </c>
      <c r="F255" s="13">
        <v>6.0</v>
      </c>
      <c r="G255" s="12">
        <f t="shared" si="47"/>
        <v>3</v>
      </c>
      <c r="H255" s="12">
        <f t="shared" si="48"/>
        <v>19</v>
      </c>
      <c r="I255" s="14">
        <f t="shared" si="49"/>
        <v>18</v>
      </c>
    </row>
    <row r="256">
      <c r="A256" s="11" t="s">
        <v>14</v>
      </c>
      <c r="B256" s="12">
        <f t="shared" si="46"/>
        <v>4</v>
      </c>
      <c r="C256" s="11"/>
      <c r="D256" s="13">
        <v>31.0</v>
      </c>
      <c r="E256" s="13">
        <v>4.0</v>
      </c>
      <c r="F256" s="13">
        <v>3.0</v>
      </c>
      <c r="G256" s="12">
        <f t="shared" si="47"/>
        <v>1</v>
      </c>
      <c r="H256" s="12">
        <f t="shared" si="48"/>
        <v>34</v>
      </c>
      <c r="I256" s="14">
        <f t="shared" si="49"/>
        <v>6</v>
      </c>
    </row>
    <row r="257">
      <c r="A257" s="11" t="s">
        <v>15</v>
      </c>
      <c r="B257" s="12">
        <f t="shared" si="46"/>
        <v>20</v>
      </c>
      <c r="C257" s="11"/>
      <c r="D257" s="11"/>
      <c r="E257" s="13">
        <v>8.0</v>
      </c>
      <c r="F257" s="13">
        <v>6.0</v>
      </c>
      <c r="G257" s="12">
        <f t="shared" si="47"/>
        <v>2</v>
      </c>
      <c r="H257" s="12">
        <f t="shared" si="48"/>
        <v>18</v>
      </c>
      <c r="I257" s="14">
        <f t="shared" si="49"/>
        <v>12</v>
      </c>
    </row>
    <row r="258">
      <c r="A258" s="11" t="s">
        <v>16</v>
      </c>
      <c r="B258" s="12">
        <f t="shared" si="46"/>
        <v>21</v>
      </c>
      <c r="C258" s="13">
        <v>1.0</v>
      </c>
      <c r="D258" s="11"/>
      <c r="E258" s="13">
        <v>6.0</v>
      </c>
      <c r="F258" s="13">
        <v>4.0</v>
      </c>
      <c r="G258" s="12">
        <f t="shared" si="47"/>
        <v>2</v>
      </c>
      <c r="H258" s="12">
        <f t="shared" si="48"/>
        <v>18</v>
      </c>
      <c r="I258" s="14">
        <f t="shared" si="49"/>
        <v>12</v>
      </c>
    </row>
    <row r="259">
      <c r="A259" s="11" t="s">
        <v>17</v>
      </c>
      <c r="B259" s="12">
        <f t="shared" si="46"/>
        <v>32</v>
      </c>
      <c r="C259" s="11"/>
      <c r="D259" s="11"/>
      <c r="E259" s="13">
        <v>4.0</v>
      </c>
      <c r="F259" s="13">
        <v>4.0</v>
      </c>
      <c r="G259" s="12">
        <f t="shared" si="47"/>
        <v>0</v>
      </c>
      <c r="H259" s="12">
        <f t="shared" si="48"/>
        <v>32</v>
      </c>
      <c r="I259" s="14">
        <f t="shared" si="49"/>
        <v>0</v>
      </c>
    </row>
    <row r="260">
      <c r="A260" s="11" t="s">
        <v>18</v>
      </c>
      <c r="B260" s="12">
        <f t="shared" si="46"/>
        <v>35</v>
      </c>
      <c r="C260" s="11"/>
      <c r="D260" s="11"/>
      <c r="E260" s="13">
        <v>8.0</v>
      </c>
      <c r="F260" s="13">
        <v>6.0</v>
      </c>
      <c r="G260" s="12">
        <f t="shared" si="47"/>
        <v>2</v>
      </c>
      <c r="H260" s="12">
        <f t="shared" si="48"/>
        <v>33</v>
      </c>
      <c r="I260" s="14">
        <f t="shared" si="49"/>
        <v>12</v>
      </c>
    </row>
    <row r="261">
      <c r="A261" s="11" t="s">
        <v>19</v>
      </c>
      <c r="B261" s="12">
        <f t="shared" si="46"/>
        <v>18</v>
      </c>
      <c r="C261" s="11"/>
      <c r="D261" s="11"/>
      <c r="E261" s="13">
        <v>9.0</v>
      </c>
      <c r="F261" s="13">
        <v>6.0</v>
      </c>
      <c r="G261" s="12">
        <f t="shared" si="47"/>
        <v>3</v>
      </c>
      <c r="H261" s="12">
        <f t="shared" si="48"/>
        <v>15</v>
      </c>
      <c r="I261" s="14">
        <f t="shared" si="49"/>
        <v>18</v>
      </c>
    </row>
    <row r="262">
      <c r="A262" s="11" t="s">
        <v>20</v>
      </c>
      <c r="B262" s="12">
        <f t="shared" si="46"/>
        <v>30</v>
      </c>
      <c r="C262" s="11"/>
      <c r="D262" s="11"/>
      <c r="E262" s="13">
        <v>7.0</v>
      </c>
      <c r="F262" s="13">
        <v>4.0</v>
      </c>
      <c r="G262" s="12">
        <f t="shared" si="47"/>
        <v>3</v>
      </c>
      <c r="H262" s="12">
        <f t="shared" si="48"/>
        <v>27</v>
      </c>
      <c r="I262" s="14">
        <f t="shared" si="49"/>
        <v>18</v>
      </c>
    </row>
    <row r="263">
      <c r="A263" s="11" t="s">
        <v>21</v>
      </c>
      <c r="B263" s="12">
        <f t="shared" si="46"/>
        <v>11</v>
      </c>
      <c r="C263" s="11"/>
      <c r="D263" s="11"/>
      <c r="E263" s="13">
        <v>2.0</v>
      </c>
      <c r="F263" s="13">
        <v>2.0</v>
      </c>
      <c r="G263" s="12">
        <f t="shared" si="47"/>
        <v>0</v>
      </c>
      <c r="H263" s="12">
        <f t="shared" si="48"/>
        <v>11</v>
      </c>
      <c r="I263" s="14">
        <f t="shared" si="49"/>
        <v>0</v>
      </c>
    </row>
    <row r="264">
      <c r="A264" s="11" t="s">
        <v>22</v>
      </c>
      <c r="B264" s="12">
        <f t="shared" si="46"/>
        <v>21</v>
      </c>
      <c r="C264" s="11"/>
      <c r="D264" s="11"/>
      <c r="E264" s="13">
        <v>11.0</v>
      </c>
      <c r="F264" s="13">
        <v>4.0</v>
      </c>
      <c r="G264" s="12">
        <f t="shared" si="47"/>
        <v>7</v>
      </c>
      <c r="H264" s="12">
        <f t="shared" si="48"/>
        <v>14</v>
      </c>
      <c r="I264" s="14">
        <f t="shared" si="49"/>
        <v>42</v>
      </c>
    </row>
    <row r="265">
      <c r="A265" s="11" t="s">
        <v>23</v>
      </c>
      <c r="B265" s="12">
        <f t="shared" si="46"/>
        <v>23</v>
      </c>
      <c r="C265" s="17"/>
      <c r="D265" s="11"/>
      <c r="E265" s="13">
        <v>6.0</v>
      </c>
      <c r="F265" s="13">
        <v>5.0</v>
      </c>
      <c r="G265" s="12">
        <f t="shared" si="47"/>
        <v>1</v>
      </c>
      <c r="H265" s="12">
        <f t="shared" si="48"/>
        <v>22</v>
      </c>
      <c r="I265" s="14">
        <f t="shared" si="49"/>
        <v>6</v>
      </c>
    </row>
    <row r="266">
      <c r="A266" s="11" t="s">
        <v>24</v>
      </c>
      <c r="B266" s="12">
        <f t="shared" si="46"/>
        <v>28</v>
      </c>
      <c r="C266" s="11"/>
      <c r="D266" s="11"/>
      <c r="E266" s="13">
        <v>4.0</v>
      </c>
      <c r="F266" s="13">
        <v>3.0</v>
      </c>
      <c r="G266" s="12">
        <f t="shared" si="47"/>
        <v>1</v>
      </c>
      <c r="H266" s="12">
        <f t="shared" si="48"/>
        <v>27</v>
      </c>
      <c r="I266" s="14">
        <f t="shared" si="49"/>
        <v>6</v>
      </c>
    </row>
    <row r="267">
      <c r="A267" s="11" t="s">
        <v>25</v>
      </c>
      <c r="B267" s="12">
        <f t="shared" si="46"/>
        <v>30</v>
      </c>
      <c r="C267" s="11"/>
      <c r="D267" s="11"/>
      <c r="E267" s="13">
        <v>12.0</v>
      </c>
      <c r="F267" s="13">
        <v>6.0</v>
      </c>
      <c r="G267" s="12">
        <f t="shared" si="47"/>
        <v>6</v>
      </c>
      <c r="H267" s="12">
        <f t="shared" si="48"/>
        <v>24</v>
      </c>
      <c r="I267" s="14">
        <f t="shared" si="49"/>
        <v>36</v>
      </c>
    </row>
    <row r="268">
      <c r="A268" s="11" t="s">
        <v>26</v>
      </c>
      <c r="B268" s="12">
        <f t="shared" si="46"/>
        <v>32</v>
      </c>
      <c r="C268" s="11"/>
      <c r="D268" s="11"/>
      <c r="E268" s="13">
        <v>12.0</v>
      </c>
      <c r="F268" s="13">
        <v>6.0</v>
      </c>
      <c r="G268" s="12">
        <f t="shared" si="47"/>
        <v>6</v>
      </c>
      <c r="H268" s="12">
        <f t="shared" si="48"/>
        <v>26</v>
      </c>
      <c r="I268" s="14">
        <f t="shared" si="49"/>
        <v>36</v>
      </c>
    </row>
    <row r="269">
      <c r="A269" s="11" t="s">
        <v>27</v>
      </c>
      <c r="B269" s="12">
        <f t="shared" si="46"/>
        <v>6</v>
      </c>
      <c r="C269" s="13">
        <v>1.0</v>
      </c>
      <c r="D269" s="13">
        <v>31.0</v>
      </c>
      <c r="E269" s="13">
        <v>4.0</v>
      </c>
      <c r="F269" s="13">
        <v>1.0</v>
      </c>
      <c r="G269" s="12">
        <f t="shared" si="47"/>
        <v>3</v>
      </c>
      <c r="H269" s="12">
        <f t="shared" si="48"/>
        <v>33</v>
      </c>
      <c r="I269" s="14">
        <f t="shared" si="49"/>
        <v>18</v>
      </c>
    </row>
    <row r="270">
      <c r="A270" s="11" t="s">
        <v>28</v>
      </c>
      <c r="B270" s="12">
        <f t="shared" si="46"/>
        <v>18</v>
      </c>
      <c r="C270" s="11"/>
      <c r="D270" s="11"/>
      <c r="E270" s="13">
        <v>9.0</v>
      </c>
      <c r="F270" s="13">
        <v>5.0</v>
      </c>
      <c r="G270" s="12">
        <f t="shared" si="47"/>
        <v>4</v>
      </c>
      <c r="H270" s="12">
        <f t="shared" si="48"/>
        <v>14</v>
      </c>
      <c r="I270" s="14">
        <f t="shared" si="49"/>
        <v>24</v>
      </c>
    </row>
    <row r="271">
      <c r="A271" s="11" t="s">
        <v>30</v>
      </c>
      <c r="B271" s="12">
        <f t="shared" si="46"/>
        <v>6</v>
      </c>
      <c r="C271" s="13">
        <v>5.0</v>
      </c>
      <c r="D271" s="13">
        <v>31.0</v>
      </c>
      <c r="E271" s="13">
        <v>1.0</v>
      </c>
      <c r="F271" s="13">
        <v>0.0</v>
      </c>
      <c r="G271" s="12">
        <f t="shared" si="47"/>
        <v>1</v>
      </c>
      <c r="H271" s="12">
        <f t="shared" si="48"/>
        <v>31</v>
      </c>
      <c r="I271" s="14">
        <f t="shared" si="49"/>
        <v>6</v>
      </c>
    </row>
    <row r="272">
      <c r="A272" s="18" t="s">
        <v>31</v>
      </c>
      <c r="B272" s="12">
        <v>21.0</v>
      </c>
      <c r="C272" s="11"/>
      <c r="D272" s="11"/>
      <c r="E272" s="13">
        <v>4.0</v>
      </c>
      <c r="F272" s="13">
        <v>4.0</v>
      </c>
      <c r="G272" s="12">
        <f t="shared" si="47"/>
        <v>0</v>
      </c>
      <c r="H272" s="12">
        <f t="shared" si="48"/>
        <v>21</v>
      </c>
      <c r="I272" s="14">
        <f t="shared" si="49"/>
        <v>0</v>
      </c>
    </row>
    <row r="273">
      <c r="A273" s="18" t="s">
        <v>32</v>
      </c>
      <c r="B273" s="12">
        <f>H245</f>
        <v>16</v>
      </c>
      <c r="C273" s="11"/>
      <c r="D273" s="11"/>
      <c r="E273" s="13">
        <v>3.0</v>
      </c>
      <c r="F273" s="13">
        <v>2.0</v>
      </c>
      <c r="G273" s="12">
        <f t="shared" si="47"/>
        <v>1</v>
      </c>
      <c r="H273" s="12">
        <f t="shared" si="48"/>
        <v>15</v>
      </c>
      <c r="I273" s="14">
        <f t="shared" si="49"/>
        <v>6</v>
      </c>
    </row>
    <row r="274">
      <c r="A274" s="19" t="s">
        <v>33</v>
      </c>
      <c r="B274" s="20">
        <f>SUM(B252:B273)</f>
        <v>477</v>
      </c>
      <c r="C274" s="19"/>
      <c r="D274" s="19"/>
      <c r="E274" s="20">
        <f t="shared" ref="E274:G274" si="50">SUM(E251:E273)</f>
        <v>160</v>
      </c>
      <c r="F274" s="20">
        <f t="shared" si="50"/>
        <v>92</v>
      </c>
      <c r="G274" s="20">
        <f t="shared" si="50"/>
        <v>68</v>
      </c>
      <c r="H274" s="20">
        <f>SUM(H252:H273)</f>
        <v>495</v>
      </c>
      <c r="I274" s="21">
        <f>SUM(I251:I273)</f>
        <v>408</v>
      </c>
    </row>
    <row r="275">
      <c r="A275" s="22"/>
      <c r="B275" s="22"/>
      <c r="C275" s="22"/>
      <c r="D275" s="22"/>
      <c r="E275" s="22"/>
      <c r="F275" s="23" t="s">
        <v>34</v>
      </c>
      <c r="G275" s="4"/>
      <c r="H275" s="24"/>
      <c r="I275" s="25"/>
    </row>
    <row r="277">
      <c r="A277" s="22"/>
      <c r="B277" s="22"/>
      <c r="C277" s="22"/>
      <c r="D277" s="22"/>
      <c r="E277" s="22"/>
      <c r="F277" s="22"/>
      <c r="G277" s="22"/>
      <c r="H277" s="22"/>
      <c r="I277" s="22"/>
    </row>
    <row r="278">
      <c r="A278" s="1"/>
      <c r="B278" s="2" t="s">
        <v>97</v>
      </c>
      <c r="C278" s="3"/>
      <c r="D278" s="3"/>
      <c r="E278" s="3"/>
      <c r="F278" s="3"/>
      <c r="G278" s="3"/>
      <c r="H278" s="3"/>
      <c r="I278" s="4"/>
    </row>
    <row r="279">
      <c r="A279" s="5" t="s">
        <v>1</v>
      </c>
      <c r="B279" s="6" t="s">
        <v>2</v>
      </c>
      <c r="C279" s="7" t="s">
        <v>3</v>
      </c>
      <c r="D279" s="8" t="s">
        <v>4</v>
      </c>
      <c r="E279" s="5" t="s">
        <v>5</v>
      </c>
      <c r="F279" s="5" t="s">
        <v>6</v>
      </c>
      <c r="G279" s="5" t="s">
        <v>7</v>
      </c>
      <c r="H279" s="9" t="s">
        <v>8</v>
      </c>
      <c r="I279" s="10" t="s">
        <v>9</v>
      </c>
    </row>
    <row r="280">
      <c r="A280" s="11" t="s">
        <v>10</v>
      </c>
      <c r="B280" s="12">
        <f t="shared" ref="B280:B299" si="51">H252</f>
        <v>32</v>
      </c>
      <c r="C280" s="11"/>
      <c r="D280" s="11"/>
      <c r="E280" s="13">
        <v>6.0</v>
      </c>
      <c r="F280" s="13">
        <v>5.0</v>
      </c>
      <c r="G280" s="12">
        <f t="shared" ref="G280:G285" si="52">E280-F280</f>
        <v>1</v>
      </c>
      <c r="H280" s="12">
        <f t="shared" ref="H280:H301" si="53">B280-C280+D280-G280</f>
        <v>31</v>
      </c>
      <c r="I280" s="14">
        <f t="shared" ref="I280:I301" si="54">G280*6</f>
        <v>6</v>
      </c>
    </row>
    <row r="281">
      <c r="A281" s="11" t="s">
        <v>11</v>
      </c>
      <c r="B281" s="12">
        <f t="shared" si="51"/>
        <v>19</v>
      </c>
      <c r="C281" s="17"/>
      <c r="D281" s="11"/>
      <c r="E281" s="13">
        <v>6.0</v>
      </c>
      <c r="F281" s="13">
        <v>4.0</v>
      </c>
      <c r="G281" s="12">
        <f t="shared" si="52"/>
        <v>2</v>
      </c>
      <c r="H281" s="12">
        <f t="shared" si="53"/>
        <v>17</v>
      </c>
      <c r="I281" s="14">
        <f t="shared" si="54"/>
        <v>12</v>
      </c>
    </row>
    <row r="282">
      <c r="A282" s="11" t="s">
        <v>12</v>
      </c>
      <c r="B282" s="12">
        <f t="shared" si="51"/>
        <v>10</v>
      </c>
      <c r="C282" s="13">
        <v>1.0</v>
      </c>
      <c r="D282" s="11"/>
      <c r="E282" s="13">
        <v>6.0</v>
      </c>
      <c r="F282" s="13">
        <v>5.0</v>
      </c>
      <c r="G282" s="12">
        <f t="shared" si="52"/>
        <v>1</v>
      </c>
      <c r="H282" s="12">
        <f t="shared" si="53"/>
        <v>8</v>
      </c>
      <c r="I282" s="14">
        <f t="shared" si="54"/>
        <v>6</v>
      </c>
    </row>
    <row r="283">
      <c r="A283" s="11" t="s">
        <v>13</v>
      </c>
      <c r="B283" s="12">
        <f t="shared" si="51"/>
        <v>19</v>
      </c>
      <c r="C283" s="11"/>
      <c r="D283" s="11"/>
      <c r="E283" s="13">
        <v>6.0</v>
      </c>
      <c r="F283" s="13">
        <v>2.0</v>
      </c>
      <c r="G283" s="12">
        <f t="shared" si="52"/>
        <v>4</v>
      </c>
      <c r="H283" s="12">
        <f t="shared" si="53"/>
        <v>15</v>
      </c>
      <c r="I283" s="14">
        <f t="shared" si="54"/>
        <v>24</v>
      </c>
    </row>
    <row r="284">
      <c r="A284" s="11" t="s">
        <v>14</v>
      </c>
      <c r="B284" s="12">
        <f t="shared" si="51"/>
        <v>34</v>
      </c>
      <c r="C284" s="11"/>
      <c r="D284" s="11"/>
      <c r="E284" s="13">
        <v>4.0</v>
      </c>
      <c r="F284" s="13">
        <v>3.0</v>
      </c>
      <c r="G284" s="12">
        <f t="shared" si="52"/>
        <v>1</v>
      </c>
      <c r="H284" s="12">
        <f t="shared" si="53"/>
        <v>33</v>
      </c>
      <c r="I284" s="14">
        <f t="shared" si="54"/>
        <v>6</v>
      </c>
    </row>
    <row r="285">
      <c r="A285" s="11" t="s">
        <v>15</v>
      </c>
      <c r="B285" s="12">
        <f t="shared" si="51"/>
        <v>18</v>
      </c>
      <c r="C285" s="11"/>
      <c r="D285" s="11"/>
      <c r="E285" s="13">
        <v>6.0</v>
      </c>
      <c r="F285" s="13">
        <v>5.0</v>
      </c>
      <c r="G285" s="12">
        <f t="shared" si="52"/>
        <v>1</v>
      </c>
      <c r="H285" s="12">
        <f t="shared" si="53"/>
        <v>17</v>
      </c>
      <c r="I285" s="14">
        <f t="shared" si="54"/>
        <v>6</v>
      </c>
    </row>
    <row r="286">
      <c r="A286" s="11" t="s">
        <v>16</v>
      </c>
      <c r="B286" s="12">
        <f t="shared" si="51"/>
        <v>18</v>
      </c>
      <c r="C286" s="13">
        <v>16.0</v>
      </c>
      <c r="D286" s="13">
        <v>30.0</v>
      </c>
      <c r="E286" s="13">
        <v>3.0</v>
      </c>
      <c r="F286" s="13">
        <v>2.0</v>
      </c>
      <c r="G286" s="29">
        <v>1.0</v>
      </c>
      <c r="H286" s="12">
        <f t="shared" si="53"/>
        <v>31</v>
      </c>
      <c r="I286" s="14">
        <f t="shared" si="54"/>
        <v>6</v>
      </c>
    </row>
    <row r="287">
      <c r="A287" s="11" t="s">
        <v>17</v>
      </c>
      <c r="B287" s="12">
        <f t="shared" si="51"/>
        <v>32</v>
      </c>
      <c r="C287" s="11"/>
      <c r="D287" s="11"/>
      <c r="E287" s="13">
        <v>4.0</v>
      </c>
      <c r="F287" s="13">
        <v>3.0</v>
      </c>
      <c r="G287" s="12">
        <f t="shared" ref="G287:G301" si="55">E287-F287</f>
        <v>1</v>
      </c>
      <c r="H287" s="12">
        <f t="shared" si="53"/>
        <v>31</v>
      </c>
      <c r="I287" s="14">
        <f t="shared" si="54"/>
        <v>6</v>
      </c>
    </row>
    <row r="288">
      <c r="A288" s="11" t="s">
        <v>18</v>
      </c>
      <c r="B288" s="12">
        <f t="shared" si="51"/>
        <v>33</v>
      </c>
      <c r="C288" s="11"/>
      <c r="D288" s="11"/>
      <c r="E288" s="13">
        <v>6.0</v>
      </c>
      <c r="F288" s="13">
        <v>4.0</v>
      </c>
      <c r="G288" s="12">
        <f t="shared" si="55"/>
        <v>2</v>
      </c>
      <c r="H288" s="12">
        <f t="shared" si="53"/>
        <v>31</v>
      </c>
      <c r="I288" s="14">
        <f t="shared" si="54"/>
        <v>12</v>
      </c>
    </row>
    <row r="289">
      <c r="A289" s="11" t="s">
        <v>19</v>
      </c>
      <c r="B289" s="12">
        <f t="shared" si="51"/>
        <v>15</v>
      </c>
      <c r="C289" s="11"/>
      <c r="D289" s="11"/>
      <c r="E289" s="13">
        <v>6.0</v>
      </c>
      <c r="F289" s="13">
        <v>5.0</v>
      </c>
      <c r="G289" s="12">
        <f t="shared" si="55"/>
        <v>1</v>
      </c>
      <c r="H289" s="12">
        <f t="shared" si="53"/>
        <v>14</v>
      </c>
      <c r="I289" s="14">
        <f t="shared" si="54"/>
        <v>6</v>
      </c>
    </row>
    <row r="290">
      <c r="A290" s="11" t="s">
        <v>20</v>
      </c>
      <c r="B290" s="12">
        <f t="shared" si="51"/>
        <v>27</v>
      </c>
      <c r="C290" s="11"/>
      <c r="D290" s="11"/>
      <c r="E290" s="13">
        <v>6.0</v>
      </c>
      <c r="F290" s="13">
        <v>4.0</v>
      </c>
      <c r="G290" s="12">
        <f t="shared" si="55"/>
        <v>2</v>
      </c>
      <c r="H290" s="12">
        <f t="shared" si="53"/>
        <v>25</v>
      </c>
      <c r="I290" s="14">
        <f t="shared" si="54"/>
        <v>12</v>
      </c>
    </row>
    <row r="291">
      <c r="A291" s="11" t="s">
        <v>21</v>
      </c>
      <c r="B291" s="12">
        <f t="shared" si="51"/>
        <v>11</v>
      </c>
      <c r="C291" s="11"/>
      <c r="D291" s="11"/>
      <c r="E291" s="13">
        <v>2.0</v>
      </c>
      <c r="F291" s="13">
        <v>2.0</v>
      </c>
      <c r="G291" s="12">
        <f t="shared" si="55"/>
        <v>0</v>
      </c>
      <c r="H291" s="12">
        <f t="shared" si="53"/>
        <v>11</v>
      </c>
      <c r="I291" s="14">
        <f t="shared" si="54"/>
        <v>0</v>
      </c>
    </row>
    <row r="292">
      <c r="A292" s="11" t="s">
        <v>22</v>
      </c>
      <c r="B292" s="12">
        <f t="shared" si="51"/>
        <v>14</v>
      </c>
      <c r="C292" s="11"/>
      <c r="D292" s="11"/>
      <c r="E292" s="13">
        <v>5.0</v>
      </c>
      <c r="F292" s="13">
        <v>4.0</v>
      </c>
      <c r="G292" s="12">
        <f t="shared" si="55"/>
        <v>1</v>
      </c>
      <c r="H292" s="12">
        <f t="shared" si="53"/>
        <v>13</v>
      </c>
      <c r="I292" s="14">
        <f t="shared" si="54"/>
        <v>6</v>
      </c>
    </row>
    <row r="293">
      <c r="A293" s="11" t="s">
        <v>23</v>
      </c>
      <c r="B293" s="12">
        <f t="shared" si="51"/>
        <v>22</v>
      </c>
      <c r="C293" s="17"/>
      <c r="D293" s="11"/>
      <c r="E293" s="13">
        <v>6.0</v>
      </c>
      <c r="F293" s="13">
        <v>4.0</v>
      </c>
      <c r="G293" s="12">
        <f t="shared" si="55"/>
        <v>2</v>
      </c>
      <c r="H293" s="12">
        <f t="shared" si="53"/>
        <v>20</v>
      </c>
      <c r="I293" s="14">
        <f t="shared" si="54"/>
        <v>12</v>
      </c>
    </row>
    <row r="294">
      <c r="A294" s="11" t="s">
        <v>24</v>
      </c>
      <c r="B294" s="12">
        <f t="shared" si="51"/>
        <v>27</v>
      </c>
      <c r="C294" s="11"/>
      <c r="D294" s="11"/>
      <c r="E294" s="13">
        <v>4.0</v>
      </c>
      <c r="F294" s="13">
        <v>4.0</v>
      </c>
      <c r="G294" s="12">
        <f t="shared" si="55"/>
        <v>0</v>
      </c>
      <c r="H294" s="12">
        <f t="shared" si="53"/>
        <v>27</v>
      </c>
      <c r="I294" s="14">
        <f t="shared" si="54"/>
        <v>0</v>
      </c>
    </row>
    <row r="295">
      <c r="A295" s="11" t="s">
        <v>25</v>
      </c>
      <c r="B295" s="12">
        <f t="shared" si="51"/>
        <v>24</v>
      </c>
      <c r="C295" s="11"/>
      <c r="D295" s="11"/>
      <c r="E295" s="13">
        <v>10.0</v>
      </c>
      <c r="F295" s="13">
        <v>4.0</v>
      </c>
      <c r="G295" s="12">
        <f t="shared" si="55"/>
        <v>6</v>
      </c>
      <c r="H295" s="12">
        <f t="shared" si="53"/>
        <v>18</v>
      </c>
      <c r="I295" s="14">
        <f t="shared" si="54"/>
        <v>36</v>
      </c>
    </row>
    <row r="296">
      <c r="A296" s="11" t="s">
        <v>26</v>
      </c>
      <c r="B296" s="12">
        <f t="shared" si="51"/>
        <v>26</v>
      </c>
      <c r="C296" s="11"/>
      <c r="D296" s="11"/>
      <c r="E296" s="13">
        <v>6.0</v>
      </c>
      <c r="F296" s="13">
        <v>5.0</v>
      </c>
      <c r="G296" s="12">
        <f t="shared" si="55"/>
        <v>1</v>
      </c>
      <c r="H296" s="12">
        <f t="shared" si="53"/>
        <v>25</v>
      </c>
      <c r="I296" s="14">
        <f t="shared" si="54"/>
        <v>6</v>
      </c>
    </row>
    <row r="297">
      <c r="A297" s="11" t="s">
        <v>27</v>
      </c>
      <c r="B297" s="12">
        <f t="shared" si="51"/>
        <v>33</v>
      </c>
      <c r="C297" s="11"/>
      <c r="D297" s="11"/>
      <c r="E297" s="13">
        <v>4.0</v>
      </c>
      <c r="F297" s="13">
        <v>3.0</v>
      </c>
      <c r="G297" s="12">
        <f t="shared" si="55"/>
        <v>1</v>
      </c>
      <c r="H297" s="12">
        <f t="shared" si="53"/>
        <v>32</v>
      </c>
      <c r="I297" s="14">
        <f t="shared" si="54"/>
        <v>6</v>
      </c>
    </row>
    <row r="298">
      <c r="A298" s="11" t="s">
        <v>28</v>
      </c>
      <c r="B298" s="12">
        <f t="shared" si="51"/>
        <v>14</v>
      </c>
      <c r="C298" s="13">
        <v>1.0</v>
      </c>
      <c r="D298" s="11"/>
      <c r="E298" s="13">
        <v>8.0</v>
      </c>
      <c r="F298" s="13">
        <v>4.0</v>
      </c>
      <c r="G298" s="12">
        <f t="shared" si="55"/>
        <v>4</v>
      </c>
      <c r="H298" s="12">
        <f t="shared" si="53"/>
        <v>9</v>
      </c>
      <c r="I298" s="14">
        <f t="shared" si="54"/>
        <v>24</v>
      </c>
    </row>
    <row r="299">
      <c r="A299" s="11" t="s">
        <v>30</v>
      </c>
      <c r="B299" s="12">
        <f t="shared" si="51"/>
        <v>31</v>
      </c>
      <c r="C299" s="11"/>
      <c r="D299" s="11"/>
      <c r="E299" s="13">
        <v>2.0</v>
      </c>
      <c r="F299" s="13">
        <v>1.0</v>
      </c>
      <c r="G299" s="12">
        <f t="shared" si="55"/>
        <v>1</v>
      </c>
      <c r="H299" s="12">
        <f t="shared" si="53"/>
        <v>30</v>
      </c>
      <c r="I299" s="14">
        <f t="shared" si="54"/>
        <v>6</v>
      </c>
    </row>
    <row r="300">
      <c r="A300" s="18" t="s">
        <v>31</v>
      </c>
      <c r="B300" s="12">
        <v>21.0</v>
      </c>
      <c r="C300" s="11"/>
      <c r="D300" s="13">
        <v>19.0</v>
      </c>
      <c r="E300" s="13">
        <v>3.0</v>
      </c>
      <c r="F300" s="13">
        <v>3.0</v>
      </c>
      <c r="G300" s="12">
        <f t="shared" si="55"/>
        <v>0</v>
      </c>
      <c r="H300" s="12">
        <f t="shared" si="53"/>
        <v>40</v>
      </c>
      <c r="I300" s="14">
        <f t="shared" si="54"/>
        <v>0</v>
      </c>
    </row>
    <row r="301">
      <c r="A301" s="18" t="s">
        <v>32</v>
      </c>
      <c r="B301" s="12">
        <f>H273</f>
        <v>15</v>
      </c>
      <c r="C301" s="11"/>
      <c r="D301" s="11"/>
      <c r="E301" s="13">
        <v>3.0</v>
      </c>
      <c r="F301" s="13">
        <v>3.0</v>
      </c>
      <c r="G301" s="12">
        <f t="shared" si="55"/>
        <v>0</v>
      </c>
      <c r="H301" s="12">
        <f t="shared" si="53"/>
        <v>15</v>
      </c>
      <c r="I301" s="14">
        <f t="shared" si="54"/>
        <v>0</v>
      </c>
    </row>
    <row r="302">
      <c r="A302" s="19" t="s">
        <v>33</v>
      </c>
      <c r="B302" s="20">
        <f>SUM(B280:B301)</f>
        <v>495</v>
      </c>
      <c r="C302" s="19"/>
      <c r="D302" s="19"/>
      <c r="E302" s="20">
        <f t="shared" ref="E302:G302" si="56">SUM(E279:E301)</f>
        <v>112</v>
      </c>
      <c r="F302" s="20">
        <f t="shared" si="56"/>
        <v>79</v>
      </c>
      <c r="G302" s="20">
        <f t="shared" si="56"/>
        <v>33</v>
      </c>
      <c r="H302" s="20">
        <f>SUM(H280:H301)</f>
        <v>493</v>
      </c>
      <c r="I302" s="21">
        <f>SUM(I279:I301)</f>
        <v>198</v>
      </c>
    </row>
    <row r="303">
      <c r="A303" s="22"/>
      <c r="B303" s="22"/>
      <c r="C303" s="22"/>
      <c r="D303" s="22"/>
      <c r="E303" s="22"/>
      <c r="F303" s="23" t="s">
        <v>34</v>
      </c>
      <c r="G303" s="4"/>
      <c r="H303" s="24"/>
      <c r="I303" s="25"/>
    </row>
    <row r="305">
      <c r="A305" s="22"/>
      <c r="B305" s="22"/>
      <c r="C305" s="22"/>
      <c r="D305" s="22"/>
      <c r="E305" s="22"/>
      <c r="F305" s="22"/>
      <c r="G305" s="22"/>
      <c r="H305" s="22"/>
      <c r="I305" s="22"/>
    </row>
    <row r="306">
      <c r="A306" s="1"/>
      <c r="B306" s="2" t="s">
        <v>98</v>
      </c>
      <c r="C306" s="3"/>
      <c r="D306" s="3"/>
      <c r="E306" s="3"/>
      <c r="F306" s="3"/>
      <c r="G306" s="3"/>
      <c r="H306" s="3"/>
      <c r="I306" s="4"/>
    </row>
    <row r="307">
      <c r="A307" s="5" t="s">
        <v>1</v>
      </c>
      <c r="B307" s="6" t="s">
        <v>2</v>
      </c>
      <c r="C307" s="7" t="s">
        <v>3</v>
      </c>
      <c r="D307" s="8" t="s">
        <v>4</v>
      </c>
      <c r="E307" s="5" t="s">
        <v>5</v>
      </c>
      <c r="F307" s="5" t="s">
        <v>6</v>
      </c>
      <c r="G307" s="5" t="s">
        <v>7</v>
      </c>
      <c r="H307" s="9" t="s">
        <v>8</v>
      </c>
      <c r="I307" s="10" t="s">
        <v>9</v>
      </c>
    </row>
    <row r="308">
      <c r="A308" s="11" t="s">
        <v>10</v>
      </c>
      <c r="B308" s="12">
        <f t="shared" ref="B308:B327" si="57">H280</f>
        <v>31</v>
      </c>
      <c r="C308" s="13">
        <v>7.0</v>
      </c>
      <c r="D308" s="11"/>
      <c r="E308" s="13">
        <v>6.0</v>
      </c>
      <c r="F308" s="13">
        <v>5.0</v>
      </c>
      <c r="G308" s="12">
        <f t="shared" ref="G308:G329" si="58">E308-F308</f>
        <v>1</v>
      </c>
      <c r="H308" s="12">
        <f t="shared" ref="H308:H329" si="59">B308-C308+D308-G308</f>
        <v>23</v>
      </c>
      <c r="I308" s="14">
        <f t="shared" ref="I308:I329" si="60">G308*6</f>
        <v>6</v>
      </c>
    </row>
    <row r="309">
      <c r="A309" s="11" t="s">
        <v>11</v>
      </c>
      <c r="B309" s="12">
        <f t="shared" si="57"/>
        <v>17</v>
      </c>
      <c r="C309" s="17"/>
      <c r="D309" s="11"/>
      <c r="E309" s="13">
        <v>6.0</v>
      </c>
      <c r="F309" s="13">
        <v>4.0</v>
      </c>
      <c r="G309" s="12">
        <f t="shared" si="58"/>
        <v>2</v>
      </c>
      <c r="H309" s="12">
        <f t="shared" si="59"/>
        <v>15</v>
      </c>
      <c r="I309" s="14">
        <f t="shared" si="60"/>
        <v>12</v>
      </c>
    </row>
    <row r="310">
      <c r="A310" s="11" t="s">
        <v>12</v>
      </c>
      <c r="B310" s="12">
        <f t="shared" si="57"/>
        <v>8</v>
      </c>
      <c r="C310" s="13"/>
      <c r="D310" s="11"/>
      <c r="E310" s="13">
        <v>6.0</v>
      </c>
      <c r="F310" s="13">
        <v>6.0</v>
      </c>
      <c r="G310" s="12">
        <f t="shared" si="58"/>
        <v>0</v>
      </c>
      <c r="H310" s="12">
        <f t="shared" si="59"/>
        <v>8</v>
      </c>
      <c r="I310" s="14">
        <f t="shared" si="60"/>
        <v>0</v>
      </c>
    </row>
    <row r="311">
      <c r="A311" s="11" t="s">
        <v>13</v>
      </c>
      <c r="B311" s="12">
        <f t="shared" si="57"/>
        <v>15</v>
      </c>
      <c r="C311" s="11"/>
      <c r="D311" s="11"/>
      <c r="E311" s="13">
        <v>6.0</v>
      </c>
      <c r="F311" s="13">
        <v>3.0</v>
      </c>
      <c r="G311" s="12">
        <f t="shared" si="58"/>
        <v>3</v>
      </c>
      <c r="H311" s="12">
        <f t="shared" si="59"/>
        <v>12</v>
      </c>
      <c r="I311" s="14">
        <f t="shared" si="60"/>
        <v>18</v>
      </c>
    </row>
    <row r="312">
      <c r="A312" s="11" t="s">
        <v>14</v>
      </c>
      <c r="B312" s="12">
        <f t="shared" si="57"/>
        <v>33</v>
      </c>
      <c r="C312" s="11"/>
      <c r="D312" s="11"/>
      <c r="E312" s="13">
        <v>4.0</v>
      </c>
      <c r="F312" s="13">
        <v>3.0</v>
      </c>
      <c r="G312" s="12">
        <f t="shared" si="58"/>
        <v>1</v>
      </c>
      <c r="H312" s="12">
        <f t="shared" si="59"/>
        <v>32</v>
      </c>
      <c r="I312" s="14">
        <f t="shared" si="60"/>
        <v>6</v>
      </c>
    </row>
    <row r="313">
      <c r="A313" s="11" t="s">
        <v>15</v>
      </c>
      <c r="B313" s="12">
        <f t="shared" si="57"/>
        <v>17</v>
      </c>
      <c r="C313" s="11"/>
      <c r="D313" s="11"/>
      <c r="E313" s="13">
        <v>6.0</v>
      </c>
      <c r="F313" s="13">
        <v>6.0</v>
      </c>
      <c r="G313" s="12">
        <f t="shared" si="58"/>
        <v>0</v>
      </c>
      <c r="H313" s="12">
        <f t="shared" si="59"/>
        <v>17</v>
      </c>
      <c r="I313" s="14">
        <f t="shared" si="60"/>
        <v>0</v>
      </c>
    </row>
    <row r="314">
      <c r="A314" s="11" t="s">
        <v>16</v>
      </c>
      <c r="B314" s="12">
        <f t="shared" si="57"/>
        <v>31</v>
      </c>
      <c r="C314" s="11"/>
      <c r="D314" s="11"/>
      <c r="E314" s="13">
        <v>5.0</v>
      </c>
      <c r="F314" s="13">
        <v>3.0</v>
      </c>
      <c r="G314" s="12">
        <f t="shared" si="58"/>
        <v>2</v>
      </c>
      <c r="H314" s="12">
        <f t="shared" si="59"/>
        <v>29</v>
      </c>
      <c r="I314" s="14">
        <f t="shared" si="60"/>
        <v>12</v>
      </c>
    </row>
    <row r="315">
      <c r="A315" s="11" t="s">
        <v>17</v>
      </c>
      <c r="B315" s="12">
        <f t="shared" si="57"/>
        <v>31</v>
      </c>
      <c r="C315" s="11"/>
      <c r="D315" s="11"/>
      <c r="E315" s="13">
        <v>4.0</v>
      </c>
      <c r="F315" s="13">
        <v>4.0</v>
      </c>
      <c r="G315" s="12">
        <f t="shared" si="58"/>
        <v>0</v>
      </c>
      <c r="H315" s="12">
        <f t="shared" si="59"/>
        <v>31</v>
      </c>
      <c r="I315" s="14">
        <f t="shared" si="60"/>
        <v>0</v>
      </c>
    </row>
    <row r="316">
      <c r="A316" s="11" t="s">
        <v>18</v>
      </c>
      <c r="B316" s="12">
        <f t="shared" si="57"/>
        <v>31</v>
      </c>
      <c r="C316" s="11"/>
      <c r="D316" s="11"/>
      <c r="E316" s="13">
        <v>6.0</v>
      </c>
      <c r="F316" s="13">
        <v>6.0</v>
      </c>
      <c r="G316" s="12">
        <f t="shared" si="58"/>
        <v>0</v>
      </c>
      <c r="H316" s="12">
        <f t="shared" si="59"/>
        <v>31</v>
      </c>
      <c r="I316" s="14">
        <f t="shared" si="60"/>
        <v>0</v>
      </c>
    </row>
    <row r="317">
      <c r="A317" s="11" t="s">
        <v>19</v>
      </c>
      <c r="B317" s="12">
        <f t="shared" si="57"/>
        <v>14</v>
      </c>
      <c r="C317" s="11"/>
      <c r="D317" s="11"/>
      <c r="E317" s="13">
        <v>6.0</v>
      </c>
      <c r="F317" s="13">
        <v>6.0</v>
      </c>
      <c r="G317" s="12">
        <f t="shared" si="58"/>
        <v>0</v>
      </c>
      <c r="H317" s="12">
        <f t="shared" si="59"/>
        <v>14</v>
      </c>
      <c r="I317" s="14">
        <f t="shared" si="60"/>
        <v>0</v>
      </c>
    </row>
    <row r="318">
      <c r="A318" s="11" t="s">
        <v>20</v>
      </c>
      <c r="B318" s="12">
        <f t="shared" si="57"/>
        <v>25</v>
      </c>
      <c r="C318" s="11"/>
      <c r="D318" s="11"/>
      <c r="E318" s="13">
        <v>6.0</v>
      </c>
      <c r="F318" s="13">
        <v>6.0</v>
      </c>
      <c r="G318" s="12">
        <f t="shared" si="58"/>
        <v>0</v>
      </c>
      <c r="H318" s="12">
        <f t="shared" si="59"/>
        <v>25</v>
      </c>
      <c r="I318" s="14">
        <f t="shared" si="60"/>
        <v>0</v>
      </c>
    </row>
    <row r="319">
      <c r="A319" s="11" t="s">
        <v>21</v>
      </c>
      <c r="B319" s="12">
        <f t="shared" si="57"/>
        <v>11</v>
      </c>
      <c r="C319" s="11"/>
      <c r="D319" s="11"/>
      <c r="E319" s="13">
        <v>2.0</v>
      </c>
      <c r="F319" s="13">
        <v>1.0</v>
      </c>
      <c r="G319" s="12">
        <f t="shared" si="58"/>
        <v>1</v>
      </c>
      <c r="H319" s="12">
        <f t="shared" si="59"/>
        <v>10</v>
      </c>
      <c r="I319" s="14">
        <f t="shared" si="60"/>
        <v>6</v>
      </c>
    </row>
    <row r="320">
      <c r="A320" s="11" t="s">
        <v>22</v>
      </c>
      <c r="B320" s="12">
        <f t="shared" si="57"/>
        <v>13</v>
      </c>
      <c r="C320" s="11"/>
      <c r="D320" s="11"/>
      <c r="E320" s="13">
        <v>5.0</v>
      </c>
      <c r="F320" s="13">
        <v>5.0</v>
      </c>
      <c r="G320" s="12">
        <f t="shared" si="58"/>
        <v>0</v>
      </c>
      <c r="H320" s="12">
        <f t="shared" si="59"/>
        <v>13</v>
      </c>
      <c r="I320" s="14">
        <f t="shared" si="60"/>
        <v>0</v>
      </c>
    </row>
    <row r="321">
      <c r="A321" s="11" t="s">
        <v>23</v>
      </c>
      <c r="B321" s="12">
        <f t="shared" si="57"/>
        <v>20</v>
      </c>
      <c r="C321" s="17"/>
      <c r="D321" s="11"/>
      <c r="E321" s="13">
        <v>6.0</v>
      </c>
      <c r="F321" s="13">
        <v>5.0</v>
      </c>
      <c r="G321" s="12">
        <f t="shared" si="58"/>
        <v>1</v>
      </c>
      <c r="H321" s="12">
        <f t="shared" si="59"/>
        <v>19</v>
      </c>
      <c r="I321" s="14">
        <f t="shared" si="60"/>
        <v>6</v>
      </c>
    </row>
    <row r="322">
      <c r="A322" s="11" t="s">
        <v>24</v>
      </c>
      <c r="B322" s="12">
        <f t="shared" si="57"/>
        <v>27</v>
      </c>
      <c r="C322" s="11"/>
      <c r="D322" s="11"/>
      <c r="E322" s="13">
        <v>4.0</v>
      </c>
      <c r="F322" s="13">
        <v>3.0</v>
      </c>
      <c r="G322" s="12">
        <f t="shared" si="58"/>
        <v>1</v>
      </c>
      <c r="H322" s="12">
        <f t="shared" si="59"/>
        <v>26</v>
      </c>
      <c r="I322" s="14">
        <f t="shared" si="60"/>
        <v>6</v>
      </c>
    </row>
    <row r="323">
      <c r="A323" s="11" t="s">
        <v>25</v>
      </c>
      <c r="B323" s="12">
        <f t="shared" si="57"/>
        <v>18</v>
      </c>
      <c r="C323" s="11"/>
      <c r="D323" s="11"/>
      <c r="E323" s="13">
        <v>10.0</v>
      </c>
      <c r="F323" s="13">
        <v>6.0</v>
      </c>
      <c r="G323" s="12">
        <f t="shared" si="58"/>
        <v>4</v>
      </c>
      <c r="H323" s="12">
        <f t="shared" si="59"/>
        <v>14</v>
      </c>
      <c r="I323" s="14">
        <f t="shared" si="60"/>
        <v>24</v>
      </c>
    </row>
    <row r="324">
      <c r="A324" s="11" t="s">
        <v>26</v>
      </c>
      <c r="B324" s="12">
        <f t="shared" si="57"/>
        <v>25</v>
      </c>
      <c r="C324" s="11"/>
      <c r="D324" s="11"/>
      <c r="E324" s="13">
        <v>6.0</v>
      </c>
      <c r="F324" s="13">
        <v>5.0</v>
      </c>
      <c r="G324" s="12">
        <f t="shared" si="58"/>
        <v>1</v>
      </c>
      <c r="H324" s="12">
        <f t="shared" si="59"/>
        <v>24</v>
      </c>
      <c r="I324" s="14">
        <f t="shared" si="60"/>
        <v>6</v>
      </c>
    </row>
    <row r="325">
      <c r="A325" s="11" t="s">
        <v>27</v>
      </c>
      <c r="B325" s="12">
        <f t="shared" si="57"/>
        <v>32</v>
      </c>
      <c r="C325" s="11"/>
      <c r="D325" s="11"/>
      <c r="E325" s="13">
        <v>4.0</v>
      </c>
      <c r="F325" s="13">
        <v>3.0</v>
      </c>
      <c r="G325" s="12">
        <f t="shared" si="58"/>
        <v>1</v>
      </c>
      <c r="H325" s="12">
        <f t="shared" si="59"/>
        <v>31</v>
      </c>
      <c r="I325" s="14">
        <f t="shared" si="60"/>
        <v>6</v>
      </c>
    </row>
    <row r="326">
      <c r="A326" s="11" t="s">
        <v>28</v>
      </c>
      <c r="B326" s="12">
        <f t="shared" si="57"/>
        <v>9</v>
      </c>
      <c r="C326" s="11"/>
      <c r="D326" s="11"/>
      <c r="E326" s="13">
        <v>8.0</v>
      </c>
      <c r="F326" s="13">
        <v>4.0</v>
      </c>
      <c r="G326" s="12">
        <f t="shared" si="58"/>
        <v>4</v>
      </c>
      <c r="H326" s="12">
        <f t="shared" si="59"/>
        <v>5</v>
      </c>
      <c r="I326" s="14">
        <f t="shared" si="60"/>
        <v>24</v>
      </c>
    </row>
    <row r="327">
      <c r="A327" s="11" t="s">
        <v>30</v>
      </c>
      <c r="B327" s="12">
        <f t="shared" si="57"/>
        <v>30</v>
      </c>
      <c r="C327" s="11"/>
      <c r="D327" s="11"/>
      <c r="E327" s="13">
        <v>2.0</v>
      </c>
      <c r="F327" s="13">
        <v>2.0</v>
      </c>
      <c r="G327" s="12">
        <f t="shared" si="58"/>
        <v>0</v>
      </c>
      <c r="H327" s="12">
        <f t="shared" si="59"/>
        <v>30</v>
      </c>
      <c r="I327" s="14">
        <f t="shared" si="60"/>
        <v>0</v>
      </c>
    </row>
    <row r="328">
      <c r="A328" s="18" t="s">
        <v>31</v>
      </c>
      <c r="B328" s="12">
        <v>21.0</v>
      </c>
      <c r="C328" s="11"/>
      <c r="D328" s="11"/>
      <c r="E328" s="13">
        <v>3.0</v>
      </c>
      <c r="F328" s="13">
        <v>3.0</v>
      </c>
      <c r="G328" s="12">
        <f t="shared" si="58"/>
        <v>0</v>
      </c>
      <c r="H328" s="12">
        <f t="shared" si="59"/>
        <v>21</v>
      </c>
      <c r="I328" s="14">
        <f t="shared" si="60"/>
        <v>0</v>
      </c>
    </row>
    <row r="329">
      <c r="A329" s="18" t="s">
        <v>32</v>
      </c>
      <c r="B329" s="12">
        <f>H301</f>
        <v>15</v>
      </c>
      <c r="C329" s="11"/>
      <c r="D329" s="11"/>
      <c r="E329" s="13">
        <v>3.0</v>
      </c>
      <c r="F329" s="13">
        <v>2.0</v>
      </c>
      <c r="G329" s="12">
        <f t="shared" si="58"/>
        <v>1</v>
      </c>
      <c r="H329" s="12">
        <f t="shared" si="59"/>
        <v>14</v>
      </c>
      <c r="I329" s="14">
        <f t="shared" si="60"/>
        <v>6</v>
      </c>
    </row>
    <row r="330">
      <c r="A330" s="19" t="s">
        <v>33</v>
      </c>
      <c r="B330" s="20">
        <f>SUM(B308:B329)</f>
        <v>474</v>
      </c>
      <c r="C330" s="19"/>
      <c r="D330" s="19"/>
      <c r="E330" s="20">
        <f t="shared" ref="E330:G330" si="61">SUM(E307:E329)</f>
        <v>114</v>
      </c>
      <c r="F330" s="20">
        <f t="shared" si="61"/>
        <v>91</v>
      </c>
      <c r="G330" s="20">
        <f t="shared" si="61"/>
        <v>23</v>
      </c>
      <c r="H330" s="20">
        <f>SUM(H308:H329)</f>
        <v>444</v>
      </c>
      <c r="I330" s="21">
        <f>SUM(I307:I329)</f>
        <v>138</v>
      </c>
    </row>
    <row r="331">
      <c r="A331" s="22"/>
      <c r="B331" s="22"/>
      <c r="C331" s="22"/>
      <c r="D331" s="22"/>
      <c r="E331" s="22"/>
      <c r="F331" s="23" t="s">
        <v>34</v>
      </c>
      <c r="G331" s="4"/>
      <c r="H331" s="24"/>
      <c r="I331" s="25"/>
    </row>
    <row r="333">
      <c r="A333" s="22"/>
      <c r="B333" s="22"/>
      <c r="C333" s="22"/>
      <c r="D333" s="22"/>
      <c r="E333" s="22"/>
      <c r="F333" s="22"/>
      <c r="G333" s="22"/>
      <c r="H333" s="22"/>
      <c r="I333" s="22"/>
    </row>
    <row r="334">
      <c r="A334" s="1"/>
      <c r="B334" s="2" t="s">
        <v>99</v>
      </c>
      <c r="C334" s="3"/>
      <c r="D334" s="3"/>
      <c r="E334" s="3"/>
      <c r="F334" s="3"/>
      <c r="G334" s="3"/>
      <c r="H334" s="3"/>
      <c r="I334" s="4"/>
    </row>
    <row r="335">
      <c r="A335" s="5" t="s">
        <v>1</v>
      </c>
      <c r="B335" s="6" t="s">
        <v>2</v>
      </c>
      <c r="C335" s="7" t="s">
        <v>3</v>
      </c>
      <c r="D335" s="8" t="s">
        <v>4</v>
      </c>
      <c r="E335" s="5" t="s">
        <v>5</v>
      </c>
      <c r="F335" s="5" t="s">
        <v>6</v>
      </c>
      <c r="G335" s="5" t="s">
        <v>7</v>
      </c>
      <c r="H335" s="9" t="s">
        <v>8</v>
      </c>
      <c r="I335" s="10" t="s">
        <v>9</v>
      </c>
    </row>
    <row r="336">
      <c r="A336" s="11" t="s">
        <v>10</v>
      </c>
      <c r="B336" s="12">
        <f t="shared" ref="B336:B355" si="62">H308</f>
        <v>23</v>
      </c>
      <c r="C336" s="11"/>
      <c r="D336" s="11"/>
      <c r="E336" s="13">
        <v>6.0</v>
      </c>
      <c r="F336" s="13">
        <v>4.0</v>
      </c>
      <c r="G336" s="12">
        <f t="shared" ref="G336:G357" si="63">E336-F336</f>
        <v>2</v>
      </c>
      <c r="H336" s="12">
        <f t="shared" ref="H336:H357" si="64">B336-C336+D336-G336</f>
        <v>21</v>
      </c>
      <c r="I336" s="14">
        <f t="shared" ref="I336:I357" si="65">G336*6</f>
        <v>12</v>
      </c>
    </row>
    <row r="337">
      <c r="A337" s="11" t="s">
        <v>11</v>
      </c>
      <c r="B337" s="12">
        <f t="shared" si="62"/>
        <v>15</v>
      </c>
      <c r="C337" s="15">
        <v>1.0</v>
      </c>
      <c r="D337" s="11"/>
      <c r="E337" s="13">
        <v>6.0</v>
      </c>
      <c r="F337" s="13">
        <v>5.0</v>
      </c>
      <c r="G337" s="12">
        <f t="shared" si="63"/>
        <v>1</v>
      </c>
      <c r="H337" s="12">
        <f t="shared" si="64"/>
        <v>13</v>
      </c>
      <c r="I337" s="14">
        <f t="shared" si="65"/>
        <v>6</v>
      </c>
    </row>
    <row r="338">
      <c r="A338" s="11" t="s">
        <v>12</v>
      </c>
      <c r="B338" s="12">
        <f t="shared" si="62"/>
        <v>8</v>
      </c>
      <c r="C338" s="11"/>
      <c r="D338" s="13">
        <v>37.0</v>
      </c>
      <c r="E338" s="13">
        <v>6.0</v>
      </c>
      <c r="F338" s="13">
        <v>5.0</v>
      </c>
      <c r="G338" s="12">
        <f t="shared" si="63"/>
        <v>1</v>
      </c>
      <c r="H338" s="12">
        <f t="shared" si="64"/>
        <v>44</v>
      </c>
      <c r="I338" s="14">
        <f t="shared" si="65"/>
        <v>6</v>
      </c>
    </row>
    <row r="339">
      <c r="A339" s="11" t="s">
        <v>13</v>
      </c>
      <c r="B339" s="12">
        <f t="shared" si="62"/>
        <v>12</v>
      </c>
      <c r="C339" s="13"/>
      <c r="D339" s="13">
        <v>28.0</v>
      </c>
      <c r="E339" s="13">
        <v>6.0</v>
      </c>
      <c r="F339" s="13">
        <v>3.0</v>
      </c>
      <c r="G339" s="12">
        <f t="shared" si="63"/>
        <v>3</v>
      </c>
      <c r="H339" s="12">
        <f t="shared" si="64"/>
        <v>37</v>
      </c>
      <c r="I339" s="14">
        <f t="shared" si="65"/>
        <v>18</v>
      </c>
    </row>
    <row r="340">
      <c r="A340" s="11" t="s">
        <v>14</v>
      </c>
      <c r="B340" s="12">
        <f t="shared" si="62"/>
        <v>32</v>
      </c>
      <c r="C340" s="11"/>
      <c r="D340" s="11"/>
      <c r="E340" s="13">
        <v>4.0</v>
      </c>
      <c r="F340" s="13">
        <v>3.0</v>
      </c>
      <c r="G340" s="12">
        <f t="shared" si="63"/>
        <v>1</v>
      </c>
      <c r="H340" s="12">
        <f t="shared" si="64"/>
        <v>31</v>
      </c>
      <c r="I340" s="14">
        <f t="shared" si="65"/>
        <v>6</v>
      </c>
    </row>
    <row r="341">
      <c r="A341" s="11" t="s">
        <v>15</v>
      </c>
      <c r="B341" s="12">
        <f t="shared" si="62"/>
        <v>17</v>
      </c>
      <c r="C341" s="11"/>
      <c r="D341" s="11"/>
      <c r="E341" s="13">
        <v>6.0</v>
      </c>
      <c r="F341" s="13">
        <v>6.0</v>
      </c>
      <c r="G341" s="12">
        <f t="shared" si="63"/>
        <v>0</v>
      </c>
      <c r="H341" s="12">
        <f t="shared" si="64"/>
        <v>17</v>
      </c>
      <c r="I341" s="14">
        <f t="shared" si="65"/>
        <v>0</v>
      </c>
    </row>
    <row r="342">
      <c r="A342" s="11" t="s">
        <v>16</v>
      </c>
      <c r="B342" s="12">
        <f t="shared" si="62"/>
        <v>29</v>
      </c>
      <c r="C342" s="11"/>
      <c r="D342" s="11"/>
      <c r="E342" s="13">
        <v>5.0</v>
      </c>
      <c r="F342" s="13">
        <v>3.0</v>
      </c>
      <c r="G342" s="12">
        <f t="shared" si="63"/>
        <v>2</v>
      </c>
      <c r="H342" s="12">
        <f t="shared" si="64"/>
        <v>27</v>
      </c>
      <c r="I342" s="14">
        <f t="shared" si="65"/>
        <v>12</v>
      </c>
    </row>
    <row r="343">
      <c r="A343" s="11" t="s">
        <v>17</v>
      </c>
      <c r="B343" s="12">
        <f t="shared" si="62"/>
        <v>31</v>
      </c>
      <c r="C343" s="11"/>
      <c r="D343" s="11"/>
      <c r="E343" s="13">
        <v>4.0</v>
      </c>
      <c r="F343" s="13">
        <v>3.0</v>
      </c>
      <c r="G343" s="12">
        <f t="shared" si="63"/>
        <v>1</v>
      </c>
      <c r="H343" s="12">
        <f t="shared" si="64"/>
        <v>30</v>
      </c>
      <c r="I343" s="14">
        <f t="shared" si="65"/>
        <v>6</v>
      </c>
    </row>
    <row r="344">
      <c r="A344" s="11" t="s">
        <v>18</v>
      </c>
      <c r="B344" s="12">
        <f t="shared" si="62"/>
        <v>31</v>
      </c>
      <c r="C344" s="11"/>
      <c r="D344" s="11"/>
      <c r="E344" s="13">
        <v>6.0</v>
      </c>
      <c r="F344" s="13">
        <v>4.0</v>
      </c>
      <c r="G344" s="12">
        <f t="shared" si="63"/>
        <v>2</v>
      </c>
      <c r="H344" s="12">
        <f t="shared" si="64"/>
        <v>29</v>
      </c>
      <c r="I344" s="14">
        <f t="shared" si="65"/>
        <v>12</v>
      </c>
    </row>
    <row r="345">
      <c r="A345" s="11" t="s">
        <v>19</v>
      </c>
      <c r="B345" s="12">
        <f t="shared" si="62"/>
        <v>14</v>
      </c>
      <c r="C345" s="11"/>
      <c r="D345" s="11"/>
      <c r="E345" s="13">
        <v>6.0</v>
      </c>
      <c r="F345" s="13">
        <v>6.0</v>
      </c>
      <c r="G345" s="12">
        <f t="shared" si="63"/>
        <v>0</v>
      </c>
      <c r="H345" s="12">
        <f t="shared" si="64"/>
        <v>14</v>
      </c>
      <c r="I345" s="14">
        <f t="shared" si="65"/>
        <v>0</v>
      </c>
    </row>
    <row r="346">
      <c r="A346" s="11" t="s">
        <v>20</v>
      </c>
      <c r="B346" s="12">
        <f t="shared" si="62"/>
        <v>25</v>
      </c>
      <c r="C346" s="11"/>
      <c r="D346" s="11"/>
      <c r="E346" s="13">
        <v>6.0</v>
      </c>
      <c r="F346" s="13">
        <v>2.0</v>
      </c>
      <c r="G346" s="12">
        <f t="shared" si="63"/>
        <v>4</v>
      </c>
      <c r="H346" s="12">
        <f t="shared" si="64"/>
        <v>21</v>
      </c>
      <c r="I346" s="14">
        <f t="shared" si="65"/>
        <v>24</v>
      </c>
    </row>
    <row r="347">
      <c r="A347" s="11" t="s">
        <v>21</v>
      </c>
      <c r="B347" s="12">
        <f t="shared" si="62"/>
        <v>10</v>
      </c>
      <c r="C347" s="11"/>
      <c r="D347" s="11"/>
      <c r="E347" s="13">
        <v>2.0</v>
      </c>
      <c r="F347" s="13">
        <v>2.0</v>
      </c>
      <c r="G347" s="12">
        <f t="shared" si="63"/>
        <v>0</v>
      </c>
      <c r="H347" s="12">
        <f t="shared" si="64"/>
        <v>10</v>
      </c>
      <c r="I347" s="14">
        <f t="shared" si="65"/>
        <v>0</v>
      </c>
    </row>
    <row r="348">
      <c r="A348" s="11" t="s">
        <v>22</v>
      </c>
      <c r="B348" s="12">
        <f t="shared" si="62"/>
        <v>13</v>
      </c>
      <c r="C348" s="13">
        <v>1.0</v>
      </c>
      <c r="D348" s="11"/>
      <c r="E348" s="13">
        <v>5.0</v>
      </c>
      <c r="F348" s="13">
        <v>5.0</v>
      </c>
      <c r="G348" s="12">
        <f t="shared" si="63"/>
        <v>0</v>
      </c>
      <c r="H348" s="12">
        <f t="shared" si="64"/>
        <v>12</v>
      </c>
      <c r="I348" s="14">
        <f t="shared" si="65"/>
        <v>0</v>
      </c>
    </row>
    <row r="349">
      <c r="A349" s="11" t="s">
        <v>23</v>
      </c>
      <c r="B349" s="12">
        <f t="shared" si="62"/>
        <v>19</v>
      </c>
      <c r="C349" s="17"/>
      <c r="D349" s="11"/>
      <c r="E349" s="13">
        <v>6.0</v>
      </c>
      <c r="F349" s="13">
        <v>5.0</v>
      </c>
      <c r="G349" s="12">
        <f t="shared" si="63"/>
        <v>1</v>
      </c>
      <c r="H349" s="12">
        <f t="shared" si="64"/>
        <v>18</v>
      </c>
      <c r="I349" s="14">
        <f t="shared" si="65"/>
        <v>6</v>
      </c>
    </row>
    <row r="350">
      <c r="A350" s="11" t="s">
        <v>24</v>
      </c>
      <c r="B350" s="12">
        <f t="shared" si="62"/>
        <v>26</v>
      </c>
      <c r="C350" s="11"/>
      <c r="D350" s="11"/>
      <c r="E350" s="13">
        <v>4.0</v>
      </c>
      <c r="F350" s="13">
        <v>4.0</v>
      </c>
      <c r="G350" s="12">
        <f t="shared" si="63"/>
        <v>0</v>
      </c>
      <c r="H350" s="12">
        <f t="shared" si="64"/>
        <v>26</v>
      </c>
      <c r="I350" s="14">
        <f t="shared" si="65"/>
        <v>0</v>
      </c>
    </row>
    <row r="351">
      <c r="A351" s="11" t="s">
        <v>25</v>
      </c>
      <c r="B351" s="12">
        <f t="shared" si="62"/>
        <v>14</v>
      </c>
      <c r="C351" s="11"/>
      <c r="D351" s="13">
        <v>30.0</v>
      </c>
      <c r="E351" s="13">
        <v>10.0</v>
      </c>
      <c r="F351" s="13">
        <v>3.0</v>
      </c>
      <c r="G351" s="12">
        <f t="shared" si="63"/>
        <v>7</v>
      </c>
      <c r="H351" s="12">
        <f t="shared" si="64"/>
        <v>37</v>
      </c>
      <c r="I351" s="14">
        <f t="shared" si="65"/>
        <v>42</v>
      </c>
    </row>
    <row r="352">
      <c r="A352" s="11" t="s">
        <v>26</v>
      </c>
      <c r="B352" s="12">
        <f t="shared" si="62"/>
        <v>24</v>
      </c>
      <c r="C352" s="11"/>
      <c r="D352" s="11"/>
      <c r="E352" s="13">
        <v>6.0</v>
      </c>
      <c r="F352" s="13">
        <v>4.0</v>
      </c>
      <c r="G352" s="12">
        <f t="shared" si="63"/>
        <v>2</v>
      </c>
      <c r="H352" s="12">
        <f t="shared" si="64"/>
        <v>22</v>
      </c>
      <c r="I352" s="14">
        <f t="shared" si="65"/>
        <v>12</v>
      </c>
    </row>
    <row r="353">
      <c r="A353" s="11" t="s">
        <v>27</v>
      </c>
      <c r="B353" s="12">
        <f t="shared" si="62"/>
        <v>31</v>
      </c>
      <c r="C353" s="11"/>
      <c r="D353" s="11"/>
      <c r="E353" s="13">
        <v>4.0</v>
      </c>
      <c r="F353" s="13">
        <v>4.0</v>
      </c>
      <c r="G353" s="12">
        <f t="shared" si="63"/>
        <v>0</v>
      </c>
      <c r="H353" s="12">
        <f t="shared" si="64"/>
        <v>31</v>
      </c>
      <c r="I353" s="14">
        <f t="shared" si="65"/>
        <v>0</v>
      </c>
    </row>
    <row r="354">
      <c r="A354" s="11" t="s">
        <v>28</v>
      </c>
      <c r="B354" s="12">
        <f t="shared" si="62"/>
        <v>5</v>
      </c>
      <c r="C354" s="11"/>
      <c r="D354" s="13">
        <v>33.0</v>
      </c>
      <c r="E354" s="13">
        <v>5.0</v>
      </c>
      <c r="F354" s="13">
        <v>0.0</v>
      </c>
      <c r="G354" s="12">
        <f t="shared" si="63"/>
        <v>5</v>
      </c>
      <c r="H354" s="12">
        <f t="shared" si="64"/>
        <v>33</v>
      </c>
      <c r="I354" s="14">
        <f t="shared" si="65"/>
        <v>30</v>
      </c>
    </row>
    <row r="355">
      <c r="A355" s="11" t="s">
        <v>30</v>
      </c>
      <c r="B355" s="12">
        <f t="shared" si="62"/>
        <v>30</v>
      </c>
      <c r="C355" s="11"/>
      <c r="D355" s="11"/>
      <c r="E355" s="13">
        <v>2.0</v>
      </c>
      <c r="F355" s="13">
        <v>0.0</v>
      </c>
      <c r="G355" s="12">
        <f t="shared" si="63"/>
        <v>2</v>
      </c>
      <c r="H355" s="12">
        <f t="shared" si="64"/>
        <v>28</v>
      </c>
      <c r="I355" s="14">
        <f t="shared" si="65"/>
        <v>12</v>
      </c>
    </row>
    <row r="356">
      <c r="A356" s="18" t="s">
        <v>31</v>
      </c>
      <c r="B356" s="12">
        <v>21.0</v>
      </c>
      <c r="C356" s="11"/>
      <c r="D356" s="11"/>
      <c r="E356" s="13">
        <v>3.0</v>
      </c>
      <c r="F356" s="13">
        <v>2.0</v>
      </c>
      <c r="G356" s="12">
        <f t="shared" si="63"/>
        <v>1</v>
      </c>
      <c r="H356" s="12">
        <f t="shared" si="64"/>
        <v>20</v>
      </c>
      <c r="I356" s="14">
        <f t="shared" si="65"/>
        <v>6</v>
      </c>
    </row>
    <row r="357">
      <c r="A357" s="18" t="s">
        <v>32</v>
      </c>
      <c r="B357" s="12">
        <f>H329</f>
        <v>14</v>
      </c>
      <c r="C357" s="11"/>
      <c r="D357" s="11"/>
      <c r="E357" s="13">
        <v>3.0</v>
      </c>
      <c r="F357" s="13">
        <v>0.0</v>
      </c>
      <c r="G357" s="12">
        <f t="shared" si="63"/>
        <v>3</v>
      </c>
      <c r="H357" s="12">
        <f t="shared" si="64"/>
        <v>11</v>
      </c>
      <c r="I357" s="14">
        <f t="shared" si="65"/>
        <v>18</v>
      </c>
    </row>
    <row r="358">
      <c r="A358" s="19" t="s">
        <v>33</v>
      </c>
      <c r="B358" s="20">
        <f>SUM(B336:B357)</f>
        <v>444</v>
      </c>
      <c r="C358" s="19"/>
      <c r="D358" s="19"/>
      <c r="E358" s="20">
        <f t="shared" ref="E358:G358" si="66">SUM(E335:E357)</f>
        <v>111</v>
      </c>
      <c r="F358" s="20">
        <f t="shared" si="66"/>
        <v>73</v>
      </c>
      <c r="G358" s="20">
        <f t="shared" si="66"/>
        <v>38</v>
      </c>
      <c r="H358" s="20">
        <f>SUM(H336:H357)</f>
        <v>532</v>
      </c>
      <c r="I358" s="21">
        <f>SUM(I335:I357)</f>
        <v>228</v>
      </c>
    </row>
    <row r="359">
      <c r="A359" s="22"/>
      <c r="B359" s="22"/>
      <c r="C359" s="22"/>
      <c r="D359" s="22"/>
      <c r="E359" s="22"/>
      <c r="F359" s="23" t="s">
        <v>34</v>
      </c>
      <c r="G359" s="4"/>
      <c r="H359" s="24"/>
      <c r="I359" s="25"/>
    </row>
    <row r="361">
      <c r="A361" s="22"/>
      <c r="B361" s="22"/>
      <c r="C361" s="22"/>
      <c r="D361" s="22"/>
      <c r="E361" s="22"/>
      <c r="F361" s="22"/>
      <c r="G361" s="22"/>
      <c r="H361" s="22"/>
      <c r="I361" s="22"/>
    </row>
    <row r="362">
      <c r="A362" s="1"/>
      <c r="B362" s="2" t="s">
        <v>100</v>
      </c>
      <c r="C362" s="3"/>
      <c r="D362" s="3"/>
      <c r="E362" s="3"/>
      <c r="F362" s="3"/>
      <c r="G362" s="3"/>
      <c r="H362" s="3"/>
      <c r="I362" s="4"/>
    </row>
    <row r="363">
      <c r="A363" s="5" t="s">
        <v>1</v>
      </c>
      <c r="B363" s="6" t="s">
        <v>2</v>
      </c>
      <c r="C363" s="7" t="s">
        <v>3</v>
      </c>
      <c r="D363" s="8" t="s">
        <v>4</v>
      </c>
      <c r="E363" s="5" t="s">
        <v>5</v>
      </c>
      <c r="F363" s="5" t="s">
        <v>6</v>
      </c>
      <c r="G363" s="5" t="s">
        <v>7</v>
      </c>
      <c r="H363" s="9" t="s">
        <v>8</v>
      </c>
      <c r="I363" s="10" t="s">
        <v>9</v>
      </c>
    </row>
    <row r="364">
      <c r="A364" s="11" t="s">
        <v>10</v>
      </c>
      <c r="B364" s="12">
        <f t="shared" ref="B364:B383" si="67">H336</f>
        <v>21</v>
      </c>
      <c r="C364" s="11"/>
      <c r="D364" s="11"/>
      <c r="E364" s="13">
        <v>6.0</v>
      </c>
      <c r="F364" s="13">
        <v>6.0</v>
      </c>
      <c r="G364" s="12">
        <f t="shared" ref="G364:G385" si="68">E364-F364</f>
        <v>0</v>
      </c>
      <c r="H364" s="12">
        <f t="shared" ref="H364:H385" si="69">B364-C364+D364-G364</f>
        <v>21</v>
      </c>
      <c r="I364" s="14">
        <f t="shared" ref="I364:I385" si="70">G364*6</f>
        <v>0</v>
      </c>
    </row>
    <row r="365">
      <c r="A365" s="11" t="s">
        <v>11</v>
      </c>
      <c r="B365" s="12">
        <f t="shared" si="67"/>
        <v>13</v>
      </c>
      <c r="C365" s="17"/>
      <c r="D365" s="11"/>
      <c r="E365" s="13">
        <v>6.0</v>
      </c>
      <c r="F365" s="13">
        <v>5.0</v>
      </c>
      <c r="G365" s="12">
        <f t="shared" si="68"/>
        <v>1</v>
      </c>
      <c r="H365" s="12">
        <f t="shared" si="69"/>
        <v>12</v>
      </c>
      <c r="I365" s="14">
        <f t="shared" si="70"/>
        <v>6</v>
      </c>
    </row>
    <row r="366">
      <c r="A366" s="11" t="s">
        <v>12</v>
      </c>
      <c r="B366" s="12">
        <f t="shared" si="67"/>
        <v>44</v>
      </c>
      <c r="C366" s="11"/>
      <c r="D366" s="11"/>
      <c r="E366" s="13">
        <v>6.0</v>
      </c>
      <c r="F366" s="13">
        <v>5.0</v>
      </c>
      <c r="G366" s="12">
        <f t="shared" si="68"/>
        <v>1</v>
      </c>
      <c r="H366" s="12">
        <f t="shared" si="69"/>
        <v>43</v>
      </c>
      <c r="I366" s="14">
        <f t="shared" si="70"/>
        <v>6</v>
      </c>
    </row>
    <row r="367">
      <c r="A367" s="11" t="s">
        <v>13</v>
      </c>
      <c r="B367" s="12">
        <f t="shared" si="67"/>
        <v>37</v>
      </c>
      <c r="C367" s="11"/>
      <c r="D367" s="11"/>
      <c r="E367" s="13">
        <v>6.0</v>
      </c>
      <c r="F367" s="13">
        <v>2.0</v>
      </c>
      <c r="G367" s="12">
        <f t="shared" si="68"/>
        <v>4</v>
      </c>
      <c r="H367" s="12">
        <f t="shared" si="69"/>
        <v>33</v>
      </c>
      <c r="I367" s="14">
        <f t="shared" si="70"/>
        <v>24</v>
      </c>
    </row>
    <row r="368">
      <c r="A368" s="11" t="s">
        <v>14</v>
      </c>
      <c r="B368" s="12">
        <f t="shared" si="67"/>
        <v>31</v>
      </c>
      <c r="C368" s="11"/>
      <c r="D368" s="11"/>
      <c r="E368" s="13">
        <v>4.0</v>
      </c>
      <c r="F368" s="13">
        <v>3.0</v>
      </c>
      <c r="G368" s="12">
        <f t="shared" si="68"/>
        <v>1</v>
      </c>
      <c r="H368" s="12">
        <f t="shared" si="69"/>
        <v>30</v>
      </c>
      <c r="I368" s="14">
        <f t="shared" si="70"/>
        <v>6</v>
      </c>
    </row>
    <row r="369">
      <c r="A369" s="11" t="s">
        <v>15</v>
      </c>
      <c r="B369" s="12">
        <f t="shared" si="67"/>
        <v>17</v>
      </c>
      <c r="C369" s="11"/>
      <c r="D369" s="11"/>
      <c r="E369" s="13">
        <v>6.0</v>
      </c>
      <c r="F369" s="13">
        <v>6.0</v>
      </c>
      <c r="G369" s="12">
        <f t="shared" si="68"/>
        <v>0</v>
      </c>
      <c r="H369" s="12">
        <f t="shared" si="69"/>
        <v>17</v>
      </c>
      <c r="I369" s="14">
        <f t="shared" si="70"/>
        <v>0</v>
      </c>
    </row>
    <row r="370">
      <c r="A370" s="11" t="s">
        <v>16</v>
      </c>
      <c r="B370" s="12">
        <f t="shared" si="67"/>
        <v>27</v>
      </c>
      <c r="C370" s="11"/>
      <c r="D370" s="11"/>
      <c r="E370" s="13">
        <v>5.0</v>
      </c>
      <c r="F370" s="13">
        <v>4.0</v>
      </c>
      <c r="G370" s="12">
        <f t="shared" si="68"/>
        <v>1</v>
      </c>
      <c r="H370" s="12">
        <f t="shared" si="69"/>
        <v>26</v>
      </c>
      <c r="I370" s="14">
        <f t="shared" si="70"/>
        <v>6</v>
      </c>
    </row>
    <row r="371">
      <c r="A371" s="11" t="s">
        <v>17</v>
      </c>
      <c r="B371" s="12">
        <f t="shared" si="67"/>
        <v>30</v>
      </c>
      <c r="C371" s="11"/>
      <c r="D371" s="11"/>
      <c r="E371" s="13">
        <v>4.0</v>
      </c>
      <c r="F371" s="13">
        <v>4.0</v>
      </c>
      <c r="G371" s="12">
        <f t="shared" si="68"/>
        <v>0</v>
      </c>
      <c r="H371" s="12">
        <f t="shared" si="69"/>
        <v>30</v>
      </c>
      <c r="I371" s="14">
        <f t="shared" si="70"/>
        <v>0</v>
      </c>
    </row>
    <row r="372">
      <c r="A372" s="11" t="s">
        <v>18</v>
      </c>
      <c r="B372" s="12">
        <f t="shared" si="67"/>
        <v>29</v>
      </c>
      <c r="C372" s="11"/>
      <c r="D372" s="11"/>
      <c r="E372" s="13">
        <v>6.0</v>
      </c>
      <c r="F372" s="13">
        <v>6.0</v>
      </c>
      <c r="G372" s="12">
        <f t="shared" si="68"/>
        <v>0</v>
      </c>
      <c r="H372" s="12">
        <f t="shared" si="69"/>
        <v>29</v>
      </c>
      <c r="I372" s="14">
        <f t="shared" si="70"/>
        <v>0</v>
      </c>
    </row>
    <row r="373">
      <c r="A373" s="11" t="s">
        <v>19</v>
      </c>
      <c r="B373" s="12">
        <f t="shared" si="67"/>
        <v>14</v>
      </c>
      <c r="C373" s="11"/>
      <c r="D373" s="11"/>
      <c r="E373" s="13">
        <v>6.0</v>
      </c>
      <c r="F373" s="13">
        <v>6.0</v>
      </c>
      <c r="G373" s="12">
        <f t="shared" si="68"/>
        <v>0</v>
      </c>
      <c r="H373" s="12">
        <f t="shared" si="69"/>
        <v>14</v>
      </c>
      <c r="I373" s="14">
        <f t="shared" si="70"/>
        <v>0</v>
      </c>
    </row>
    <row r="374">
      <c r="A374" s="11" t="s">
        <v>20</v>
      </c>
      <c r="B374" s="12">
        <f t="shared" si="67"/>
        <v>21</v>
      </c>
      <c r="C374" s="11"/>
      <c r="D374" s="11"/>
      <c r="E374" s="13">
        <v>6.0</v>
      </c>
      <c r="F374" s="13">
        <v>6.0</v>
      </c>
      <c r="G374" s="12">
        <f t="shared" si="68"/>
        <v>0</v>
      </c>
      <c r="H374" s="12">
        <f t="shared" si="69"/>
        <v>21</v>
      </c>
      <c r="I374" s="14">
        <f t="shared" si="70"/>
        <v>0</v>
      </c>
    </row>
    <row r="375">
      <c r="A375" s="11" t="s">
        <v>21</v>
      </c>
      <c r="B375" s="12">
        <f t="shared" si="67"/>
        <v>10</v>
      </c>
      <c r="C375" s="11"/>
      <c r="D375" s="11"/>
      <c r="E375" s="13">
        <v>2.0</v>
      </c>
      <c r="F375" s="13">
        <v>2.0</v>
      </c>
      <c r="G375" s="12">
        <f t="shared" si="68"/>
        <v>0</v>
      </c>
      <c r="H375" s="12">
        <f t="shared" si="69"/>
        <v>10</v>
      </c>
      <c r="I375" s="14">
        <f t="shared" si="70"/>
        <v>0</v>
      </c>
    </row>
    <row r="376">
      <c r="A376" s="11" t="s">
        <v>22</v>
      </c>
      <c r="B376" s="12">
        <f t="shared" si="67"/>
        <v>12</v>
      </c>
      <c r="C376" s="11"/>
      <c r="D376" s="11"/>
      <c r="E376" s="13">
        <v>5.0</v>
      </c>
      <c r="F376" s="13">
        <v>5.0</v>
      </c>
      <c r="G376" s="12">
        <f t="shared" si="68"/>
        <v>0</v>
      </c>
      <c r="H376" s="12">
        <f t="shared" si="69"/>
        <v>12</v>
      </c>
      <c r="I376" s="14">
        <f t="shared" si="70"/>
        <v>0</v>
      </c>
    </row>
    <row r="377">
      <c r="A377" s="11" t="s">
        <v>23</v>
      </c>
      <c r="B377" s="12">
        <f t="shared" si="67"/>
        <v>18</v>
      </c>
      <c r="C377" s="17"/>
      <c r="D377" s="11"/>
      <c r="E377" s="13">
        <v>6.0</v>
      </c>
      <c r="F377" s="13">
        <v>5.0</v>
      </c>
      <c r="G377" s="12">
        <f t="shared" si="68"/>
        <v>1</v>
      </c>
      <c r="H377" s="12">
        <f t="shared" si="69"/>
        <v>17</v>
      </c>
      <c r="I377" s="14">
        <f t="shared" si="70"/>
        <v>6</v>
      </c>
    </row>
    <row r="378">
      <c r="A378" s="11" t="s">
        <v>24</v>
      </c>
      <c r="B378" s="12">
        <f t="shared" si="67"/>
        <v>26</v>
      </c>
      <c r="C378" s="11"/>
      <c r="D378" s="11"/>
      <c r="E378" s="13">
        <v>4.0</v>
      </c>
      <c r="F378" s="13">
        <v>4.0</v>
      </c>
      <c r="G378" s="12">
        <f t="shared" si="68"/>
        <v>0</v>
      </c>
      <c r="H378" s="12">
        <f t="shared" si="69"/>
        <v>26</v>
      </c>
      <c r="I378" s="14">
        <f t="shared" si="70"/>
        <v>0</v>
      </c>
    </row>
    <row r="379">
      <c r="A379" s="11" t="s">
        <v>25</v>
      </c>
      <c r="B379" s="12">
        <f t="shared" si="67"/>
        <v>37</v>
      </c>
      <c r="C379" s="11"/>
      <c r="D379" s="11"/>
      <c r="E379" s="13">
        <v>10.0</v>
      </c>
      <c r="F379" s="13">
        <v>9.0</v>
      </c>
      <c r="G379" s="12">
        <f t="shared" si="68"/>
        <v>1</v>
      </c>
      <c r="H379" s="12">
        <f t="shared" si="69"/>
        <v>36</v>
      </c>
      <c r="I379" s="14">
        <f t="shared" si="70"/>
        <v>6</v>
      </c>
    </row>
    <row r="380">
      <c r="A380" s="11" t="s">
        <v>26</v>
      </c>
      <c r="B380" s="12">
        <f t="shared" si="67"/>
        <v>22</v>
      </c>
      <c r="C380" s="11"/>
      <c r="D380" s="11"/>
      <c r="E380" s="13">
        <v>6.0</v>
      </c>
      <c r="F380" s="13">
        <v>6.0</v>
      </c>
      <c r="G380" s="12">
        <f t="shared" si="68"/>
        <v>0</v>
      </c>
      <c r="H380" s="12">
        <f t="shared" si="69"/>
        <v>22</v>
      </c>
      <c r="I380" s="14">
        <f t="shared" si="70"/>
        <v>0</v>
      </c>
    </row>
    <row r="381">
      <c r="A381" s="11" t="s">
        <v>27</v>
      </c>
      <c r="B381" s="12">
        <f t="shared" si="67"/>
        <v>31</v>
      </c>
      <c r="C381" s="11"/>
      <c r="D381" s="11"/>
      <c r="E381" s="13">
        <v>4.0</v>
      </c>
      <c r="F381" s="13">
        <v>4.0</v>
      </c>
      <c r="G381" s="12">
        <f t="shared" si="68"/>
        <v>0</v>
      </c>
      <c r="H381" s="12">
        <f t="shared" si="69"/>
        <v>31</v>
      </c>
      <c r="I381" s="14">
        <f t="shared" si="70"/>
        <v>0</v>
      </c>
    </row>
    <row r="382">
      <c r="A382" s="11" t="s">
        <v>28</v>
      </c>
      <c r="B382" s="12">
        <f t="shared" si="67"/>
        <v>33</v>
      </c>
      <c r="C382" s="11"/>
      <c r="D382" s="11"/>
      <c r="E382" s="13">
        <v>8.0</v>
      </c>
      <c r="F382" s="13">
        <v>8.0</v>
      </c>
      <c r="G382" s="12">
        <f t="shared" si="68"/>
        <v>0</v>
      </c>
      <c r="H382" s="12">
        <f t="shared" si="69"/>
        <v>33</v>
      </c>
      <c r="I382" s="14">
        <f t="shared" si="70"/>
        <v>0</v>
      </c>
    </row>
    <row r="383">
      <c r="A383" s="11" t="s">
        <v>30</v>
      </c>
      <c r="B383" s="12">
        <f t="shared" si="67"/>
        <v>28</v>
      </c>
      <c r="C383" s="11"/>
      <c r="D383" s="11"/>
      <c r="E383" s="13">
        <v>2.0</v>
      </c>
      <c r="F383" s="13">
        <v>2.0</v>
      </c>
      <c r="G383" s="12">
        <f t="shared" si="68"/>
        <v>0</v>
      </c>
      <c r="H383" s="12">
        <f t="shared" si="69"/>
        <v>28</v>
      </c>
      <c r="I383" s="14">
        <f t="shared" si="70"/>
        <v>0</v>
      </c>
    </row>
    <row r="384">
      <c r="A384" s="18" t="s">
        <v>31</v>
      </c>
      <c r="B384" s="12">
        <v>21.0</v>
      </c>
      <c r="C384" s="11"/>
      <c r="D384" s="11"/>
      <c r="E384" s="13">
        <v>3.0</v>
      </c>
      <c r="F384" s="13">
        <v>3.0</v>
      </c>
      <c r="G384" s="12">
        <f t="shared" si="68"/>
        <v>0</v>
      </c>
      <c r="H384" s="12">
        <f t="shared" si="69"/>
        <v>21</v>
      </c>
      <c r="I384" s="14">
        <f t="shared" si="70"/>
        <v>0</v>
      </c>
    </row>
    <row r="385">
      <c r="A385" s="18" t="s">
        <v>32</v>
      </c>
      <c r="B385" s="12">
        <f>H357</f>
        <v>11</v>
      </c>
      <c r="C385" s="11"/>
      <c r="D385" s="11"/>
      <c r="E385" s="13">
        <v>3.0</v>
      </c>
      <c r="F385" s="13">
        <v>2.0</v>
      </c>
      <c r="G385" s="12">
        <f t="shared" si="68"/>
        <v>1</v>
      </c>
      <c r="H385" s="12">
        <f t="shared" si="69"/>
        <v>10</v>
      </c>
      <c r="I385" s="14">
        <f t="shared" si="70"/>
        <v>6</v>
      </c>
    </row>
    <row r="386">
      <c r="A386" s="19" t="s">
        <v>33</v>
      </c>
      <c r="B386" s="20">
        <f>SUM(B364:B385)</f>
        <v>533</v>
      </c>
      <c r="C386" s="19"/>
      <c r="D386" s="19"/>
      <c r="E386" s="20">
        <f t="shared" ref="E386:G386" si="71">SUM(E363:E385)</f>
        <v>114</v>
      </c>
      <c r="F386" s="20">
        <f t="shared" si="71"/>
        <v>103</v>
      </c>
      <c r="G386" s="20">
        <f t="shared" si="71"/>
        <v>11</v>
      </c>
      <c r="H386" s="20">
        <f>SUM(H364:H385)</f>
        <v>522</v>
      </c>
      <c r="I386" s="21">
        <f>SUM(I363:I385)</f>
        <v>66</v>
      </c>
    </row>
    <row r="387">
      <c r="A387" s="22"/>
      <c r="B387" s="22"/>
      <c r="C387" s="22"/>
      <c r="D387" s="22"/>
      <c r="E387" s="22"/>
      <c r="F387" s="23" t="s">
        <v>34</v>
      </c>
      <c r="G387" s="4"/>
      <c r="H387" s="24"/>
      <c r="I387" s="25"/>
    </row>
    <row r="389">
      <c r="A389" s="22"/>
      <c r="B389" s="22"/>
      <c r="C389" s="22"/>
      <c r="D389" s="22"/>
      <c r="E389" s="22"/>
      <c r="F389" s="22"/>
      <c r="G389" s="22"/>
      <c r="H389" s="22"/>
      <c r="I389" s="22"/>
    </row>
    <row r="390">
      <c r="A390" s="1"/>
      <c r="B390" s="2" t="s">
        <v>101</v>
      </c>
      <c r="C390" s="3"/>
      <c r="D390" s="3"/>
      <c r="E390" s="3"/>
      <c r="F390" s="3"/>
      <c r="G390" s="3"/>
      <c r="H390" s="3"/>
      <c r="I390" s="4"/>
    </row>
    <row r="391">
      <c r="A391" s="5" t="s">
        <v>1</v>
      </c>
      <c r="B391" s="6" t="s">
        <v>2</v>
      </c>
      <c r="C391" s="7" t="s">
        <v>3</v>
      </c>
      <c r="D391" s="8" t="s">
        <v>4</v>
      </c>
      <c r="E391" s="5" t="s">
        <v>5</v>
      </c>
      <c r="F391" s="5" t="s">
        <v>6</v>
      </c>
      <c r="G391" s="5" t="s">
        <v>7</v>
      </c>
      <c r="H391" s="9" t="s">
        <v>8</v>
      </c>
      <c r="I391" s="10" t="s">
        <v>9</v>
      </c>
    </row>
    <row r="392">
      <c r="A392" s="11" t="s">
        <v>10</v>
      </c>
      <c r="B392" s="12">
        <f t="shared" ref="B392:B411" si="72">H364</f>
        <v>21</v>
      </c>
      <c r="C392" s="11"/>
      <c r="D392" s="11"/>
      <c r="E392" s="13">
        <v>6.0</v>
      </c>
      <c r="F392" s="13">
        <v>5.0</v>
      </c>
      <c r="G392" s="12">
        <f t="shared" ref="G392:G413" si="73">E392-F392</f>
        <v>1</v>
      </c>
      <c r="H392" s="12">
        <f t="shared" ref="H392:H413" si="74">B392-C392+D392-G392</f>
        <v>20</v>
      </c>
      <c r="I392" s="14">
        <f t="shared" ref="I392:I413" si="75">G392*6</f>
        <v>6</v>
      </c>
    </row>
    <row r="393">
      <c r="A393" s="11" t="s">
        <v>11</v>
      </c>
      <c r="B393" s="12">
        <f t="shared" si="72"/>
        <v>12</v>
      </c>
      <c r="C393" s="17"/>
      <c r="D393" s="13">
        <v>31.0</v>
      </c>
      <c r="E393" s="13">
        <v>6.0</v>
      </c>
      <c r="F393" s="13">
        <v>5.0</v>
      </c>
      <c r="G393" s="12">
        <f t="shared" si="73"/>
        <v>1</v>
      </c>
      <c r="H393" s="12">
        <f t="shared" si="74"/>
        <v>42</v>
      </c>
      <c r="I393" s="14">
        <f t="shared" si="75"/>
        <v>6</v>
      </c>
    </row>
    <row r="394">
      <c r="A394" s="11" t="s">
        <v>12</v>
      </c>
      <c r="B394" s="12">
        <f t="shared" si="72"/>
        <v>43</v>
      </c>
      <c r="C394" s="11"/>
      <c r="D394" s="11"/>
      <c r="E394" s="13">
        <v>6.0</v>
      </c>
      <c r="F394" s="13">
        <v>5.0</v>
      </c>
      <c r="G394" s="12">
        <f t="shared" si="73"/>
        <v>1</v>
      </c>
      <c r="H394" s="12">
        <f t="shared" si="74"/>
        <v>42</v>
      </c>
      <c r="I394" s="14">
        <f t="shared" si="75"/>
        <v>6</v>
      </c>
    </row>
    <row r="395">
      <c r="A395" s="11" t="s">
        <v>13</v>
      </c>
      <c r="B395" s="12">
        <f t="shared" si="72"/>
        <v>33</v>
      </c>
      <c r="C395" s="11"/>
      <c r="D395" s="11"/>
      <c r="E395" s="13">
        <v>6.0</v>
      </c>
      <c r="F395" s="13">
        <v>5.0</v>
      </c>
      <c r="G395" s="12">
        <f t="shared" si="73"/>
        <v>1</v>
      </c>
      <c r="H395" s="12">
        <f t="shared" si="74"/>
        <v>32</v>
      </c>
      <c r="I395" s="14">
        <f t="shared" si="75"/>
        <v>6</v>
      </c>
    </row>
    <row r="396">
      <c r="A396" s="11" t="s">
        <v>14</v>
      </c>
      <c r="B396" s="12">
        <f t="shared" si="72"/>
        <v>30</v>
      </c>
      <c r="C396" s="11"/>
      <c r="D396" s="11"/>
      <c r="E396" s="13">
        <v>4.0</v>
      </c>
      <c r="F396" s="13">
        <v>3.0</v>
      </c>
      <c r="G396" s="12">
        <f t="shared" si="73"/>
        <v>1</v>
      </c>
      <c r="H396" s="12">
        <f t="shared" si="74"/>
        <v>29</v>
      </c>
      <c r="I396" s="14">
        <f t="shared" si="75"/>
        <v>6</v>
      </c>
    </row>
    <row r="397">
      <c r="A397" s="11" t="s">
        <v>15</v>
      </c>
      <c r="B397" s="12">
        <f t="shared" si="72"/>
        <v>17</v>
      </c>
      <c r="C397" s="11"/>
      <c r="D397" s="11"/>
      <c r="E397" s="13">
        <v>6.0</v>
      </c>
      <c r="F397" s="13">
        <v>5.0</v>
      </c>
      <c r="G397" s="12">
        <f t="shared" si="73"/>
        <v>1</v>
      </c>
      <c r="H397" s="12">
        <f t="shared" si="74"/>
        <v>16</v>
      </c>
      <c r="I397" s="14">
        <f t="shared" si="75"/>
        <v>6</v>
      </c>
    </row>
    <row r="398">
      <c r="A398" s="11" t="s">
        <v>16</v>
      </c>
      <c r="B398" s="12">
        <f t="shared" si="72"/>
        <v>26</v>
      </c>
      <c r="C398" s="11"/>
      <c r="D398" s="11"/>
      <c r="E398" s="13">
        <v>5.0</v>
      </c>
      <c r="F398" s="13">
        <v>5.0</v>
      </c>
      <c r="G398" s="12">
        <f t="shared" si="73"/>
        <v>0</v>
      </c>
      <c r="H398" s="12">
        <f t="shared" si="74"/>
        <v>26</v>
      </c>
      <c r="I398" s="14">
        <f t="shared" si="75"/>
        <v>0</v>
      </c>
    </row>
    <row r="399">
      <c r="A399" s="11" t="s">
        <v>17</v>
      </c>
      <c r="B399" s="12">
        <f t="shared" si="72"/>
        <v>30</v>
      </c>
      <c r="C399" s="11"/>
      <c r="D399" s="11"/>
      <c r="E399" s="13">
        <v>4.0</v>
      </c>
      <c r="F399" s="13">
        <v>4.0</v>
      </c>
      <c r="G399" s="12">
        <f t="shared" si="73"/>
        <v>0</v>
      </c>
      <c r="H399" s="12">
        <f t="shared" si="74"/>
        <v>30</v>
      </c>
      <c r="I399" s="14">
        <f t="shared" si="75"/>
        <v>0</v>
      </c>
    </row>
    <row r="400">
      <c r="A400" s="11" t="s">
        <v>18</v>
      </c>
      <c r="B400" s="12">
        <f t="shared" si="72"/>
        <v>29</v>
      </c>
      <c r="C400" s="11"/>
      <c r="D400" s="11"/>
      <c r="E400" s="13">
        <v>6.0</v>
      </c>
      <c r="F400" s="13">
        <v>5.0</v>
      </c>
      <c r="G400" s="12">
        <f t="shared" si="73"/>
        <v>1</v>
      </c>
      <c r="H400" s="12">
        <f t="shared" si="74"/>
        <v>28</v>
      </c>
      <c r="I400" s="14">
        <f t="shared" si="75"/>
        <v>6</v>
      </c>
    </row>
    <row r="401">
      <c r="A401" s="11" t="s">
        <v>19</v>
      </c>
      <c r="B401" s="12">
        <f t="shared" si="72"/>
        <v>14</v>
      </c>
      <c r="C401" s="11"/>
      <c r="D401" s="11"/>
      <c r="E401" s="13">
        <v>6.0</v>
      </c>
      <c r="F401" s="13">
        <v>5.0</v>
      </c>
      <c r="G401" s="12">
        <f t="shared" si="73"/>
        <v>1</v>
      </c>
      <c r="H401" s="12">
        <f t="shared" si="74"/>
        <v>13</v>
      </c>
      <c r="I401" s="14">
        <f t="shared" si="75"/>
        <v>6</v>
      </c>
    </row>
    <row r="402">
      <c r="A402" s="11" t="s">
        <v>20</v>
      </c>
      <c r="B402" s="12">
        <f t="shared" si="72"/>
        <v>21</v>
      </c>
      <c r="C402" s="11"/>
      <c r="D402" s="11"/>
      <c r="E402" s="13">
        <v>6.0</v>
      </c>
      <c r="F402" s="13">
        <v>5.0</v>
      </c>
      <c r="G402" s="12">
        <f t="shared" si="73"/>
        <v>1</v>
      </c>
      <c r="H402" s="12">
        <f t="shared" si="74"/>
        <v>20</v>
      </c>
      <c r="I402" s="14">
        <f t="shared" si="75"/>
        <v>6</v>
      </c>
    </row>
    <row r="403">
      <c r="A403" s="11" t="s">
        <v>21</v>
      </c>
      <c r="B403" s="12">
        <f t="shared" si="72"/>
        <v>10</v>
      </c>
      <c r="C403" s="11"/>
      <c r="D403" s="11"/>
      <c r="E403" s="13">
        <v>2.0</v>
      </c>
      <c r="F403" s="13">
        <v>2.0</v>
      </c>
      <c r="G403" s="12">
        <f t="shared" si="73"/>
        <v>0</v>
      </c>
      <c r="H403" s="12">
        <f t="shared" si="74"/>
        <v>10</v>
      </c>
      <c r="I403" s="14">
        <f t="shared" si="75"/>
        <v>0</v>
      </c>
    </row>
    <row r="404">
      <c r="A404" s="11" t="s">
        <v>22</v>
      </c>
      <c r="B404" s="12">
        <f t="shared" si="72"/>
        <v>12</v>
      </c>
      <c r="C404" s="11"/>
      <c r="D404" s="11"/>
      <c r="E404" s="13">
        <v>5.0</v>
      </c>
      <c r="F404" s="13">
        <v>5.0</v>
      </c>
      <c r="G404" s="12">
        <f t="shared" si="73"/>
        <v>0</v>
      </c>
      <c r="H404" s="12">
        <f t="shared" si="74"/>
        <v>12</v>
      </c>
      <c r="I404" s="14">
        <f t="shared" si="75"/>
        <v>0</v>
      </c>
    </row>
    <row r="405">
      <c r="A405" s="11" t="s">
        <v>23</v>
      </c>
      <c r="B405" s="12">
        <f t="shared" si="72"/>
        <v>17</v>
      </c>
      <c r="C405" s="17"/>
      <c r="D405" s="13">
        <v>28.0</v>
      </c>
      <c r="E405" s="13">
        <v>6.0</v>
      </c>
      <c r="F405" s="13">
        <v>0.0</v>
      </c>
      <c r="G405" s="12">
        <f t="shared" si="73"/>
        <v>6</v>
      </c>
      <c r="H405" s="12">
        <f t="shared" si="74"/>
        <v>39</v>
      </c>
      <c r="I405" s="14">
        <f t="shared" si="75"/>
        <v>36</v>
      </c>
    </row>
    <row r="406">
      <c r="A406" s="11" t="s">
        <v>24</v>
      </c>
      <c r="B406" s="12">
        <f t="shared" si="72"/>
        <v>26</v>
      </c>
      <c r="C406" s="11"/>
      <c r="D406" s="11"/>
      <c r="E406" s="13">
        <v>4.0</v>
      </c>
      <c r="F406" s="13">
        <v>3.0</v>
      </c>
      <c r="G406" s="12">
        <f t="shared" si="73"/>
        <v>1</v>
      </c>
      <c r="H406" s="12">
        <f t="shared" si="74"/>
        <v>25</v>
      </c>
      <c r="I406" s="14">
        <f t="shared" si="75"/>
        <v>6</v>
      </c>
    </row>
    <row r="407">
      <c r="A407" s="11" t="s">
        <v>25</v>
      </c>
      <c r="B407" s="12">
        <f t="shared" si="72"/>
        <v>36</v>
      </c>
      <c r="C407" s="11"/>
      <c r="D407" s="11"/>
      <c r="E407" s="13">
        <v>10.0</v>
      </c>
      <c r="F407" s="13">
        <v>7.0</v>
      </c>
      <c r="G407" s="12">
        <f t="shared" si="73"/>
        <v>3</v>
      </c>
      <c r="H407" s="12">
        <f t="shared" si="74"/>
        <v>33</v>
      </c>
      <c r="I407" s="14">
        <f t="shared" si="75"/>
        <v>18</v>
      </c>
    </row>
    <row r="408">
      <c r="A408" s="11" t="s">
        <v>26</v>
      </c>
      <c r="B408" s="12">
        <f t="shared" si="72"/>
        <v>22</v>
      </c>
      <c r="C408" s="11"/>
      <c r="D408" s="11"/>
      <c r="E408" s="13">
        <v>6.0</v>
      </c>
      <c r="F408" s="13">
        <v>3.0</v>
      </c>
      <c r="G408" s="12">
        <f t="shared" si="73"/>
        <v>3</v>
      </c>
      <c r="H408" s="12">
        <f t="shared" si="74"/>
        <v>19</v>
      </c>
      <c r="I408" s="14">
        <f t="shared" si="75"/>
        <v>18</v>
      </c>
    </row>
    <row r="409">
      <c r="A409" s="11" t="s">
        <v>27</v>
      </c>
      <c r="B409" s="12">
        <f t="shared" si="72"/>
        <v>31</v>
      </c>
      <c r="C409" s="13">
        <v>1.0</v>
      </c>
      <c r="D409" s="11"/>
      <c r="E409" s="13">
        <v>4.0</v>
      </c>
      <c r="F409" s="13">
        <v>4.0</v>
      </c>
      <c r="G409" s="12">
        <f t="shared" si="73"/>
        <v>0</v>
      </c>
      <c r="H409" s="12">
        <f t="shared" si="74"/>
        <v>30</v>
      </c>
      <c r="I409" s="14">
        <f t="shared" si="75"/>
        <v>0</v>
      </c>
    </row>
    <row r="410">
      <c r="A410" s="11" t="s">
        <v>28</v>
      </c>
      <c r="B410" s="12">
        <f t="shared" si="72"/>
        <v>33</v>
      </c>
      <c r="C410" s="11"/>
      <c r="D410" s="11"/>
      <c r="E410" s="13">
        <v>8.0</v>
      </c>
      <c r="F410" s="13">
        <v>4.0</v>
      </c>
      <c r="G410" s="12">
        <f t="shared" si="73"/>
        <v>4</v>
      </c>
      <c r="H410" s="12">
        <f t="shared" si="74"/>
        <v>29</v>
      </c>
      <c r="I410" s="14">
        <f t="shared" si="75"/>
        <v>24</v>
      </c>
    </row>
    <row r="411">
      <c r="A411" s="11" t="s">
        <v>30</v>
      </c>
      <c r="B411" s="12">
        <f t="shared" si="72"/>
        <v>28</v>
      </c>
      <c r="C411" s="11"/>
      <c r="D411" s="11"/>
      <c r="E411" s="13">
        <v>2.0</v>
      </c>
      <c r="F411" s="13">
        <v>1.0</v>
      </c>
      <c r="G411" s="12">
        <f t="shared" si="73"/>
        <v>1</v>
      </c>
      <c r="H411" s="12">
        <f t="shared" si="74"/>
        <v>27</v>
      </c>
      <c r="I411" s="14">
        <f t="shared" si="75"/>
        <v>6</v>
      </c>
    </row>
    <row r="412">
      <c r="A412" s="18" t="s">
        <v>31</v>
      </c>
      <c r="B412" s="12">
        <v>21.0</v>
      </c>
      <c r="C412" s="11"/>
      <c r="D412" s="11"/>
      <c r="E412" s="13">
        <v>3.0</v>
      </c>
      <c r="F412" s="13">
        <v>3.0</v>
      </c>
      <c r="G412" s="12">
        <f t="shared" si="73"/>
        <v>0</v>
      </c>
      <c r="H412" s="12">
        <f t="shared" si="74"/>
        <v>21</v>
      </c>
      <c r="I412" s="14">
        <f t="shared" si="75"/>
        <v>0</v>
      </c>
    </row>
    <row r="413">
      <c r="A413" s="18" t="s">
        <v>32</v>
      </c>
      <c r="B413" s="12">
        <f>H385</f>
        <v>10</v>
      </c>
      <c r="C413" s="11"/>
      <c r="D413" s="11"/>
      <c r="E413" s="13">
        <v>3.0</v>
      </c>
      <c r="F413" s="13">
        <v>3.0</v>
      </c>
      <c r="G413" s="12">
        <f t="shared" si="73"/>
        <v>0</v>
      </c>
      <c r="H413" s="12">
        <f t="shared" si="74"/>
        <v>10</v>
      </c>
      <c r="I413" s="14">
        <f t="shared" si="75"/>
        <v>0</v>
      </c>
    </row>
    <row r="414">
      <c r="A414" s="19" t="s">
        <v>33</v>
      </c>
      <c r="B414" s="20">
        <f>SUM(B392:B413)</f>
        <v>522</v>
      </c>
      <c r="C414" s="19"/>
      <c r="D414" s="19"/>
      <c r="E414" s="20">
        <f t="shared" ref="E414:G414" si="76">SUM(E391:E413)</f>
        <v>114</v>
      </c>
      <c r="F414" s="20">
        <f t="shared" si="76"/>
        <v>87</v>
      </c>
      <c r="G414" s="20">
        <f t="shared" si="76"/>
        <v>27</v>
      </c>
      <c r="H414" s="20">
        <f>SUM(H392:H413)</f>
        <v>553</v>
      </c>
      <c r="I414" s="21">
        <f>SUM(I391:I413)</f>
        <v>162</v>
      </c>
    </row>
    <row r="415">
      <c r="A415" s="22"/>
      <c r="B415" s="22"/>
      <c r="C415" s="22"/>
      <c r="D415" s="22"/>
      <c r="E415" s="22"/>
      <c r="F415" s="23" t="s">
        <v>34</v>
      </c>
      <c r="G415" s="4"/>
      <c r="H415" s="24"/>
      <c r="I415" s="25"/>
    </row>
    <row r="417">
      <c r="A417" s="22"/>
      <c r="B417" s="22"/>
      <c r="C417" s="22"/>
      <c r="D417" s="22"/>
      <c r="E417" s="22"/>
      <c r="F417" s="22"/>
      <c r="G417" s="22"/>
      <c r="H417" s="22"/>
      <c r="I417" s="22"/>
    </row>
    <row r="418">
      <c r="A418" s="1"/>
      <c r="B418" s="2" t="s">
        <v>102</v>
      </c>
      <c r="C418" s="3"/>
      <c r="D418" s="3"/>
      <c r="E418" s="3"/>
      <c r="F418" s="3"/>
      <c r="G418" s="3"/>
      <c r="H418" s="3"/>
      <c r="I418" s="4"/>
    </row>
    <row r="419">
      <c r="A419" s="5" t="s">
        <v>1</v>
      </c>
      <c r="B419" s="6" t="s">
        <v>2</v>
      </c>
      <c r="C419" s="7" t="s">
        <v>3</v>
      </c>
      <c r="D419" s="8" t="s">
        <v>4</v>
      </c>
      <c r="E419" s="5" t="s">
        <v>5</v>
      </c>
      <c r="F419" s="5" t="s">
        <v>6</v>
      </c>
      <c r="G419" s="5" t="s">
        <v>7</v>
      </c>
      <c r="H419" s="9" t="s">
        <v>8</v>
      </c>
      <c r="I419" s="10" t="s">
        <v>9</v>
      </c>
    </row>
    <row r="420">
      <c r="A420" s="11" t="s">
        <v>10</v>
      </c>
      <c r="B420" s="12">
        <f t="shared" ref="B420:B439" si="77">H392</f>
        <v>20</v>
      </c>
      <c r="C420" s="11"/>
      <c r="D420" s="11"/>
      <c r="E420" s="13">
        <v>6.0</v>
      </c>
      <c r="F420" s="13">
        <v>6.0</v>
      </c>
      <c r="G420" s="12">
        <f t="shared" ref="G420:G441" si="78">E420-F420</f>
        <v>0</v>
      </c>
      <c r="H420" s="12">
        <f t="shared" ref="H420:H441" si="79">B420-C420+D420-G420</f>
        <v>20</v>
      </c>
      <c r="I420" s="14">
        <f t="shared" ref="I420:I441" si="80">G420*6</f>
        <v>0</v>
      </c>
    </row>
    <row r="421">
      <c r="A421" s="11" t="s">
        <v>11</v>
      </c>
      <c r="B421" s="12">
        <f t="shared" si="77"/>
        <v>42</v>
      </c>
      <c r="C421" s="17"/>
      <c r="D421" s="11"/>
      <c r="E421" s="13">
        <v>6.0</v>
      </c>
      <c r="F421" s="13">
        <v>6.0</v>
      </c>
      <c r="G421" s="12">
        <f t="shared" si="78"/>
        <v>0</v>
      </c>
      <c r="H421" s="12">
        <f t="shared" si="79"/>
        <v>42</v>
      </c>
      <c r="I421" s="14">
        <f t="shared" si="80"/>
        <v>0</v>
      </c>
    </row>
    <row r="422">
      <c r="A422" s="11" t="s">
        <v>12</v>
      </c>
      <c r="B422" s="12">
        <f t="shared" si="77"/>
        <v>42</v>
      </c>
      <c r="C422" s="11"/>
      <c r="D422" s="11"/>
      <c r="E422" s="13">
        <v>6.0</v>
      </c>
      <c r="F422" s="13">
        <v>5.0</v>
      </c>
      <c r="G422" s="12">
        <f t="shared" si="78"/>
        <v>1</v>
      </c>
      <c r="H422" s="12">
        <f t="shared" si="79"/>
        <v>41</v>
      </c>
      <c r="I422" s="14">
        <f t="shared" si="80"/>
        <v>6</v>
      </c>
    </row>
    <row r="423">
      <c r="A423" s="11" t="s">
        <v>13</v>
      </c>
      <c r="B423" s="12">
        <f t="shared" si="77"/>
        <v>32</v>
      </c>
      <c r="C423" s="11"/>
      <c r="D423" s="11"/>
      <c r="E423" s="13">
        <v>6.0</v>
      </c>
      <c r="F423" s="13">
        <v>5.0</v>
      </c>
      <c r="G423" s="12">
        <f t="shared" si="78"/>
        <v>1</v>
      </c>
      <c r="H423" s="12">
        <f t="shared" si="79"/>
        <v>31</v>
      </c>
      <c r="I423" s="14">
        <f t="shared" si="80"/>
        <v>6</v>
      </c>
    </row>
    <row r="424">
      <c r="A424" s="11" t="s">
        <v>14</v>
      </c>
      <c r="B424" s="12">
        <f t="shared" si="77"/>
        <v>29</v>
      </c>
      <c r="C424" s="11"/>
      <c r="D424" s="11"/>
      <c r="E424" s="13">
        <v>4.0</v>
      </c>
      <c r="F424" s="13">
        <v>4.0</v>
      </c>
      <c r="G424" s="12">
        <f t="shared" si="78"/>
        <v>0</v>
      </c>
      <c r="H424" s="12">
        <f t="shared" si="79"/>
        <v>29</v>
      </c>
      <c r="I424" s="14">
        <f t="shared" si="80"/>
        <v>0</v>
      </c>
    </row>
    <row r="425">
      <c r="A425" s="11" t="s">
        <v>15</v>
      </c>
      <c r="B425" s="12">
        <f t="shared" si="77"/>
        <v>16</v>
      </c>
      <c r="C425" s="11"/>
      <c r="D425" s="11"/>
      <c r="E425" s="13">
        <v>6.0</v>
      </c>
      <c r="F425" s="13">
        <v>6.0</v>
      </c>
      <c r="G425" s="12">
        <f t="shared" si="78"/>
        <v>0</v>
      </c>
      <c r="H425" s="12">
        <f t="shared" si="79"/>
        <v>16</v>
      </c>
      <c r="I425" s="14">
        <f t="shared" si="80"/>
        <v>0</v>
      </c>
    </row>
    <row r="426">
      <c r="A426" s="11" t="s">
        <v>16</v>
      </c>
      <c r="B426" s="12">
        <f t="shared" si="77"/>
        <v>26</v>
      </c>
      <c r="C426" s="11"/>
      <c r="D426" s="11"/>
      <c r="E426" s="13">
        <v>5.0</v>
      </c>
      <c r="F426" s="13">
        <v>4.0</v>
      </c>
      <c r="G426" s="12">
        <f t="shared" si="78"/>
        <v>1</v>
      </c>
      <c r="H426" s="12">
        <f t="shared" si="79"/>
        <v>25</v>
      </c>
      <c r="I426" s="14">
        <f t="shared" si="80"/>
        <v>6</v>
      </c>
    </row>
    <row r="427">
      <c r="A427" s="11" t="s">
        <v>17</v>
      </c>
      <c r="B427" s="12">
        <f t="shared" si="77"/>
        <v>30</v>
      </c>
      <c r="C427" s="11"/>
      <c r="D427" s="11"/>
      <c r="E427" s="13">
        <v>4.0</v>
      </c>
      <c r="F427" s="13">
        <v>3.0</v>
      </c>
      <c r="G427" s="12">
        <f t="shared" si="78"/>
        <v>1</v>
      </c>
      <c r="H427" s="12">
        <f t="shared" si="79"/>
        <v>29</v>
      </c>
      <c r="I427" s="14">
        <f t="shared" si="80"/>
        <v>6</v>
      </c>
    </row>
    <row r="428">
      <c r="A428" s="11" t="s">
        <v>18</v>
      </c>
      <c r="B428" s="12">
        <f t="shared" si="77"/>
        <v>28</v>
      </c>
      <c r="C428" s="11"/>
      <c r="D428" s="11"/>
      <c r="E428" s="13">
        <v>6.0</v>
      </c>
      <c r="F428" s="13">
        <v>5.0</v>
      </c>
      <c r="G428" s="12">
        <f t="shared" si="78"/>
        <v>1</v>
      </c>
      <c r="H428" s="12">
        <f t="shared" si="79"/>
        <v>27</v>
      </c>
      <c r="I428" s="14">
        <f t="shared" si="80"/>
        <v>6</v>
      </c>
    </row>
    <row r="429">
      <c r="A429" s="11" t="s">
        <v>19</v>
      </c>
      <c r="B429" s="12">
        <f t="shared" si="77"/>
        <v>13</v>
      </c>
      <c r="C429" s="11"/>
      <c r="D429" s="11"/>
      <c r="E429" s="13">
        <v>6.0</v>
      </c>
      <c r="F429" s="13">
        <v>2.0</v>
      </c>
      <c r="G429" s="12">
        <f t="shared" si="78"/>
        <v>4</v>
      </c>
      <c r="H429" s="12">
        <f t="shared" si="79"/>
        <v>9</v>
      </c>
      <c r="I429" s="14">
        <f t="shared" si="80"/>
        <v>24</v>
      </c>
    </row>
    <row r="430">
      <c r="A430" s="11" t="s">
        <v>20</v>
      </c>
      <c r="B430" s="12">
        <f t="shared" si="77"/>
        <v>20</v>
      </c>
      <c r="C430" s="11"/>
      <c r="D430" s="11"/>
      <c r="E430" s="13">
        <v>6.0</v>
      </c>
      <c r="F430" s="13">
        <v>6.0</v>
      </c>
      <c r="G430" s="12">
        <f t="shared" si="78"/>
        <v>0</v>
      </c>
      <c r="H430" s="12">
        <f t="shared" si="79"/>
        <v>20</v>
      </c>
      <c r="I430" s="14">
        <f t="shared" si="80"/>
        <v>0</v>
      </c>
    </row>
    <row r="431">
      <c r="A431" s="11" t="s">
        <v>21</v>
      </c>
      <c r="B431" s="12">
        <f t="shared" si="77"/>
        <v>10</v>
      </c>
      <c r="C431" s="11"/>
      <c r="D431" s="11"/>
      <c r="E431" s="13">
        <v>2.0</v>
      </c>
      <c r="F431" s="13">
        <v>2.0</v>
      </c>
      <c r="G431" s="12">
        <f t="shared" si="78"/>
        <v>0</v>
      </c>
      <c r="H431" s="12">
        <f t="shared" si="79"/>
        <v>10</v>
      </c>
      <c r="I431" s="14">
        <f t="shared" si="80"/>
        <v>0</v>
      </c>
    </row>
    <row r="432">
      <c r="A432" s="11" t="s">
        <v>22</v>
      </c>
      <c r="B432" s="12">
        <f t="shared" si="77"/>
        <v>12</v>
      </c>
      <c r="C432" s="11"/>
      <c r="D432" s="11"/>
      <c r="E432" s="13">
        <v>5.0</v>
      </c>
      <c r="F432" s="13">
        <v>2.0</v>
      </c>
      <c r="G432" s="12">
        <f t="shared" si="78"/>
        <v>3</v>
      </c>
      <c r="H432" s="12">
        <f t="shared" si="79"/>
        <v>9</v>
      </c>
      <c r="I432" s="14">
        <f t="shared" si="80"/>
        <v>18</v>
      </c>
    </row>
    <row r="433">
      <c r="A433" s="11" t="s">
        <v>23</v>
      </c>
      <c r="B433" s="12">
        <f t="shared" si="77"/>
        <v>39</v>
      </c>
      <c r="C433" s="17"/>
      <c r="D433" s="11"/>
      <c r="E433" s="13">
        <v>6.0</v>
      </c>
      <c r="F433" s="13">
        <v>6.0</v>
      </c>
      <c r="G433" s="12">
        <f t="shared" si="78"/>
        <v>0</v>
      </c>
      <c r="H433" s="12">
        <f t="shared" si="79"/>
        <v>39</v>
      </c>
      <c r="I433" s="14">
        <f t="shared" si="80"/>
        <v>0</v>
      </c>
    </row>
    <row r="434">
      <c r="A434" s="11" t="s">
        <v>24</v>
      </c>
      <c r="B434" s="12">
        <f t="shared" si="77"/>
        <v>25</v>
      </c>
      <c r="C434" s="11"/>
      <c r="D434" s="11"/>
      <c r="E434" s="13">
        <v>4.0</v>
      </c>
      <c r="F434" s="13">
        <v>3.0</v>
      </c>
      <c r="G434" s="12">
        <f t="shared" si="78"/>
        <v>1</v>
      </c>
      <c r="H434" s="12">
        <f t="shared" si="79"/>
        <v>24</v>
      </c>
      <c r="I434" s="14">
        <f t="shared" si="80"/>
        <v>6</v>
      </c>
    </row>
    <row r="435">
      <c r="A435" s="11" t="s">
        <v>25</v>
      </c>
      <c r="B435" s="12">
        <f t="shared" si="77"/>
        <v>33</v>
      </c>
      <c r="C435" s="11"/>
      <c r="D435" s="11"/>
      <c r="E435" s="13">
        <v>10.0</v>
      </c>
      <c r="F435" s="13">
        <v>10.0</v>
      </c>
      <c r="G435" s="12">
        <f t="shared" si="78"/>
        <v>0</v>
      </c>
      <c r="H435" s="12">
        <f t="shared" si="79"/>
        <v>33</v>
      </c>
      <c r="I435" s="14">
        <f t="shared" si="80"/>
        <v>0</v>
      </c>
    </row>
    <row r="436">
      <c r="A436" s="11" t="s">
        <v>26</v>
      </c>
      <c r="B436" s="12">
        <f t="shared" si="77"/>
        <v>19</v>
      </c>
      <c r="C436" s="11"/>
      <c r="D436" s="11"/>
      <c r="E436" s="13">
        <v>6.0</v>
      </c>
      <c r="F436" s="13">
        <v>5.0</v>
      </c>
      <c r="G436" s="12">
        <f t="shared" si="78"/>
        <v>1</v>
      </c>
      <c r="H436" s="12">
        <f t="shared" si="79"/>
        <v>18</v>
      </c>
      <c r="I436" s="14">
        <f t="shared" si="80"/>
        <v>6</v>
      </c>
    </row>
    <row r="437">
      <c r="A437" s="11" t="s">
        <v>27</v>
      </c>
      <c r="B437" s="12">
        <f t="shared" si="77"/>
        <v>30</v>
      </c>
      <c r="C437" s="11"/>
      <c r="D437" s="11"/>
      <c r="E437" s="13">
        <v>4.0</v>
      </c>
      <c r="F437" s="13">
        <v>4.0</v>
      </c>
      <c r="G437" s="12">
        <f t="shared" si="78"/>
        <v>0</v>
      </c>
      <c r="H437" s="12">
        <f t="shared" si="79"/>
        <v>30</v>
      </c>
      <c r="I437" s="14">
        <f t="shared" si="80"/>
        <v>0</v>
      </c>
    </row>
    <row r="438">
      <c r="A438" s="11" t="s">
        <v>28</v>
      </c>
      <c r="B438" s="12">
        <f t="shared" si="77"/>
        <v>29</v>
      </c>
      <c r="C438" s="11"/>
      <c r="D438" s="11"/>
      <c r="E438" s="13">
        <v>8.0</v>
      </c>
      <c r="F438" s="13">
        <v>4.0</v>
      </c>
      <c r="G438" s="12">
        <f t="shared" si="78"/>
        <v>4</v>
      </c>
      <c r="H438" s="12">
        <f t="shared" si="79"/>
        <v>25</v>
      </c>
      <c r="I438" s="14">
        <f t="shared" si="80"/>
        <v>24</v>
      </c>
    </row>
    <row r="439">
      <c r="A439" s="11" t="s">
        <v>30</v>
      </c>
      <c r="B439" s="12">
        <f t="shared" si="77"/>
        <v>27</v>
      </c>
      <c r="C439" s="11"/>
      <c r="D439" s="11"/>
      <c r="E439" s="13">
        <v>2.0</v>
      </c>
      <c r="F439" s="13">
        <v>0.0</v>
      </c>
      <c r="G439" s="12">
        <f t="shared" si="78"/>
        <v>2</v>
      </c>
      <c r="H439" s="12">
        <f t="shared" si="79"/>
        <v>25</v>
      </c>
      <c r="I439" s="14">
        <f t="shared" si="80"/>
        <v>12</v>
      </c>
    </row>
    <row r="440">
      <c r="A440" s="18" t="s">
        <v>31</v>
      </c>
      <c r="B440" s="12">
        <v>21.0</v>
      </c>
      <c r="C440" s="11"/>
      <c r="D440" s="11"/>
      <c r="E440" s="13">
        <v>3.0</v>
      </c>
      <c r="F440" s="13">
        <v>3.0</v>
      </c>
      <c r="G440" s="12">
        <f t="shared" si="78"/>
        <v>0</v>
      </c>
      <c r="H440" s="12">
        <f t="shared" si="79"/>
        <v>21</v>
      </c>
      <c r="I440" s="14">
        <f t="shared" si="80"/>
        <v>0</v>
      </c>
    </row>
    <row r="441">
      <c r="A441" s="18" t="s">
        <v>32</v>
      </c>
      <c r="B441" s="12">
        <f>H413</f>
        <v>10</v>
      </c>
      <c r="C441" s="11"/>
      <c r="D441" s="11"/>
      <c r="E441" s="13">
        <v>3.0</v>
      </c>
      <c r="F441" s="13">
        <v>2.0</v>
      </c>
      <c r="G441" s="12">
        <f t="shared" si="78"/>
        <v>1</v>
      </c>
      <c r="H441" s="12">
        <f t="shared" si="79"/>
        <v>9</v>
      </c>
      <c r="I441" s="14">
        <f t="shared" si="80"/>
        <v>6</v>
      </c>
    </row>
    <row r="442">
      <c r="A442" s="19" t="s">
        <v>33</v>
      </c>
      <c r="B442" s="20">
        <f>SUM(B420:B441)</f>
        <v>553</v>
      </c>
      <c r="C442" s="19"/>
      <c r="D442" s="19"/>
      <c r="E442" s="20">
        <f t="shared" ref="E442:G442" si="81">SUM(E419:E441)</f>
        <v>114</v>
      </c>
      <c r="F442" s="20">
        <f t="shared" si="81"/>
        <v>93</v>
      </c>
      <c r="G442" s="20">
        <f t="shared" si="81"/>
        <v>21</v>
      </c>
      <c r="H442" s="20">
        <f>SUM(H420:H441)</f>
        <v>532</v>
      </c>
      <c r="I442" s="21">
        <f>SUM(I419:I441)</f>
        <v>126</v>
      </c>
    </row>
    <row r="443">
      <c r="A443" s="22"/>
      <c r="B443" s="22"/>
      <c r="C443" s="22"/>
      <c r="D443" s="22"/>
      <c r="E443" s="22"/>
      <c r="F443" s="23" t="s">
        <v>34</v>
      </c>
      <c r="G443" s="4"/>
      <c r="H443" s="24"/>
      <c r="I443" s="25"/>
    </row>
    <row r="445">
      <c r="A445" s="22"/>
      <c r="B445" s="22"/>
      <c r="C445" s="22"/>
      <c r="D445" s="22"/>
      <c r="E445" s="22"/>
      <c r="F445" s="22"/>
      <c r="G445" s="22"/>
      <c r="H445" s="22"/>
      <c r="I445" s="22"/>
    </row>
    <row r="446">
      <c r="A446" s="1"/>
      <c r="B446" s="2" t="s">
        <v>103</v>
      </c>
      <c r="C446" s="3"/>
      <c r="D446" s="3"/>
      <c r="E446" s="3"/>
      <c r="F446" s="3"/>
      <c r="G446" s="3"/>
      <c r="H446" s="3"/>
      <c r="I446" s="4"/>
    </row>
    <row r="447">
      <c r="A447" s="5" t="s">
        <v>1</v>
      </c>
      <c r="B447" s="6" t="s">
        <v>2</v>
      </c>
      <c r="C447" s="7" t="s">
        <v>3</v>
      </c>
      <c r="D447" s="8" t="s">
        <v>4</v>
      </c>
      <c r="E447" s="5" t="s">
        <v>5</v>
      </c>
      <c r="F447" s="5" t="s">
        <v>6</v>
      </c>
      <c r="G447" s="5" t="s">
        <v>7</v>
      </c>
      <c r="H447" s="9" t="s">
        <v>8</v>
      </c>
      <c r="I447" s="10" t="s">
        <v>9</v>
      </c>
    </row>
    <row r="448">
      <c r="A448" s="11" t="s">
        <v>10</v>
      </c>
      <c r="B448" s="12">
        <f t="shared" ref="B448:B467" si="82">H420</f>
        <v>20</v>
      </c>
      <c r="C448" s="11"/>
      <c r="D448" s="11"/>
      <c r="E448" s="13">
        <v>6.0</v>
      </c>
      <c r="F448" s="13">
        <v>5.0</v>
      </c>
      <c r="G448" s="12">
        <f t="shared" ref="G448:G469" si="83">E448-F448</f>
        <v>1</v>
      </c>
      <c r="H448" s="12">
        <f t="shared" ref="H448:H469" si="84">B448-C448+D448-G448</f>
        <v>19</v>
      </c>
      <c r="I448" s="14">
        <f t="shared" ref="I448:I469" si="85">G448*6</f>
        <v>6</v>
      </c>
    </row>
    <row r="449">
      <c r="A449" s="11" t="s">
        <v>11</v>
      </c>
      <c r="B449" s="12">
        <f t="shared" si="82"/>
        <v>42</v>
      </c>
      <c r="C449" s="17"/>
      <c r="D449" s="11"/>
      <c r="E449" s="13">
        <v>6.0</v>
      </c>
      <c r="F449" s="13">
        <v>5.0</v>
      </c>
      <c r="G449" s="12">
        <f t="shared" si="83"/>
        <v>1</v>
      </c>
      <c r="H449" s="12">
        <f t="shared" si="84"/>
        <v>41</v>
      </c>
      <c r="I449" s="14">
        <f t="shared" si="85"/>
        <v>6</v>
      </c>
    </row>
    <row r="450">
      <c r="A450" s="11" t="s">
        <v>12</v>
      </c>
      <c r="B450" s="12">
        <f t="shared" si="82"/>
        <v>41</v>
      </c>
      <c r="C450" s="11"/>
      <c r="D450" s="11"/>
      <c r="E450" s="13">
        <v>6.0</v>
      </c>
      <c r="F450" s="13">
        <v>5.0</v>
      </c>
      <c r="G450" s="12">
        <f t="shared" si="83"/>
        <v>1</v>
      </c>
      <c r="H450" s="12">
        <f t="shared" si="84"/>
        <v>40</v>
      </c>
      <c r="I450" s="14">
        <f t="shared" si="85"/>
        <v>6</v>
      </c>
    </row>
    <row r="451">
      <c r="A451" s="11" t="s">
        <v>13</v>
      </c>
      <c r="B451" s="12">
        <f t="shared" si="82"/>
        <v>31</v>
      </c>
      <c r="C451" s="11"/>
      <c r="D451" s="11"/>
      <c r="E451" s="13">
        <v>7.0</v>
      </c>
      <c r="F451" s="13">
        <v>7.0</v>
      </c>
      <c r="G451" s="12">
        <f t="shared" si="83"/>
        <v>0</v>
      </c>
      <c r="H451" s="12">
        <f t="shared" si="84"/>
        <v>31</v>
      </c>
      <c r="I451" s="14">
        <f t="shared" si="85"/>
        <v>0</v>
      </c>
    </row>
    <row r="452">
      <c r="A452" s="11" t="s">
        <v>14</v>
      </c>
      <c r="B452" s="12">
        <f t="shared" si="82"/>
        <v>29</v>
      </c>
      <c r="C452" s="11"/>
      <c r="D452" s="11"/>
      <c r="E452" s="13">
        <v>4.0</v>
      </c>
      <c r="F452" s="13">
        <v>2.0</v>
      </c>
      <c r="G452" s="12">
        <f t="shared" si="83"/>
        <v>2</v>
      </c>
      <c r="H452" s="12">
        <f t="shared" si="84"/>
        <v>27</v>
      </c>
      <c r="I452" s="14">
        <f t="shared" si="85"/>
        <v>12</v>
      </c>
    </row>
    <row r="453">
      <c r="A453" s="11" t="s">
        <v>15</v>
      </c>
      <c r="B453" s="12">
        <f t="shared" si="82"/>
        <v>16</v>
      </c>
      <c r="C453" s="11"/>
      <c r="D453" s="11"/>
      <c r="E453" s="13">
        <v>6.0</v>
      </c>
      <c r="F453" s="13">
        <v>4.0</v>
      </c>
      <c r="G453" s="12">
        <f t="shared" si="83"/>
        <v>2</v>
      </c>
      <c r="H453" s="12">
        <f t="shared" si="84"/>
        <v>14</v>
      </c>
      <c r="I453" s="14">
        <f t="shared" si="85"/>
        <v>12</v>
      </c>
    </row>
    <row r="454">
      <c r="A454" s="11" t="s">
        <v>16</v>
      </c>
      <c r="B454" s="12">
        <f t="shared" si="82"/>
        <v>25</v>
      </c>
      <c r="C454" s="11"/>
      <c r="D454" s="11"/>
      <c r="E454" s="13">
        <v>5.0</v>
      </c>
      <c r="F454" s="13">
        <v>5.0</v>
      </c>
      <c r="G454" s="12">
        <f t="shared" si="83"/>
        <v>0</v>
      </c>
      <c r="H454" s="12">
        <f t="shared" si="84"/>
        <v>25</v>
      </c>
      <c r="I454" s="14">
        <f t="shared" si="85"/>
        <v>0</v>
      </c>
    </row>
    <row r="455">
      <c r="A455" s="11" t="s">
        <v>17</v>
      </c>
      <c r="B455" s="12">
        <f t="shared" si="82"/>
        <v>29</v>
      </c>
      <c r="C455" s="11"/>
      <c r="D455" s="11"/>
      <c r="E455" s="13">
        <v>4.0</v>
      </c>
      <c r="F455" s="13">
        <v>4.0</v>
      </c>
      <c r="G455" s="12">
        <f t="shared" si="83"/>
        <v>0</v>
      </c>
      <c r="H455" s="12">
        <f t="shared" si="84"/>
        <v>29</v>
      </c>
      <c r="I455" s="14">
        <f t="shared" si="85"/>
        <v>0</v>
      </c>
    </row>
    <row r="456">
      <c r="A456" s="11" t="s">
        <v>18</v>
      </c>
      <c r="B456" s="12">
        <f t="shared" si="82"/>
        <v>27</v>
      </c>
      <c r="C456" s="11"/>
      <c r="D456" s="11"/>
      <c r="E456" s="13">
        <v>6.0</v>
      </c>
      <c r="F456" s="13">
        <v>6.0</v>
      </c>
      <c r="G456" s="12">
        <f t="shared" si="83"/>
        <v>0</v>
      </c>
      <c r="H456" s="12">
        <f t="shared" si="84"/>
        <v>27</v>
      </c>
      <c r="I456" s="14">
        <f t="shared" si="85"/>
        <v>0</v>
      </c>
    </row>
    <row r="457">
      <c r="A457" s="11" t="s">
        <v>19</v>
      </c>
      <c r="B457" s="12">
        <f t="shared" si="82"/>
        <v>9</v>
      </c>
      <c r="C457" s="11"/>
      <c r="D457" s="11"/>
      <c r="E457" s="13">
        <v>6.0</v>
      </c>
      <c r="F457" s="13">
        <v>6.0</v>
      </c>
      <c r="G457" s="12">
        <f t="shared" si="83"/>
        <v>0</v>
      </c>
      <c r="H457" s="12">
        <f t="shared" si="84"/>
        <v>9</v>
      </c>
      <c r="I457" s="14">
        <f t="shared" si="85"/>
        <v>0</v>
      </c>
    </row>
    <row r="458">
      <c r="A458" s="11" t="s">
        <v>20</v>
      </c>
      <c r="B458" s="12">
        <f t="shared" si="82"/>
        <v>20</v>
      </c>
      <c r="C458" s="11"/>
      <c r="D458" s="11"/>
      <c r="E458" s="13">
        <v>6.0</v>
      </c>
      <c r="F458" s="13">
        <v>1.0</v>
      </c>
      <c r="G458" s="12">
        <f t="shared" si="83"/>
        <v>5</v>
      </c>
      <c r="H458" s="12">
        <f t="shared" si="84"/>
        <v>15</v>
      </c>
      <c r="I458" s="14">
        <f t="shared" si="85"/>
        <v>30</v>
      </c>
    </row>
    <row r="459">
      <c r="A459" s="11" t="s">
        <v>21</v>
      </c>
      <c r="B459" s="12">
        <f t="shared" si="82"/>
        <v>10</v>
      </c>
      <c r="C459" s="11"/>
      <c r="D459" s="11"/>
      <c r="E459" s="13">
        <v>2.0</v>
      </c>
      <c r="F459" s="13">
        <v>2.0</v>
      </c>
      <c r="G459" s="12">
        <f t="shared" si="83"/>
        <v>0</v>
      </c>
      <c r="H459" s="12">
        <f t="shared" si="84"/>
        <v>10</v>
      </c>
      <c r="I459" s="14">
        <f t="shared" si="85"/>
        <v>0</v>
      </c>
    </row>
    <row r="460">
      <c r="A460" s="11" t="s">
        <v>22</v>
      </c>
      <c r="B460" s="12">
        <f t="shared" si="82"/>
        <v>9</v>
      </c>
      <c r="C460" s="13">
        <v>1.0</v>
      </c>
      <c r="D460" s="11"/>
      <c r="E460" s="13">
        <v>5.0</v>
      </c>
      <c r="F460" s="13">
        <v>5.0</v>
      </c>
      <c r="G460" s="12">
        <f t="shared" si="83"/>
        <v>0</v>
      </c>
      <c r="H460" s="12">
        <f t="shared" si="84"/>
        <v>8</v>
      </c>
      <c r="I460" s="14">
        <f t="shared" si="85"/>
        <v>0</v>
      </c>
    </row>
    <row r="461">
      <c r="A461" s="11" t="s">
        <v>23</v>
      </c>
      <c r="B461" s="12">
        <f t="shared" si="82"/>
        <v>39</v>
      </c>
      <c r="C461" s="17"/>
      <c r="D461" s="11"/>
      <c r="E461" s="13">
        <v>6.0</v>
      </c>
      <c r="F461" s="13">
        <v>2.0</v>
      </c>
      <c r="G461" s="12">
        <f t="shared" si="83"/>
        <v>4</v>
      </c>
      <c r="H461" s="12">
        <f t="shared" si="84"/>
        <v>35</v>
      </c>
      <c r="I461" s="14">
        <f t="shared" si="85"/>
        <v>24</v>
      </c>
    </row>
    <row r="462">
      <c r="A462" s="11" t="s">
        <v>24</v>
      </c>
      <c r="B462" s="12">
        <f t="shared" si="82"/>
        <v>24</v>
      </c>
      <c r="C462" s="11"/>
      <c r="D462" s="11"/>
      <c r="E462" s="13">
        <v>4.0</v>
      </c>
      <c r="F462" s="13">
        <v>4.0</v>
      </c>
      <c r="G462" s="12">
        <f t="shared" si="83"/>
        <v>0</v>
      </c>
      <c r="H462" s="12">
        <f t="shared" si="84"/>
        <v>24</v>
      </c>
      <c r="I462" s="14">
        <f t="shared" si="85"/>
        <v>0</v>
      </c>
    </row>
    <row r="463">
      <c r="A463" s="11" t="s">
        <v>25</v>
      </c>
      <c r="B463" s="12">
        <f t="shared" si="82"/>
        <v>33</v>
      </c>
      <c r="C463" s="11"/>
      <c r="D463" s="11"/>
      <c r="E463" s="13">
        <v>10.0</v>
      </c>
      <c r="F463" s="13">
        <v>4.0</v>
      </c>
      <c r="G463" s="12">
        <f t="shared" si="83"/>
        <v>6</v>
      </c>
      <c r="H463" s="12">
        <f t="shared" si="84"/>
        <v>27</v>
      </c>
      <c r="I463" s="14">
        <f t="shared" si="85"/>
        <v>36</v>
      </c>
    </row>
    <row r="464">
      <c r="A464" s="11" t="s">
        <v>26</v>
      </c>
      <c r="B464" s="12">
        <f t="shared" si="82"/>
        <v>18</v>
      </c>
      <c r="C464" s="11"/>
      <c r="D464" s="11"/>
      <c r="E464" s="13">
        <v>6.0</v>
      </c>
      <c r="F464" s="13">
        <v>5.0</v>
      </c>
      <c r="G464" s="12">
        <f t="shared" si="83"/>
        <v>1</v>
      </c>
      <c r="H464" s="12">
        <f t="shared" si="84"/>
        <v>17</v>
      </c>
      <c r="I464" s="14">
        <f t="shared" si="85"/>
        <v>6</v>
      </c>
    </row>
    <row r="465">
      <c r="A465" s="11" t="s">
        <v>27</v>
      </c>
      <c r="B465" s="12">
        <f t="shared" si="82"/>
        <v>30</v>
      </c>
      <c r="C465" s="11"/>
      <c r="D465" s="11"/>
      <c r="E465" s="13">
        <v>4.0</v>
      </c>
      <c r="F465" s="13">
        <v>4.0</v>
      </c>
      <c r="G465" s="12">
        <f t="shared" si="83"/>
        <v>0</v>
      </c>
      <c r="H465" s="12">
        <f t="shared" si="84"/>
        <v>30</v>
      </c>
      <c r="I465" s="14">
        <f t="shared" si="85"/>
        <v>0</v>
      </c>
    </row>
    <row r="466">
      <c r="A466" s="11" t="s">
        <v>28</v>
      </c>
      <c r="B466" s="12">
        <f t="shared" si="82"/>
        <v>25</v>
      </c>
      <c r="C466" s="11"/>
      <c r="D466" s="11"/>
      <c r="E466" s="13">
        <v>8.0</v>
      </c>
      <c r="F466" s="13">
        <v>7.0</v>
      </c>
      <c r="G466" s="12">
        <f t="shared" si="83"/>
        <v>1</v>
      </c>
      <c r="H466" s="12">
        <f t="shared" si="84"/>
        <v>24</v>
      </c>
      <c r="I466" s="14">
        <f t="shared" si="85"/>
        <v>6</v>
      </c>
    </row>
    <row r="467">
      <c r="A467" s="11" t="s">
        <v>30</v>
      </c>
      <c r="B467" s="12">
        <f t="shared" si="82"/>
        <v>25</v>
      </c>
      <c r="C467" s="11"/>
      <c r="D467" s="11"/>
      <c r="E467" s="13">
        <v>3.0</v>
      </c>
      <c r="F467" s="13">
        <v>3.0</v>
      </c>
      <c r="G467" s="12">
        <f t="shared" si="83"/>
        <v>0</v>
      </c>
      <c r="H467" s="12">
        <f t="shared" si="84"/>
        <v>25</v>
      </c>
      <c r="I467" s="14">
        <f t="shared" si="85"/>
        <v>0</v>
      </c>
    </row>
    <row r="468">
      <c r="A468" s="18" t="s">
        <v>31</v>
      </c>
      <c r="B468" s="12">
        <v>21.0</v>
      </c>
      <c r="C468" s="11"/>
      <c r="D468" s="11"/>
      <c r="E468" s="13">
        <v>3.0</v>
      </c>
      <c r="F468" s="13">
        <v>3.0</v>
      </c>
      <c r="G468" s="12">
        <f t="shared" si="83"/>
        <v>0</v>
      </c>
      <c r="H468" s="12">
        <f t="shared" si="84"/>
        <v>21</v>
      </c>
      <c r="I468" s="14">
        <f t="shared" si="85"/>
        <v>0</v>
      </c>
    </row>
    <row r="469">
      <c r="A469" s="18" t="s">
        <v>32</v>
      </c>
      <c r="B469" s="12">
        <f>H441</f>
        <v>9</v>
      </c>
      <c r="C469" s="13">
        <v>1.0</v>
      </c>
      <c r="D469" s="11"/>
      <c r="E469" s="13">
        <v>3.0</v>
      </c>
      <c r="F469" s="13">
        <v>2.0</v>
      </c>
      <c r="G469" s="12">
        <f t="shared" si="83"/>
        <v>1</v>
      </c>
      <c r="H469" s="12">
        <f t="shared" si="84"/>
        <v>7</v>
      </c>
      <c r="I469" s="14">
        <f t="shared" si="85"/>
        <v>6</v>
      </c>
    </row>
    <row r="470">
      <c r="A470" s="19" t="s">
        <v>33</v>
      </c>
      <c r="B470" s="20">
        <f>SUM(B448:B469)</f>
        <v>532</v>
      </c>
      <c r="C470" s="19"/>
      <c r="D470" s="19"/>
      <c r="E470" s="20">
        <f t="shared" ref="E470:G470" si="86">SUM(E447:E469)</f>
        <v>116</v>
      </c>
      <c r="F470" s="20">
        <f t="shared" si="86"/>
        <v>91</v>
      </c>
      <c r="G470" s="20">
        <f t="shared" si="86"/>
        <v>25</v>
      </c>
      <c r="H470" s="20">
        <f>SUM(H448:H469)</f>
        <v>505</v>
      </c>
      <c r="I470" s="21">
        <f>SUM(I447:I469)</f>
        <v>150</v>
      </c>
    </row>
    <row r="471">
      <c r="A471" s="22"/>
      <c r="B471" s="22"/>
      <c r="C471" s="22"/>
      <c r="D471" s="22"/>
      <c r="E471" s="22"/>
      <c r="F471" s="23" t="s">
        <v>34</v>
      </c>
      <c r="G471" s="4"/>
      <c r="H471" s="24"/>
      <c r="I471" s="25"/>
    </row>
    <row r="473">
      <c r="A473" s="22"/>
      <c r="B473" s="22"/>
      <c r="C473" s="22"/>
      <c r="D473" s="22"/>
      <c r="E473" s="22"/>
      <c r="F473" s="22"/>
      <c r="G473" s="22"/>
      <c r="H473" s="22"/>
      <c r="I473" s="22"/>
    </row>
    <row r="474">
      <c r="A474" s="1"/>
      <c r="B474" s="2" t="s">
        <v>62</v>
      </c>
      <c r="C474" s="3"/>
      <c r="D474" s="3"/>
      <c r="E474" s="3"/>
      <c r="F474" s="3"/>
      <c r="G474" s="3"/>
      <c r="H474" s="3"/>
      <c r="I474" s="4"/>
    </row>
    <row r="475">
      <c r="A475" s="5" t="s">
        <v>1</v>
      </c>
      <c r="B475" s="6" t="s">
        <v>2</v>
      </c>
      <c r="C475" s="7" t="s">
        <v>3</v>
      </c>
      <c r="D475" s="8" t="s">
        <v>4</v>
      </c>
      <c r="E475" s="5" t="s">
        <v>5</v>
      </c>
      <c r="F475" s="5" t="s">
        <v>6</v>
      </c>
      <c r="G475" s="5" t="s">
        <v>7</v>
      </c>
      <c r="H475" s="9" t="s">
        <v>8</v>
      </c>
      <c r="I475" s="10" t="s">
        <v>9</v>
      </c>
    </row>
    <row r="476">
      <c r="A476" s="11" t="s">
        <v>10</v>
      </c>
      <c r="B476" s="12">
        <f t="shared" ref="B476:B495" si="87">H448</f>
        <v>19</v>
      </c>
      <c r="C476" s="11"/>
      <c r="D476" s="11"/>
      <c r="E476" s="13">
        <v>6.0</v>
      </c>
      <c r="F476" s="13">
        <v>6.0</v>
      </c>
      <c r="G476" s="12">
        <f t="shared" ref="G476:G497" si="88">E476-F476</f>
        <v>0</v>
      </c>
      <c r="H476" s="12">
        <f t="shared" ref="H476:H497" si="89">B476-C476+D476-G476</f>
        <v>19</v>
      </c>
      <c r="I476" s="14">
        <f t="shared" ref="I476:I497" si="90">G476*6</f>
        <v>0</v>
      </c>
    </row>
    <row r="477">
      <c r="A477" s="11" t="s">
        <v>11</v>
      </c>
      <c r="B477" s="12">
        <f t="shared" si="87"/>
        <v>41</v>
      </c>
      <c r="C477" s="17"/>
      <c r="D477" s="11"/>
      <c r="E477" s="13">
        <v>6.0</v>
      </c>
      <c r="F477" s="13">
        <v>6.0</v>
      </c>
      <c r="G477" s="12">
        <f t="shared" si="88"/>
        <v>0</v>
      </c>
      <c r="H477" s="12">
        <f t="shared" si="89"/>
        <v>41</v>
      </c>
      <c r="I477" s="14">
        <f t="shared" si="90"/>
        <v>0</v>
      </c>
    </row>
    <row r="478">
      <c r="A478" s="11" t="s">
        <v>12</v>
      </c>
      <c r="B478" s="12">
        <f t="shared" si="87"/>
        <v>40</v>
      </c>
      <c r="C478" s="11"/>
      <c r="D478" s="11"/>
      <c r="E478" s="13">
        <v>6.0</v>
      </c>
      <c r="F478" s="13">
        <v>6.0</v>
      </c>
      <c r="G478" s="12">
        <f t="shared" si="88"/>
        <v>0</v>
      </c>
      <c r="H478" s="12">
        <f t="shared" si="89"/>
        <v>40</v>
      </c>
      <c r="I478" s="14">
        <f t="shared" si="90"/>
        <v>0</v>
      </c>
    </row>
    <row r="479">
      <c r="A479" s="11" t="s">
        <v>13</v>
      </c>
      <c r="B479" s="12">
        <f t="shared" si="87"/>
        <v>31</v>
      </c>
      <c r="C479" s="13">
        <v>1.0</v>
      </c>
      <c r="D479" s="11"/>
      <c r="E479" s="13">
        <v>6.0</v>
      </c>
      <c r="F479" s="13">
        <v>5.0</v>
      </c>
      <c r="G479" s="12">
        <f t="shared" si="88"/>
        <v>1</v>
      </c>
      <c r="H479" s="12">
        <f t="shared" si="89"/>
        <v>29</v>
      </c>
      <c r="I479" s="14">
        <f t="shared" si="90"/>
        <v>6</v>
      </c>
    </row>
    <row r="480">
      <c r="A480" s="11" t="s">
        <v>14</v>
      </c>
      <c r="B480" s="12">
        <f t="shared" si="87"/>
        <v>27</v>
      </c>
      <c r="C480" s="11"/>
      <c r="D480" s="11"/>
      <c r="E480" s="13">
        <v>4.0</v>
      </c>
      <c r="F480" s="13">
        <v>3.0</v>
      </c>
      <c r="G480" s="12">
        <f t="shared" si="88"/>
        <v>1</v>
      </c>
      <c r="H480" s="12">
        <f t="shared" si="89"/>
        <v>26</v>
      </c>
      <c r="I480" s="14">
        <f t="shared" si="90"/>
        <v>6</v>
      </c>
    </row>
    <row r="481">
      <c r="A481" s="11" t="s">
        <v>15</v>
      </c>
      <c r="B481" s="12">
        <f t="shared" si="87"/>
        <v>14</v>
      </c>
      <c r="C481" s="11"/>
      <c r="D481" s="11"/>
      <c r="E481" s="13">
        <v>6.0</v>
      </c>
      <c r="F481" s="13">
        <v>5.0</v>
      </c>
      <c r="G481" s="12">
        <f t="shared" si="88"/>
        <v>1</v>
      </c>
      <c r="H481" s="12">
        <f t="shared" si="89"/>
        <v>13</v>
      </c>
      <c r="I481" s="14">
        <f t="shared" si="90"/>
        <v>6</v>
      </c>
    </row>
    <row r="482">
      <c r="A482" s="11" t="s">
        <v>16</v>
      </c>
      <c r="B482" s="12">
        <f t="shared" si="87"/>
        <v>25</v>
      </c>
      <c r="C482" s="11"/>
      <c r="D482" s="11"/>
      <c r="E482" s="13">
        <v>4.0</v>
      </c>
      <c r="F482" s="13">
        <v>4.0</v>
      </c>
      <c r="G482" s="12">
        <f t="shared" si="88"/>
        <v>0</v>
      </c>
      <c r="H482" s="12">
        <f t="shared" si="89"/>
        <v>25</v>
      </c>
      <c r="I482" s="14">
        <f t="shared" si="90"/>
        <v>0</v>
      </c>
    </row>
    <row r="483">
      <c r="A483" s="11" t="s">
        <v>17</v>
      </c>
      <c r="B483" s="12">
        <f t="shared" si="87"/>
        <v>29</v>
      </c>
      <c r="C483" s="11"/>
      <c r="D483" s="11"/>
      <c r="E483" s="13">
        <v>4.0</v>
      </c>
      <c r="F483" s="13">
        <v>4.0</v>
      </c>
      <c r="G483" s="12">
        <f t="shared" si="88"/>
        <v>0</v>
      </c>
      <c r="H483" s="12">
        <f t="shared" si="89"/>
        <v>29</v>
      </c>
      <c r="I483" s="14">
        <f t="shared" si="90"/>
        <v>0</v>
      </c>
    </row>
    <row r="484">
      <c r="A484" s="11" t="s">
        <v>18</v>
      </c>
      <c r="B484" s="12">
        <f t="shared" si="87"/>
        <v>27</v>
      </c>
      <c r="C484" s="11"/>
      <c r="D484" s="11"/>
      <c r="E484" s="13">
        <v>4.0</v>
      </c>
      <c r="F484" s="13">
        <v>4.0</v>
      </c>
      <c r="G484" s="12">
        <f t="shared" si="88"/>
        <v>0</v>
      </c>
      <c r="H484" s="12">
        <f t="shared" si="89"/>
        <v>27</v>
      </c>
      <c r="I484" s="14">
        <f t="shared" si="90"/>
        <v>0</v>
      </c>
    </row>
    <row r="485">
      <c r="A485" s="11" t="s">
        <v>19</v>
      </c>
      <c r="B485" s="12">
        <f t="shared" si="87"/>
        <v>9</v>
      </c>
      <c r="C485" s="11"/>
      <c r="D485" s="11"/>
      <c r="E485" s="13">
        <v>4.0</v>
      </c>
      <c r="F485" s="13">
        <v>3.0</v>
      </c>
      <c r="G485" s="12">
        <f t="shared" si="88"/>
        <v>1</v>
      </c>
      <c r="H485" s="12">
        <f t="shared" si="89"/>
        <v>8</v>
      </c>
      <c r="I485" s="14">
        <f t="shared" si="90"/>
        <v>6</v>
      </c>
    </row>
    <row r="486">
      <c r="A486" s="11" t="s">
        <v>20</v>
      </c>
      <c r="B486" s="12">
        <f t="shared" si="87"/>
        <v>15</v>
      </c>
      <c r="C486" s="11"/>
      <c r="D486" s="11"/>
      <c r="E486" s="13">
        <v>4.0</v>
      </c>
      <c r="F486" s="13">
        <v>4.0</v>
      </c>
      <c r="G486" s="12">
        <f t="shared" si="88"/>
        <v>0</v>
      </c>
      <c r="H486" s="12">
        <f t="shared" si="89"/>
        <v>15</v>
      </c>
      <c r="I486" s="14">
        <f t="shared" si="90"/>
        <v>0</v>
      </c>
    </row>
    <row r="487">
      <c r="A487" s="11" t="s">
        <v>21</v>
      </c>
      <c r="B487" s="12">
        <f t="shared" si="87"/>
        <v>10</v>
      </c>
      <c r="C487" s="11"/>
      <c r="D487" s="11"/>
      <c r="E487" s="13">
        <v>2.0</v>
      </c>
      <c r="F487" s="13">
        <v>1.0</v>
      </c>
      <c r="G487" s="12">
        <f t="shared" si="88"/>
        <v>1</v>
      </c>
      <c r="H487" s="12">
        <f t="shared" si="89"/>
        <v>9</v>
      </c>
      <c r="I487" s="14">
        <f t="shared" si="90"/>
        <v>6</v>
      </c>
    </row>
    <row r="488">
      <c r="A488" s="11" t="s">
        <v>22</v>
      </c>
      <c r="B488" s="12">
        <f t="shared" si="87"/>
        <v>8</v>
      </c>
      <c r="C488" s="11"/>
      <c r="D488" s="11"/>
      <c r="E488" s="13">
        <v>4.0</v>
      </c>
      <c r="F488" s="13">
        <v>3.0</v>
      </c>
      <c r="G488" s="12">
        <f t="shared" si="88"/>
        <v>1</v>
      </c>
      <c r="H488" s="12">
        <f t="shared" si="89"/>
        <v>7</v>
      </c>
      <c r="I488" s="14">
        <f t="shared" si="90"/>
        <v>6</v>
      </c>
    </row>
    <row r="489">
      <c r="A489" s="11" t="s">
        <v>23</v>
      </c>
      <c r="B489" s="12">
        <f t="shared" si="87"/>
        <v>35</v>
      </c>
      <c r="C489" s="17"/>
      <c r="D489" s="11"/>
      <c r="E489" s="13">
        <v>6.0</v>
      </c>
      <c r="F489" s="13">
        <v>4.0</v>
      </c>
      <c r="G489" s="12">
        <f t="shared" si="88"/>
        <v>2</v>
      </c>
      <c r="H489" s="12">
        <f t="shared" si="89"/>
        <v>33</v>
      </c>
      <c r="I489" s="14">
        <f t="shared" si="90"/>
        <v>12</v>
      </c>
    </row>
    <row r="490">
      <c r="A490" s="11" t="s">
        <v>24</v>
      </c>
      <c r="B490" s="12">
        <f t="shared" si="87"/>
        <v>24</v>
      </c>
      <c r="C490" s="11"/>
      <c r="D490" s="11"/>
      <c r="E490" s="13">
        <v>4.0</v>
      </c>
      <c r="F490" s="13">
        <v>4.0</v>
      </c>
      <c r="G490" s="12">
        <f t="shared" si="88"/>
        <v>0</v>
      </c>
      <c r="H490" s="12">
        <f t="shared" si="89"/>
        <v>24</v>
      </c>
      <c r="I490" s="14">
        <f t="shared" si="90"/>
        <v>0</v>
      </c>
    </row>
    <row r="491">
      <c r="A491" s="11" t="s">
        <v>25</v>
      </c>
      <c r="B491" s="12">
        <f t="shared" si="87"/>
        <v>27</v>
      </c>
      <c r="C491" s="11"/>
      <c r="D491" s="11"/>
      <c r="E491" s="13">
        <v>8.0</v>
      </c>
      <c r="F491" s="13">
        <v>3.0</v>
      </c>
      <c r="G491" s="12">
        <f t="shared" si="88"/>
        <v>5</v>
      </c>
      <c r="H491" s="12">
        <f t="shared" si="89"/>
        <v>22</v>
      </c>
      <c r="I491" s="14">
        <f t="shared" si="90"/>
        <v>30</v>
      </c>
    </row>
    <row r="492">
      <c r="A492" s="11" t="s">
        <v>26</v>
      </c>
      <c r="B492" s="12">
        <f t="shared" si="87"/>
        <v>17</v>
      </c>
      <c r="C492" s="11"/>
      <c r="D492" s="11"/>
      <c r="E492" s="13">
        <v>4.0</v>
      </c>
      <c r="F492" s="13">
        <v>4.0</v>
      </c>
      <c r="G492" s="12">
        <f t="shared" si="88"/>
        <v>0</v>
      </c>
      <c r="H492" s="12">
        <f t="shared" si="89"/>
        <v>17</v>
      </c>
      <c r="I492" s="14">
        <f t="shared" si="90"/>
        <v>0</v>
      </c>
    </row>
    <row r="493">
      <c r="A493" s="11" t="s">
        <v>27</v>
      </c>
      <c r="B493" s="12">
        <f t="shared" si="87"/>
        <v>30</v>
      </c>
      <c r="C493" s="11"/>
      <c r="D493" s="11"/>
      <c r="E493" s="13">
        <v>4.0</v>
      </c>
      <c r="F493" s="13">
        <v>4.0</v>
      </c>
      <c r="G493" s="12">
        <f t="shared" si="88"/>
        <v>0</v>
      </c>
      <c r="H493" s="12">
        <f t="shared" si="89"/>
        <v>30</v>
      </c>
      <c r="I493" s="14">
        <f t="shared" si="90"/>
        <v>0</v>
      </c>
    </row>
    <row r="494">
      <c r="A494" s="11" t="s">
        <v>28</v>
      </c>
      <c r="B494" s="12">
        <f t="shared" si="87"/>
        <v>24</v>
      </c>
      <c r="C494" s="11"/>
      <c r="D494" s="11"/>
      <c r="E494" s="13">
        <v>8.0</v>
      </c>
      <c r="F494" s="13">
        <v>5.0</v>
      </c>
      <c r="G494" s="12">
        <f t="shared" si="88"/>
        <v>3</v>
      </c>
      <c r="H494" s="12">
        <f t="shared" si="89"/>
        <v>21</v>
      </c>
      <c r="I494" s="14">
        <f t="shared" si="90"/>
        <v>18</v>
      </c>
    </row>
    <row r="495">
      <c r="A495" s="11" t="s">
        <v>30</v>
      </c>
      <c r="B495" s="12">
        <f t="shared" si="87"/>
        <v>25</v>
      </c>
      <c r="C495" s="11"/>
      <c r="D495" s="11"/>
      <c r="E495" s="13">
        <v>2.0</v>
      </c>
      <c r="F495" s="13">
        <v>2.0</v>
      </c>
      <c r="G495" s="12">
        <f t="shared" si="88"/>
        <v>0</v>
      </c>
      <c r="H495" s="12">
        <f t="shared" si="89"/>
        <v>25</v>
      </c>
      <c r="I495" s="14">
        <f t="shared" si="90"/>
        <v>0</v>
      </c>
    </row>
    <row r="496">
      <c r="A496" s="18" t="s">
        <v>31</v>
      </c>
      <c r="B496" s="12">
        <v>21.0</v>
      </c>
      <c r="C496" s="11"/>
      <c r="D496" s="11"/>
      <c r="E496" s="13">
        <v>2.0</v>
      </c>
      <c r="F496" s="13">
        <v>2.0</v>
      </c>
      <c r="G496" s="12">
        <f t="shared" si="88"/>
        <v>0</v>
      </c>
      <c r="H496" s="12">
        <f t="shared" si="89"/>
        <v>21</v>
      </c>
      <c r="I496" s="14">
        <f t="shared" si="90"/>
        <v>0</v>
      </c>
    </row>
    <row r="497">
      <c r="A497" s="18" t="s">
        <v>32</v>
      </c>
      <c r="B497" s="12">
        <f>H469</f>
        <v>7</v>
      </c>
      <c r="C497" s="11"/>
      <c r="D497" s="11"/>
      <c r="E497" s="13">
        <v>2.0</v>
      </c>
      <c r="F497" s="13">
        <v>2.0</v>
      </c>
      <c r="G497" s="12">
        <f t="shared" si="88"/>
        <v>0</v>
      </c>
      <c r="H497" s="12">
        <f t="shared" si="89"/>
        <v>7</v>
      </c>
      <c r="I497" s="14">
        <f t="shared" si="90"/>
        <v>0</v>
      </c>
    </row>
    <row r="498">
      <c r="A498" s="19" t="s">
        <v>33</v>
      </c>
      <c r="B498" s="20">
        <f>SUM(B476:B497)</f>
        <v>505</v>
      </c>
      <c r="C498" s="19"/>
      <c r="D498" s="19"/>
      <c r="E498" s="20">
        <f t="shared" ref="E498:G498" si="91">SUM(E475:E497)</f>
        <v>100</v>
      </c>
      <c r="F498" s="20">
        <f t="shared" si="91"/>
        <v>84</v>
      </c>
      <c r="G498" s="20">
        <f t="shared" si="91"/>
        <v>16</v>
      </c>
      <c r="H498" s="20">
        <f>SUM(H476:H497)</f>
        <v>488</v>
      </c>
      <c r="I498" s="21">
        <f>SUM(I475:I497)</f>
        <v>96</v>
      </c>
    </row>
    <row r="499">
      <c r="A499" s="22"/>
      <c r="B499" s="22"/>
      <c r="C499" s="22"/>
      <c r="D499" s="22"/>
      <c r="E499" s="22"/>
      <c r="F499" s="23" t="s">
        <v>34</v>
      </c>
      <c r="G499" s="4"/>
      <c r="H499" s="24"/>
      <c r="I499" s="25"/>
    </row>
    <row r="501">
      <c r="A501" s="22"/>
      <c r="B501" s="22"/>
      <c r="C501" s="22"/>
      <c r="D501" s="22"/>
      <c r="E501" s="22"/>
      <c r="F501" s="22"/>
      <c r="G501" s="22"/>
      <c r="H501" s="22"/>
      <c r="I501" s="22"/>
    </row>
    <row r="502">
      <c r="A502" s="1"/>
      <c r="B502" s="2" t="s">
        <v>104</v>
      </c>
      <c r="C502" s="3"/>
      <c r="D502" s="3"/>
      <c r="E502" s="3"/>
      <c r="F502" s="3"/>
      <c r="G502" s="3"/>
      <c r="H502" s="3"/>
      <c r="I502" s="4"/>
    </row>
    <row r="503">
      <c r="A503" s="5" t="s">
        <v>1</v>
      </c>
      <c r="B503" s="6" t="s">
        <v>2</v>
      </c>
      <c r="C503" s="7" t="s">
        <v>3</v>
      </c>
      <c r="D503" s="8" t="s">
        <v>4</v>
      </c>
      <c r="E503" s="5" t="s">
        <v>5</v>
      </c>
      <c r="F503" s="5" t="s">
        <v>6</v>
      </c>
      <c r="G503" s="5" t="s">
        <v>7</v>
      </c>
      <c r="H503" s="9" t="s">
        <v>8</v>
      </c>
      <c r="I503" s="10" t="s">
        <v>9</v>
      </c>
    </row>
    <row r="504">
      <c r="A504" s="11" t="s">
        <v>10</v>
      </c>
      <c r="B504" s="12">
        <f t="shared" ref="B504:B523" si="92">H476</f>
        <v>19</v>
      </c>
      <c r="C504" s="11"/>
      <c r="D504" s="11"/>
      <c r="E504" s="11"/>
      <c r="F504" s="11"/>
      <c r="G504" s="12">
        <f t="shared" ref="G504:G525" si="93">E504-F504</f>
        <v>0</v>
      </c>
      <c r="H504" s="12">
        <f t="shared" ref="H504:H525" si="94">B504-C504+D504-G504</f>
        <v>19</v>
      </c>
      <c r="I504" s="14">
        <f t="shared" ref="I504:I525" si="95">G504*6</f>
        <v>0</v>
      </c>
    </row>
    <row r="505">
      <c r="A505" s="11" t="s">
        <v>11</v>
      </c>
      <c r="B505" s="12">
        <f t="shared" si="92"/>
        <v>41</v>
      </c>
      <c r="C505" s="17"/>
      <c r="D505" s="11"/>
      <c r="E505" s="11"/>
      <c r="F505" s="11"/>
      <c r="G505" s="12">
        <f t="shared" si="93"/>
        <v>0</v>
      </c>
      <c r="H505" s="12">
        <f t="shared" si="94"/>
        <v>41</v>
      </c>
      <c r="I505" s="14">
        <f t="shared" si="95"/>
        <v>0</v>
      </c>
    </row>
    <row r="506">
      <c r="A506" s="11" t="s">
        <v>12</v>
      </c>
      <c r="B506" s="12">
        <f t="shared" si="92"/>
        <v>40</v>
      </c>
      <c r="C506" s="11"/>
      <c r="D506" s="11"/>
      <c r="E506" s="11"/>
      <c r="F506" s="11"/>
      <c r="G506" s="12">
        <f t="shared" si="93"/>
        <v>0</v>
      </c>
      <c r="H506" s="12">
        <f t="shared" si="94"/>
        <v>40</v>
      </c>
      <c r="I506" s="14">
        <f t="shared" si="95"/>
        <v>0</v>
      </c>
    </row>
    <row r="507">
      <c r="A507" s="11" t="s">
        <v>13</v>
      </c>
      <c r="B507" s="12">
        <f t="shared" si="92"/>
        <v>29</v>
      </c>
      <c r="C507" s="11"/>
      <c r="D507" s="11"/>
      <c r="E507" s="11"/>
      <c r="F507" s="11"/>
      <c r="G507" s="12">
        <f t="shared" si="93"/>
        <v>0</v>
      </c>
      <c r="H507" s="12">
        <f t="shared" si="94"/>
        <v>29</v>
      </c>
      <c r="I507" s="14">
        <f t="shared" si="95"/>
        <v>0</v>
      </c>
    </row>
    <row r="508">
      <c r="A508" s="11" t="s">
        <v>14</v>
      </c>
      <c r="B508" s="12">
        <f t="shared" si="92"/>
        <v>26</v>
      </c>
      <c r="C508" s="11"/>
      <c r="D508" s="11"/>
      <c r="E508" s="11"/>
      <c r="F508" s="11"/>
      <c r="G508" s="12">
        <f t="shared" si="93"/>
        <v>0</v>
      </c>
      <c r="H508" s="12">
        <f t="shared" si="94"/>
        <v>26</v>
      </c>
      <c r="I508" s="14">
        <f t="shared" si="95"/>
        <v>0</v>
      </c>
    </row>
    <row r="509">
      <c r="A509" s="11" t="s">
        <v>15</v>
      </c>
      <c r="B509" s="12">
        <f t="shared" si="92"/>
        <v>13</v>
      </c>
      <c r="C509" s="11"/>
      <c r="D509" s="11"/>
      <c r="E509" s="11"/>
      <c r="F509" s="11"/>
      <c r="G509" s="12">
        <f t="shared" si="93"/>
        <v>0</v>
      </c>
      <c r="H509" s="12">
        <f t="shared" si="94"/>
        <v>13</v>
      </c>
      <c r="I509" s="14">
        <f t="shared" si="95"/>
        <v>0</v>
      </c>
    </row>
    <row r="510">
      <c r="A510" s="11" t="s">
        <v>16</v>
      </c>
      <c r="B510" s="12">
        <f t="shared" si="92"/>
        <v>25</v>
      </c>
      <c r="C510" s="11"/>
      <c r="D510" s="11"/>
      <c r="E510" s="11"/>
      <c r="F510" s="11"/>
      <c r="G510" s="12">
        <f t="shared" si="93"/>
        <v>0</v>
      </c>
      <c r="H510" s="12">
        <f t="shared" si="94"/>
        <v>25</v>
      </c>
      <c r="I510" s="14">
        <f t="shared" si="95"/>
        <v>0</v>
      </c>
    </row>
    <row r="511">
      <c r="A511" s="11" t="s">
        <v>17</v>
      </c>
      <c r="B511" s="12">
        <f t="shared" si="92"/>
        <v>29</v>
      </c>
      <c r="C511" s="11"/>
      <c r="D511" s="11"/>
      <c r="E511" s="11"/>
      <c r="F511" s="11"/>
      <c r="G511" s="12">
        <f t="shared" si="93"/>
        <v>0</v>
      </c>
      <c r="H511" s="12">
        <f t="shared" si="94"/>
        <v>29</v>
      </c>
      <c r="I511" s="14">
        <f t="shared" si="95"/>
        <v>0</v>
      </c>
    </row>
    <row r="512">
      <c r="A512" s="11" t="s">
        <v>18</v>
      </c>
      <c r="B512" s="12">
        <f t="shared" si="92"/>
        <v>27</v>
      </c>
      <c r="C512" s="11"/>
      <c r="D512" s="11"/>
      <c r="E512" s="11"/>
      <c r="F512" s="11"/>
      <c r="G512" s="12">
        <f t="shared" si="93"/>
        <v>0</v>
      </c>
      <c r="H512" s="12">
        <f t="shared" si="94"/>
        <v>27</v>
      </c>
      <c r="I512" s="14">
        <f t="shared" si="95"/>
        <v>0</v>
      </c>
    </row>
    <row r="513">
      <c r="A513" s="11" t="s">
        <v>19</v>
      </c>
      <c r="B513" s="12">
        <f t="shared" si="92"/>
        <v>8</v>
      </c>
      <c r="C513" s="11"/>
      <c r="D513" s="11"/>
      <c r="E513" s="11"/>
      <c r="F513" s="11"/>
      <c r="G513" s="12">
        <f t="shared" si="93"/>
        <v>0</v>
      </c>
      <c r="H513" s="12">
        <f t="shared" si="94"/>
        <v>8</v>
      </c>
      <c r="I513" s="14">
        <f t="shared" si="95"/>
        <v>0</v>
      </c>
    </row>
    <row r="514">
      <c r="A514" s="11" t="s">
        <v>20</v>
      </c>
      <c r="B514" s="12">
        <f t="shared" si="92"/>
        <v>15</v>
      </c>
      <c r="C514" s="11"/>
      <c r="D514" s="11"/>
      <c r="E514" s="11"/>
      <c r="F514" s="11"/>
      <c r="G514" s="12">
        <f t="shared" si="93"/>
        <v>0</v>
      </c>
      <c r="H514" s="12">
        <f t="shared" si="94"/>
        <v>15</v>
      </c>
      <c r="I514" s="14">
        <f t="shared" si="95"/>
        <v>0</v>
      </c>
    </row>
    <row r="515">
      <c r="A515" s="11" t="s">
        <v>21</v>
      </c>
      <c r="B515" s="12">
        <f t="shared" si="92"/>
        <v>9</v>
      </c>
      <c r="C515" s="11"/>
      <c r="D515" s="11"/>
      <c r="E515" s="11"/>
      <c r="F515" s="11"/>
      <c r="G515" s="12">
        <f t="shared" si="93"/>
        <v>0</v>
      </c>
      <c r="H515" s="12">
        <f t="shared" si="94"/>
        <v>9</v>
      </c>
      <c r="I515" s="14">
        <f t="shared" si="95"/>
        <v>0</v>
      </c>
    </row>
    <row r="516">
      <c r="A516" s="11" t="s">
        <v>22</v>
      </c>
      <c r="B516" s="12">
        <f t="shared" si="92"/>
        <v>7</v>
      </c>
      <c r="C516" s="11"/>
      <c r="D516" s="11"/>
      <c r="E516" s="11"/>
      <c r="F516" s="11"/>
      <c r="G516" s="12">
        <f t="shared" si="93"/>
        <v>0</v>
      </c>
      <c r="H516" s="12">
        <f t="shared" si="94"/>
        <v>7</v>
      </c>
      <c r="I516" s="14">
        <f t="shared" si="95"/>
        <v>0</v>
      </c>
    </row>
    <row r="517">
      <c r="A517" s="11" t="s">
        <v>23</v>
      </c>
      <c r="B517" s="12">
        <f t="shared" si="92"/>
        <v>33</v>
      </c>
      <c r="C517" s="17"/>
      <c r="D517" s="11"/>
      <c r="E517" s="11"/>
      <c r="F517" s="11"/>
      <c r="G517" s="12">
        <f t="shared" si="93"/>
        <v>0</v>
      </c>
      <c r="H517" s="12">
        <f t="shared" si="94"/>
        <v>33</v>
      </c>
      <c r="I517" s="14">
        <f t="shared" si="95"/>
        <v>0</v>
      </c>
    </row>
    <row r="518">
      <c r="A518" s="11" t="s">
        <v>24</v>
      </c>
      <c r="B518" s="12">
        <f t="shared" si="92"/>
        <v>24</v>
      </c>
      <c r="C518" s="11"/>
      <c r="D518" s="11"/>
      <c r="E518" s="11"/>
      <c r="F518" s="11"/>
      <c r="G518" s="12">
        <f t="shared" si="93"/>
        <v>0</v>
      </c>
      <c r="H518" s="12">
        <f t="shared" si="94"/>
        <v>24</v>
      </c>
      <c r="I518" s="14">
        <f t="shared" si="95"/>
        <v>0</v>
      </c>
    </row>
    <row r="519">
      <c r="A519" s="11" t="s">
        <v>25</v>
      </c>
      <c r="B519" s="12">
        <f t="shared" si="92"/>
        <v>22</v>
      </c>
      <c r="C519" s="11"/>
      <c r="D519" s="11"/>
      <c r="E519" s="11"/>
      <c r="F519" s="11"/>
      <c r="G519" s="12">
        <f t="shared" si="93"/>
        <v>0</v>
      </c>
      <c r="H519" s="12">
        <f t="shared" si="94"/>
        <v>22</v>
      </c>
      <c r="I519" s="14">
        <f t="shared" si="95"/>
        <v>0</v>
      </c>
    </row>
    <row r="520">
      <c r="A520" s="11" t="s">
        <v>26</v>
      </c>
      <c r="B520" s="12">
        <f t="shared" si="92"/>
        <v>17</v>
      </c>
      <c r="C520" s="11"/>
      <c r="D520" s="11"/>
      <c r="E520" s="11"/>
      <c r="F520" s="11"/>
      <c r="G520" s="12">
        <f t="shared" si="93"/>
        <v>0</v>
      </c>
      <c r="H520" s="12">
        <f t="shared" si="94"/>
        <v>17</v>
      </c>
      <c r="I520" s="14">
        <f t="shared" si="95"/>
        <v>0</v>
      </c>
    </row>
    <row r="521">
      <c r="A521" s="11" t="s">
        <v>27</v>
      </c>
      <c r="B521" s="12">
        <f t="shared" si="92"/>
        <v>30</v>
      </c>
      <c r="C521" s="11"/>
      <c r="D521" s="11"/>
      <c r="E521" s="11"/>
      <c r="F521" s="11"/>
      <c r="G521" s="12">
        <f t="shared" si="93"/>
        <v>0</v>
      </c>
      <c r="H521" s="12">
        <f t="shared" si="94"/>
        <v>30</v>
      </c>
      <c r="I521" s="14">
        <f t="shared" si="95"/>
        <v>0</v>
      </c>
    </row>
    <row r="522">
      <c r="A522" s="11" t="s">
        <v>28</v>
      </c>
      <c r="B522" s="12">
        <f t="shared" si="92"/>
        <v>21</v>
      </c>
      <c r="C522" s="11"/>
      <c r="D522" s="11"/>
      <c r="E522" s="11"/>
      <c r="F522" s="11"/>
      <c r="G522" s="12">
        <f t="shared" si="93"/>
        <v>0</v>
      </c>
      <c r="H522" s="12">
        <f t="shared" si="94"/>
        <v>21</v>
      </c>
      <c r="I522" s="14">
        <f t="shared" si="95"/>
        <v>0</v>
      </c>
    </row>
    <row r="523">
      <c r="A523" s="11" t="s">
        <v>30</v>
      </c>
      <c r="B523" s="12">
        <f t="shared" si="92"/>
        <v>25</v>
      </c>
      <c r="C523" s="11"/>
      <c r="D523" s="11"/>
      <c r="E523" s="11"/>
      <c r="F523" s="11"/>
      <c r="G523" s="12">
        <f t="shared" si="93"/>
        <v>0</v>
      </c>
      <c r="H523" s="12">
        <f t="shared" si="94"/>
        <v>25</v>
      </c>
      <c r="I523" s="14">
        <f t="shared" si="95"/>
        <v>0</v>
      </c>
    </row>
    <row r="524">
      <c r="A524" s="18" t="s">
        <v>31</v>
      </c>
      <c r="B524" s="12">
        <v>21.0</v>
      </c>
      <c r="C524" s="11"/>
      <c r="D524" s="11"/>
      <c r="E524" s="11"/>
      <c r="F524" s="11"/>
      <c r="G524" s="12">
        <f t="shared" si="93"/>
        <v>0</v>
      </c>
      <c r="H524" s="12">
        <f t="shared" si="94"/>
        <v>21</v>
      </c>
      <c r="I524" s="14">
        <f t="shared" si="95"/>
        <v>0</v>
      </c>
    </row>
    <row r="525">
      <c r="A525" s="18" t="s">
        <v>32</v>
      </c>
      <c r="B525" s="12">
        <f>H497</f>
        <v>7</v>
      </c>
      <c r="C525" s="11"/>
      <c r="D525" s="11"/>
      <c r="E525" s="11"/>
      <c r="F525" s="11"/>
      <c r="G525" s="12">
        <f t="shared" si="93"/>
        <v>0</v>
      </c>
      <c r="H525" s="12">
        <f t="shared" si="94"/>
        <v>7</v>
      </c>
      <c r="I525" s="14">
        <f t="shared" si="95"/>
        <v>0</v>
      </c>
    </row>
    <row r="526">
      <c r="A526" s="19" t="s">
        <v>33</v>
      </c>
      <c r="B526" s="20">
        <f>SUM(B504:B525)</f>
        <v>488</v>
      </c>
      <c r="C526" s="19"/>
      <c r="D526" s="19"/>
      <c r="E526" s="20">
        <f t="shared" ref="E526:G526" si="96">SUM(E503:E525)</f>
        <v>0</v>
      </c>
      <c r="F526" s="20">
        <f t="shared" si="96"/>
        <v>0</v>
      </c>
      <c r="G526" s="20">
        <f t="shared" si="96"/>
        <v>0</v>
      </c>
      <c r="H526" s="20">
        <f>SUM(H504:H525)</f>
        <v>488</v>
      </c>
      <c r="I526" s="21">
        <f>SUM(I503:I525)</f>
        <v>0</v>
      </c>
    </row>
    <row r="527">
      <c r="A527" s="22"/>
      <c r="B527" s="22"/>
      <c r="C527" s="22"/>
      <c r="D527" s="22"/>
      <c r="E527" s="22"/>
      <c r="F527" s="23" t="s">
        <v>34</v>
      </c>
      <c r="G527" s="4"/>
      <c r="H527" s="24"/>
      <c r="I527" s="25"/>
    </row>
  </sheetData>
  <mergeCells count="44">
    <mergeCell ref="B1:I1"/>
    <mergeCell ref="F25:G25"/>
    <mergeCell ref="E26:G26"/>
    <mergeCell ref="B28:I28"/>
    <mergeCell ref="F52:G52"/>
    <mergeCell ref="E53:G53"/>
    <mergeCell ref="B55:I55"/>
    <mergeCell ref="F79:G79"/>
    <mergeCell ref="E80:G80"/>
    <mergeCell ref="B82:I82"/>
    <mergeCell ref="F107:G107"/>
    <mergeCell ref="E108:G108"/>
    <mergeCell ref="B110:I110"/>
    <mergeCell ref="F135:G135"/>
    <mergeCell ref="E136:G136"/>
    <mergeCell ref="B138:I138"/>
    <mergeCell ref="F163:G163"/>
    <mergeCell ref="E164:G164"/>
    <mergeCell ref="B166:I166"/>
    <mergeCell ref="F191:G191"/>
    <mergeCell ref="B194:I194"/>
    <mergeCell ref="F219:G219"/>
    <mergeCell ref="B222:I222"/>
    <mergeCell ref="F247:G247"/>
    <mergeCell ref="B250:I250"/>
    <mergeCell ref="F275:G275"/>
    <mergeCell ref="B278:I278"/>
    <mergeCell ref="B306:I306"/>
    <mergeCell ref="F303:G303"/>
    <mergeCell ref="F331:G331"/>
    <mergeCell ref="B334:I334"/>
    <mergeCell ref="F359:G359"/>
    <mergeCell ref="B362:I362"/>
    <mergeCell ref="F387:G387"/>
    <mergeCell ref="B390:I390"/>
    <mergeCell ref="F499:G499"/>
    <mergeCell ref="F527:G527"/>
    <mergeCell ref="F415:G415"/>
    <mergeCell ref="B418:I418"/>
    <mergeCell ref="F443:G443"/>
    <mergeCell ref="B446:I446"/>
    <mergeCell ref="F471:G471"/>
    <mergeCell ref="B474:I474"/>
    <mergeCell ref="B502:I502"/>
  </mergeCells>
  <drawing r:id="rId4"/>
  <legacyDrawing r:id="rId5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16.88"/>
  </cols>
  <sheetData>
    <row r="1">
      <c r="A1" s="38"/>
      <c r="B1" s="2" t="s">
        <v>105</v>
      </c>
      <c r="C1" s="3"/>
      <c r="D1" s="3"/>
      <c r="E1" s="3"/>
      <c r="F1" s="3"/>
      <c r="G1" s="3"/>
      <c r="H1" s="3"/>
      <c r="I1" s="4"/>
    </row>
    <row r="2">
      <c r="A2" s="5" t="s">
        <v>1</v>
      </c>
      <c r="B2" s="6" t="s">
        <v>2</v>
      </c>
      <c r="C2" s="7" t="s">
        <v>3</v>
      </c>
      <c r="D2" s="8" t="s">
        <v>4</v>
      </c>
      <c r="E2" s="5" t="s">
        <v>5</v>
      </c>
      <c r="F2" s="5" t="s">
        <v>6</v>
      </c>
      <c r="G2" s="5" t="s">
        <v>7</v>
      </c>
      <c r="H2" s="9" t="s">
        <v>8</v>
      </c>
      <c r="I2" s="10" t="s">
        <v>9</v>
      </c>
    </row>
    <row r="3">
      <c r="A3" s="11" t="s">
        <v>10</v>
      </c>
      <c r="B3" s="12">
        <v>36.0</v>
      </c>
      <c r="C3" s="11"/>
      <c r="D3" s="11"/>
      <c r="E3" s="13">
        <v>6.0</v>
      </c>
      <c r="F3" s="13">
        <v>6.0</v>
      </c>
      <c r="G3" s="12">
        <f t="shared" ref="G3:G23" si="1">E3-F3</f>
        <v>0</v>
      </c>
      <c r="H3" s="12">
        <f t="shared" ref="H3:H23" si="2">B3-C3+D3-G3</f>
        <v>36</v>
      </c>
      <c r="I3" s="14">
        <f t="shared" ref="I3:I12" si="3">G3*6</f>
        <v>0</v>
      </c>
    </row>
    <row r="4">
      <c r="A4" s="11" t="s">
        <v>11</v>
      </c>
      <c r="B4" s="12">
        <v>23.0</v>
      </c>
      <c r="C4" s="11"/>
      <c r="D4" s="11"/>
      <c r="E4" s="13">
        <v>5.0</v>
      </c>
      <c r="F4" s="13">
        <v>3.0</v>
      </c>
      <c r="G4" s="12">
        <f t="shared" si="1"/>
        <v>2</v>
      </c>
      <c r="H4" s="12">
        <f t="shared" si="2"/>
        <v>21</v>
      </c>
      <c r="I4" s="14">
        <f t="shared" si="3"/>
        <v>12</v>
      </c>
    </row>
    <row r="5">
      <c r="A5" s="11" t="s">
        <v>12</v>
      </c>
      <c r="B5" s="12">
        <v>16.0</v>
      </c>
      <c r="C5" s="11"/>
      <c r="D5" s="11"/>
      <c r="E5" s="13">
        <v>6.0</v>
      </c>
      <c r="F5" s="13">
        <v>6.0</v>
      </c>
      <c r="G5" s="12">
        <f t="shared" si="1"/>
        <v>0</v>
      </c>
      <c r="H5" s="12">
        <f t="shared" si="2"/>
        <v>16</v>
      </c>
      <c r="I5" s="14">
        <f t="shared" si="3"/>
        <v>0</v>
      </c>
    </row>
    <row r="6">
      <c r="A6" s="11" t="s">
        <v>13</v>
      </c>
      <c r="B6" s="12">
        <v>24.0</v>
      </c>
      <c r="C6" s="11"/>
      <c r="D6" s="11"/>
      <c r="E6" s="13">
        <v>7.0</v>
      </c>
      <c r="F6" s="13">
        <v>6.0</v>
      </c>
      <c r="G6" s="12">
        <f t="shared" si="1"/>
        <v>1</v>
      </c>
      <c r="H6" s="12">
        <f t="shared" si="2"/>
        <v>23</v>
      </c>
      <c r="I6" s="14">
        <f t="shared" si="3"/>
        <v>6</v>
      </c>
    </row>
    <row r="7">
      <c r="A7" s="11" t="s">
        <v>14</v>
      </c>
      <c r="B7" s="12">
        <v>25.0</v>
      </c>
      <c r="C7" s="11"/>
      <c r="D7" s="11"/>
      <c r="E7" s="13">
        <v>4.0</v>
      </c>
      <c r="F7" s="13">
        <v>3.0</v>
      </c>
      <c r="G7" s="12">
        <f t="shared" si="1"/>
        <v>1</v>
      </c>
      <c r="H7" s="12">
        <f t="shared" si="2"/>
        <v>24</v>
      </c>
      <c r="I7" s="14">
        <f t="shared" si="3"/>
        <v>6</v>
      </c>
    </row>
    <row r="8">
      <c r="A8" s="11" t="s">
        <v>15</v>
      </c>
      <c r="B8" s="12">
        <v>1.0</v>
      </c>
      <c r="C8" s="11"/>
      <c r="D8" s="13">
        <v>34.0</v>
      </c>
      <c r="E8" s="13">
        <v>8.0</v>
      </c>
      <c r="F8" s="13">
        <v>5.0</v>
      </c>
      <c r="G8" s="12">
        <f t="shared" si="1"/>
        <v>3</v>
      </c>
      <c r="H8" s="12">
        <f t="shared" si="2"/>
        <v>32</v>
      </c>
      <c r="I8" s="14">
        <f t="shared" si="3"/>
        <v>18</v>
      </c>
    </row>
    <row r="9">
      <c r="A9" s="11" t="s">
        <v>16</v>
      </c>
      <c r="B9" s="12">
        <v>32.0</v>
      </c>
      <c r="C9" s="11"/>
      <c r="D9" s="11"/>
      <c r="E9" s="13">
        <v>5.0</v>
      </c>
      <c r="F9" s="13">
        <v>5.0</v>
      </c>
      <c r="G9" s="12">
        <f t="shared" si="1"/>
        <v>0</v>
      </c>
      <c r="H9" s="12">
        <f t="shared" si="2"/>
        <v>32</v>
      </c>
      <c r="I9" s="14">
        <f t="shared" si="3"/>
        <v>0</v>
      </c>
    </row>
    <row r="10">
      <c r="A10" s="11" t="s">
        <v>17</v>
      </c>
      <c r="B10" s="12">
        <v>14.0</v>
      </c>
      <c r="C10" s="11"/>
      <c r="D10" s="11"/>
      <c r="E10" s="13">
        <v>4.0</v>
      </c>
      <c r="F10" s="13">
        <v>4.0</v>
      </c>
      <c r="G10" s="12">
        <f t="shared" si="1"/>
        <v>0</v>
      </c>
      <c r="H10" s="12">
        <f t="shared" si="2"/>
        <v>14</v>
      </c>
      <c r="I10" s="14">
        <f t="shared" si="3"/>
        <v>0</v>
      </c>
    </row>
    <row r="11">
      <c r="A11" s="11" t="s">
        <v>18</v>
      </c>
      <c r="B11" s="12">
        <v>6.0</v>
      </c>
      <c r="C11" s="11"/>
      <c r="D11" s="13">
        <v>30.0</v>
      </c>
      <c r="E11" s="13">
        <v>5.0</v>
      </c>
      <c r="F11" s="13">
        <v>4.0</v>
      </c>
      <c r="G11" s="12">
        <f t="shared" si="1"/>
        <v>1</v>
      </c>
      <c r="H11" s="12">
        <f t="shared" si="2"/>
        <v>35</v>
      </c>
      <c r="I11" s="14">
        <f t="shared" si="3"/>
        <v>6</v>
      </c>
    </row>
    <row r="12">
      <c r="A12" s="11" t="s">
        <v>19</v>
      </c>
      <c r="B12" s="12">
        <v>34.0</v>
      </c>
      <c r="C12" s="11"/>
      <c r="D12" s="13"/>
      <c r="E12" s="13">
        <v>6.0</v>
      </c>
      <c r="F12" s="13">
        <v>5.0</v>
      </c>
      <c r="G12" s="12">
        <f t="shared" si="1"/>
        <v>1</v>
      </c>
      <c r="H12" s="12">
        <f t="shared" si="2"/>
        <v>33</v>
      </c>
      <c r="I12" s="14">
        <f t="shared" si="3"/>
        <v>6</v>
      </c>
    </row>
    <row r="13">
      <c r="A13" s="11" t="s">
        <v>20</v>
      </c>
      <c r="B13" s="12">
        <v>29.0</v>
      </c>
      <c r="C13" s="13"/>
      <c r="D13" s="11"/>
      <c r="E13" s="13">
        <v>6.0</v>
      </c>
      <c r="F13" s="13">
        <v>2.0</v>
      </c>
      <c r="G13" s="12">
        <f t="shared" si="1"/>
        <v>4</v>
      </c>
      <c r="H13" s="12">
        <f t="shared" si="2"/>
        <v>25</v>
      </c>
      <c r="I13" s="14">
        <f t="shared" ref="I13:I14" si="4">G14*6</f>
        <v>0</v>
      </c>
    </row>
    <row r="14">
      <c r="A14" s="11" t="s">
        <v>21</v>
      </c>
      <c r="B14" s="12">
        <v>14.0</v>
      </c>
      <c r="C14" s="11"/>
      <c r="D14" s="13">
        <v>4.0</v>
      </c>
      <c r="E14" s="13">
        <v>2.0</v>
      </c>
      <c r="F14" s="13">
        <v>2.0</v>
      </c>
      <c r="G14" s="12">
        <f t="shared" si="1"/>
        <v>0</v>
      </c>
      <c r="H14" s="12">
        <f t="shared" si="2"/>
        <v>18</v>
      </c>
      <c r="I14" s="14">
        <f t="shared" si="4"/>
        <v>0</v>
      </c>
    </row>
    <row r="15">
      <c r="A15" s="11" t="s">
        <v>22</v>
      </c>
      <c r="B15" s="12">
        <v>28.0</v>
      </c>
      <c r="C15" s="13"/>
      <c r="D15" s="13"/>
      <c r="E15" s="13">
        <v>6.0</v>
      </c>
      <c r="F15" s="13">
        <v>6.0</v>
      </c>
      <c r="G15" s="12">
        <f t="shared" si="1"/>
        <v>0</v>
      </c>
      <c r="H15" s="12">
        <f t="shared" si="2"/>
        <v>28</v>
      </c>
      <c r="I15" s="14">
        <f t="shared" ref="I15:I23" si="5">G15*6</f>
        <v>0</v>
      </c>
    </row>
    <row r="16">
      <c r="A16" s="11" t="s">
        <v>23</v>
      </c>
      <c r="B16" s="12">
        <v>21.0</v>
      </c>
      <c r="C16" s="13"/>
      <c r="D16" s="11"/>
      <c r="E16" s="13">
        <v>6.0</v>
      </c>
      <c r="F16" s="13">
        <v>3.0</v>
      </c>
      <c r="G16" s="12">
        <f t="shared" si="1"/>
        <v>3</v>
      </c>
      <c r="H16" s="12">
        <f t="shared" si="2"/>
        <v>18</v>
      </c>
      <c r="I16" s="14">
        <f t="shared" si="5"/>
        <v>18</v>
      </c>
    </row>
    <row r="17">
      <c r="A17" s="11" t="s">
        <v>24</v>
      </c>
      <c r="B17" s="12">
        <v>2.0</v>
      </c>
      <c r="C17" s="13">
        <v>1.0</v>
      </c>
      <c r="D17" s="13">
        <v>26.0</v>
      </c>
      <c r="E17" s="13">
        <v>4.0</v>
      </c>
      <c r="F17" s="13">
        <v>4.0</v>
      </c>
      <c r="G17" s="12">
        <f t="shared" si="1"/>
        <v>0</v>
      </c>
      <c r="H17" s="12">
        <f t="shared" si="2"/>
        <v>27</v>
      </c>
      <c r="I17" s="14">
        <f t="shared" si="5"/>
        <v>0</v>
      </c>
    </row>
    <row r="18">
      <c r="A18" s="11" t="s">
        <v>25</v>
      </c>
      <c r="B18" s="12">
        <v>20.0</v>
      </c>
      <c r="C18" s="11"/>
      <c r="D18" s="11"/>
      <c r="E18" s="13">
        <v>8.0</v>
      </c>
      <c r="F18" s="13">
        <v>7.0</v>
      </c>
      <c r="G18" s="12">
        <f t="shared" si="1"/>
        <v>1</v>
      </c>
      <c r="H18" s="12">
        <f t="shared" si="2"/>
        <v>19</v>
      </c>
      <c r="I18" s="14">
        <f t="shared" si="5"/>
        <v>6</v>
      </c>
    </row>
    <row r="19">
      <c r="A19" s="11" t="s">
        <v>26</v>
      </c>
      <c r="B19" s="12">
        <v>28.0</v>
      </c>
      <c r="C19" s="11"/>
      <c r="D19" s="13"/>
      <c r="E19" s="13">
        <v>6.0</v>
      </c>
      <c r="F19" s="13">
        <v>5.0</v>
      </c>
      <c r="G19" s="12">
        <f t="shared" si="1"/>
        <v>1</v>
      </c>
      <c r="H19" s="12">
        <f t="shared" si="2"/>
        <v>27</v>
      </c>
      <c r="I19" s="14">
        <f t="shared" si="5"/>
        <v>6</v>
      </c>
    </row>
    <row r="20">
      <c r="A20" s="11" t="s">
        <v>27</v>
      </c>
      <c r="B20" s="12">
        <v>10.0</v>
      </c>
      <c r="C20" s="11"/>
      <c r="D20" s="11"/>
      <c r="E20" s="13">
        <v>4.0</v>
      </c>
      <c r="F20" s="13">
        <v>4.0</v>
      </c>
      <c r="G20" s="12">
        <f t="shared" si="1"/>
        <v>0</v>
      </c>
      <c r="H20" s="12">
        <f t="shared" si="2"/>
        <v>10</v>
      </c>
      <c r="I20" s="14">
        <f t="shared" si="5"/>
        <v>0</v>
      </c>
    </row>
    <row r="21">
      <c r="A21" s="11" t="s">
        <v>28</v>
      </c>
      <c r="B21" s="12">
        <v>15.0</v>
      </c>
      <c r="C21" s="11"/>
      <c r="D21" s="11"/>
      <c r="E21" s="13">
        <v>8.0</v>
      </c>
      <c r="F21" s="13">
        <v>4.0</v>
      </c>
      <c r="G21" s="12">
        <f t="shared" si="1"/>
        <v>4</v>
      </c>
      <c r="H21" s="12">
        <f t="shared" si="2"/>
        <v>11</v>
      </c>
      <c r="I21" s="14">
        <f t="shared" si="5"/>
        <v>24</v>
      </c>
    </row>
    <row r="22">
      <c r="A22" s="11" t="s">
        <v>30</v>
      </c>
      <c r="B22" s="12">
        <v>27.0</v>
      </c>
      <c r="C22" s="11"/>
      <c r="D22" s="11"/>
      <c r="E22" s="13">
        <v>2.0</v>
      </c>
      <c r="F22" s="13">
        <v>2.0</v>
      </c>
      <c r="G22" s="12">
        <f t="shared" si="1"/>
        <v>0</v>
      </c>
      <c r="H22" s="12">
        <f t="shared" si="2"/>
        <v>27</v>
      </c>
      <c r="I22" s="14">
        <f t="shared" si="5"/>
        <v>0</v>
      </c>
    </row>
    <row r="23">
      <c r="A23" s="18" t="s">
        <v>86</v>
      </c>
      <c r="B23" s="12">
        <v>14.0</v>
      </c>
      <c r="C23" s="11"/>
      <c r="D23" s="13">
        <v>21.0</v>
      </c>
      <c r="E23" s="13">
        <v>6.0</v>
      </c>
      <c r="F23" s="13">
        <v>6.0</v>
      </c>
      <c r="G23" s="12">
        <f t="shared" si="1"/>
        <v>0</v>
      </c>
      <c r="H23" s="12">
        <f t="shared" si="2"/>
        <v>35</v>
      </c>
      <c r="I23" s="14">
        <f t="shared" si="5"/>
        <v>0</v>
      </c>
    </row>
    <row r="24">
      <c r="A24" s="19" t="s">
        <v>33</v>
      </c>
      <c r="B24" s="20">
        <f>SUM(B3:B23)</f>
        <v>419</v>
      </c>
      <c r="C24" s="19"/>
      <c r="D24" s="19"/>
      <c r="E24" s="20">
        <f t="shared" ref="E24:G24" si="6">SUM(E2:E23)</f>
        <v>114</v>
      </c>
      <c r="F24" s="20">
        <f t="shared" si="6"/>
        <v>92</v>
      </c>
      <c r="G24" s="20">
        <f t="shared" si="6"/>
        <v>22</v>
      </c>
      <c r="H24" s="20">
        <f>SUM(H3:H23)</f>
        <v>511</v>
      </c>
      <c r="I24" s="21">
        <f>SUM(I2:I23)</f>
        <v>108</v>
      </c>
    </row>
    <row r="25">
      <c r="A25" s="22"/>
      <c r="B25" s="22"/>
      <c r="C25" s="22"/>
      <c r="D25" s="22"/>
      <c r="E25" s="22"/>
      <c r="F25" s="23" t="s">
        <v>34</v>
      </c>
      <c r="G25" s="4"/>
      <c r="H25" s="24"/>
      <c r="I25" s="25"/>
    </row>
    <row r="26">
      <c r="A26" s="22"/>
      <c r="B26" s="32"/>
      <c r="C26" s="32"/>
      <c r="D26" s="32"/>
      <c r="E26" s="33" t="s">
        <v>87</v>
      </c>
      <c r="F26" s="3"/>
      <c r="G26" s="4"/>
      <c r="H26" s="34"/>
      <c r="I26" s="35">
        <f>SUM(I3:I23)</f>
        <v>108</v>
      </c>
    </row>
    <row r="28">
      <c r="A28" s="1"/>
      <c r="B28" s="2" t="s">
        <v>106</v>
      </c>
      <c r="C28" s="3"/>
      <c r="D28" s="3"/>
      <c r="E28" s="3"/>
      <c r="F28" s="3"/>
      <c r="G28" s="3"/>
      <c r="H28" s="3"/>
      <c r="I28" s="4"/>
    </row>
    <row r="29">
      <c r="A29" s="5" t="s">
        <v>1</v>
      </c>
      <c r="B29" s="6" t="s">
        <v>2</v>
      </c>
      <c r="C29" s="7" t="s">
        <v>3</v>
      </c>
      <c r="D29" s="8" t="s">
        <v>4</v>
      </c>
      <c r="E29" s="5" t="s">
        <v>5</v>
      </c>
      <c r="F29" s="5" t="s">
        <v>6</v>
      </c>
      <c r="G29" s="5" t="s">
        <v>7</v>
      </c>
      <c r="H29" s="9" t="s">
        <v>8</v>
      </c>
      <c r="I29" s="10" t="s">
        <v>9</v>
      </c>
    </row>
    <row r="30">
      <c r="A30" s="11" t="s">
        <v>10</v>
      </c>
      <c r="B30" s="12">
        <f t="shared" ref="B30:B50" si="7">H3</f>
        <v>36</v>
      </c>
      <c r="C30" s="11"/>
      <c r="D30" s="11"/>
      <c r="E30" s="13">
        <v>6.0</v>
      </c>
      <c r="F30" s="13">
        <v>5.0</v>
      </c>
      <c r="G30" s="12">
        <f t="shared" ref="G30:G50" si="8">E30-F30</f>
        <v>1</v>
      </c>
      <c r="H30" s="12">
        <f t="shared" ref="H30:H50" si="9">B30-C30+D30-G30</f>
        <v>35</v>
      </c>
      <c r="I30" s="14">
        <f t="shared" ref="I30:I39" si="10">G30*6</f>
        <v>6</v>
      </c>
    </row>
    <row r="31">
      <c r="A31" s="11" t="s">
        <v>11</v>
      </c>
      <c r="B31" s="12">
        <f t="shared" si="7"/>
        <v>21</v>
      </c>
      <c r="C31" s="11"/>
      <c r="D31" s="11"/>
      <c r="E31" s="13">
        <v>5.0</v>
      </c>
      <c r="F31" s="13">
        <v>3.0</v>
      </c>
      <c r="G31" s="12">
        <f t="shared" si="8"/>
        <v>2</v>
      </c>
      <c r="H31" s="12">
        <f t="shared" si="9"/>
        <v>19</v>
      </c>
      <c r="I31" s="14">
        <f t="shared" si="10"/>
        <v>12</v>
      </c>
    </row>
    <row r="32">
      <c r="A32" s="11" t="s">
        <v>12</v>
      </c>
      <c r="B32" s="12">
        <f t="shared" si="7"/>
        <v>16</v>
      </c>
      <c r="C32" s="11"/>
      <c r="D32" s="11"/>
      <c r="E32" s="13">
        <v>5.0</v>
      </c>
      <c r="F32" s="13">
        <v>5.0</v>
      </c>
      <c r="G32" s="12">
        <f t="shared" si="8"/>
        <v>0</v>
      </c>
      <c r="H32" s="12">
        <f t="shared" si="9"/>
        <v>16</v>
      </c>
      <c r="I32" s="14">
        <f t="shared" si="10"/>
        <v>0</v>
      </c>
    </row>
    <row r="33">
      <c r="A33" s="11" t="s">
        <v>13</v>
      </c>
      <c r="B33" s="12">
        <f t="shared" si="7"/>
        <v>23</v>
      </c>
      <c r="C33" s="11"/>
      <c r="D33" s="11"/>
      <c r="E33" s="13">
        <v>6.0</v>
      </c>
      <c r="F33" s="13">
        <v>0.0</v>
      </c>
      <c r="G33" s="12">
        <f t="shared" si="8"/>
        <v>6</v>
      </c>
      <c r="H33" s="12">
        <f t="shared" si="9"/>
        <v>17</v>
      </c>
      <c r="I33" s="14">
        <f t="shared" si="10"/>
        <v>36</v>
      </c>
    </row>
    <row r="34">
      <c r="A34" s="11" t="s">
        <v>14</v>
      </c>
      <c r="B34" s="12">
        <f t="shared" si="7"/>
        <v>24</v>
      </c>
      <c r="C34" s="11"/>
      <c r="D34" s="11"/>
      <c r="E34" s="13">
        <v>4.0</v>
      </c>
      <c r="F34" s="13">
        <v>4.0</v>
      </c>
      <c r="G34" s="12">
        <f t="shared" si="8"/>
        <v>0</v>
      </c>
      <c r="H34" s="12">
        <f t="shared" si="9"/>
        <v>24</v>
      </c>
      <c r="I34" s="14">
        <f t="shared" si="10"/>
        <v>0</v>
      </c>
    </row>
    <row r="35">
      <c r="A35" s="11" t="s">
        <v>15</v>
      </c>
      <c r="B35" s="12">
        <f t="shared" si="7"/>
        <v>32</v>
      </c>
      <c r="C35" s="11"/>
      <c r="D35" s="11"/>
      <c r="E35" s="13">
        <v>6.0</v>
      </c>
      <c r="F35" s="13">
        <v>5.0</v>
      </c>
      <c r="G35" s="12">
        <f t="shared" si="8"/>
        <v>1</v>
      </c>
      <c r="H35" s="12">
        <f t="shared" si="9"/>
        <v>31</v>
      </c>
      <c r="I35" s="14">
        <f t="shared" si="10"/>
        <v>6</v>
      </c>
    </row>
    <row r="36">
      <c r="A36" s="11" t="s">
        <v>16</v>
      </c>
      <c r="B36" s="12">
        <f t="shared" si="7"/>
        <v>32</v>
      </c>
      <c r="C36" s="11"/>
      <c r="D36" s="11"/>
      <c r="E36" s="26">
        <v>5.0</v>
      </c>
      <c r="F36" s="13">
        <v>5.0</v>
      </c>
      <c r="G36" s="12">
        <f t="shared" si="8"/>
        <v>0</v>
      </c>
      <c r="H36" s="12">
        <f t="shared" si="9"/>
        <v>32</v>
      </c>
      <c r="I36" s="14">
        <f t="shared" si="10"/>
        <v>0</v>
      </c>
    </row>
    <row r="37">
      <c r="A37" s="11" t="s">
        <v>17</v>
      </c>
      <c r="B37" s="12">
        <f t="shared" si="7"/>
        <v>14</v>
      </c>
      <c r="C37" s="11"/>
      <c r="D37" s="11"/>
      <c r="E37" s="13">
        <v>4.0</v>
      </c>
      <c r="F37" s="13">
        <v>3.0</v>
      </c>
      <c r="G37" s="12">
        <f t="shared" si="8"/>
        <v>1</v>
      </c>
      <c r="H37" s="12">
        <f t="shared" si="9"/>
        <v>13</v>
      </c>
      <c r="I37" s="14">
        <f t="shared" si="10"/>
        <v>6</v>
      </c>
    </row>
    <row r="38">
      <c r="A38" s="11" t="s">
        <v>18</v>
      </c>
      <c r="B38" s="12">
        <f t="shared" si="7"/>
        <v>35</v>
      </c>
      <c r="C38" s="11"/>
      <c r="D38" s="11"/>
      <c r="E38" s="13">
        <v>6.0</v>
      </c>
      <c r="F38" s="13">
        <v>6.0</v>
      </c>
      <c r="G38" s="12">
        <f t="shared" si="8"/>
        <v>0</v>
      </c>
      <c r="H38" s="12">
        <f t="shared" si="9"/>
        <v>35</v>
      </c>
      <c r="I38" s="14">
        <f t="shared" si="10"/>
        <v>0</v>
      </c>
    </row>
    <row r="39">
      <c r="A39" s="11" t="s">
        <v>19</v>
      </c>
      <c r="B39" s="12">
        <f t="shared" si="7"/>
        <v>33</v>
      </c>
      <c r="C39" s="11"/>
      <c r="D39" s="13"/>
      <c r="E39" s="13">
        <v>6.0</v>
      </c>
      <c r="F39" s="13">
        <v>5.0</v>
      </c>
      <c r="G39" s="12">
        <f t="shared" si="8"/>
        <v>1</v>
      </c>
      <c r="H39" s="12">
        <f t="shared" si="9"/>
        <v>32</v>
      </c>
      <c r="I39" s="14">
        <f t="shared" si="10"/>
        <v>6</v>
      </c>
    </row>
    <row r="40">
      <c r="A40" s="11" t="s">
        <v>20</v>
      </c>
      <c r="B40" s="12">
        <f t="shared" si="7"/>
        <v>25</v>
      </c>
      <c r="C40" s="13"/>
      <c r="D40" s="11"/>
      <c r="E40" s="13">
        <v>6.0</v>
      </c>
      <c r="F40" s="13">
        <v>3.0</v>
      </c>
      <c r="G40" s="12">
        <f t="shared" si="8"/>
        <v>3</v>
      </c>
      <c r="H40" s="12">
        <f t="shared" si="9"/>
        <v>22</v>
      </c>
      <c r="I40" s="14">
        <f t="shared" ref="I40:I41" si="11">G41*6</f>
        <v>0</v>
      </c>
    </row>
    <row r="41">
      <c r="A41" s="11" t="s">
        <v>21</v>
      </c>
      <c r="B41" s="12">
        <f t="shared" si="7"/>
        <v>18</v>
      </c>
      <c r="C41" s="11"/>
      <c r="D41" s="13"/>
      <c r="E41" s="13">
        <v>2.0</v>
      </c>
      <c r="F41" s="13">
        <v>2.0</v>
      </c>
      <c r="G41" s="12">
        <f t="shared" si="8"/>
        <v>0</v>
      </c>
      <c r="H41" s="12">
        <f t="shared" si="9"/>
        <v>18</v>
      </c>
      <c r="I41" s="14">
        <f t="shared" si="11"/>
        <v>6</v>
      </c>
    </row>
    <row r="42">
      <c r="A42" s="11" t="s">
        <v>22</v>
      </c>
      <c r="B42" s="12">
        <f t="shared" si="7"/>
        <v>28</v>
      </c>
      <c r="C42" s="13"/>
      <c r="D42" s="13"/>
      <c r="E42" s="13">
        <v>5.0</v>
      </c>
      <c r="F42" s="13">
        <v>4.0</v>
      </c>
      <c r="G42" s="12">
        <f t="shared" si="8"/>
        <v>1</v>
      </c>
      <c r="H42" s="12">
        <f t="shared" si="9"/>
        <v>27</v>
      </c>
      <c r="I42" s="14">
        <f t="shared" ref="I42:I50" si="12">G42*6</f>
        <v>6</v>
      </c>
    </row>
    <row r="43">
      <c r="A43" s="11" t="s">
        <v>23</v>
      </c>
      <c r="B43" s="12">
        <f t="shared" si="7"/>
        <v>18</v>
      </c>
      <c r="C43" s="13"/>
      <c r="D43" s="11"/>
      <c r="E43" s="13">
        <v>6.0</v>
      </c>
      <c r="F43" s="13">
        <v>3.0</v>
      </c>
      <c r="G43" s="12">
        <f t="shared" si="8"/>
        <v>3</v>
      </c>
      <c r="H43" s="12">
        <f t="shared" si="9"/>
        <v>15</v>
      </c>
      <c r="I43" s="14">
        <f t="shared" si="12"/>
        <v>18</v>
      </c>
    </row>
    <row r="44">
      <c r="A44" s="11" t="s">
        <v>24</v>
      </c>
      <c r="B44" s="12">
        <f t="shared" si="7"/>
        <v>27</v>
      </c>
      <c r="C44" s="11"/>
      <c r="D44" s="13"/>
      <c r="E44" s="13">
        <v>4.0</v>
      </c>
      <c r="F44" s="13">
        <v>3.0</v>
      </c>
      <c r="G44" s="12">
        <f t="shared" si="8"/>
        <v>1</v>
      </c>
      <c r="H44" s="12">
        <f t="shared" si="9"/>
        <v>26</v>
      </c>
      <c r="I44" s="14">
        <f t="shared" si="12"/>
        <v>6</v>
      </c>
    </row>
    <row r="45">
      <c r="A45" s="11" t="s">
        <v>25</v>
      </c>
      <c r="B45" s="12">
        <f t="shared" si="7"/>
        <v>19</v>
      </c>
      <c r="C45" s="11"/>
      <c r="D45" s="11"/>
      <c r="E45" s="13">
        <v>6.0</v>
      </c>
      <c r="F45" s="13">
        <v>1.0</v>
      </c>
      <c r="G45" s="12">
        <f t="shared" si="8"/>
        <v>5</v>
      </c>
      <c r="H45" s="12">
        <f t="shared" si="9"/>
        <v>14</v>
      </c>
      <c r="I45" s="14">
        <f t="shared" si="12"/>
        <v>30</v>
      </c>
    </row>
    <row r="46">
      <c r="A46" s="11" t="s">
        <v>26</v>
      </c>
      <c r="B46" s="12">
        <f t="shared" si="7"/>
        <v>27</v>
      </c>
      <c r="C46" s="11"/>
      <c r="D46" s="13"/>
      <c r="E46" s="13">
        <v>6.0</v>
      </c>
      <c r="F46" s="13">
        <v>3.0</v>
      </c>
      <c r="G46" s="12">
        <f t="shared" si="8"/>
        <v>3</v>
      </c>
      <c r="H46" s="12">
        <f t="shared" si="9"/>
        <v>24</v>
      </c>
      <c r="I46" s="14">
        <f t="shared" si="12"/>
        <v>18</v>
      </c>
    </row>
    <row r="47">
      <c r="A47" s="11" t="s">
        <v>27</v>
      </c>
      <c r="B47" s="12">
        <f t="shared" si="7"/>
        <v>10</v>
      </c>
      <c r="C47" s="11"/>
      <c r="D47" s="11"/>
      <c r="E47" s="13">
        <v>4.0</v>
      </c>
      <c r="F47" s="13">
        <v>4.0</v>
      </c>
      <c r="G47" s="12">
        <f t="shared" si="8"/>
        <v>0</v>
      </c>
      <c r="H47" s="12">
        <f t="shared" si="9"/>
        <v>10</v>
      </c>
      <c r="I47" s="14">
        <f t="shared" si="12"/>
        <v>0</v>
      </c>
    </row>
    <row r="48">
      <c r="A48" s="11" t="s">
        <v>28</v>
      </c>
      <c r="B48" s="12">
        <f t="shared" si="7"/>
        <v>11</v>
      </c>
      <c r="C48" s="11"/>
      <c r="D48" s="13">
        <v>32.0</v>
      </c>
      <c r="E48" s="13">
        <v>8.0</v>
      </c>
      <c r="F48" s="13">
        <v>4.0</v>
      </c>
      <c r="G48" s="12">
        <f t="shared" si="8"/>
        <v>4</v>
      </c>
      <c r="H48" s="12">
        <f t="shared" si="9"/>
        <v>39</v>
      </c>
      <c r="I48" s="14">
        <f t="shared" si="12"/>
        <v>24</v>
      </c>
    </row>
    <row r="49">
      <c r="A49" s="11" t="s">
        <v>30</v>
      </c>
      <c r="B49" s="12">
        <f t="shared" si="7"/>
        <v>27</v>
      </c>
      <c r="C49" s="11"/>
      <c r="D49" s="11"/>
      <c r="E49" s="13">
        <v>2.0</v>
      </c>
      <c r="F49" s="13">
        <v>2.0</v>
      </c>
      <c r="G49" s="12">
        <f t="shared" si="8"/>
        <v>0</v>
      </c>
      <c r="H49" s="12">
        <f t="shared" si="9"/>
        <v>27</v>
      </c>
      <c r="I49" s="14">
        <f t="shared" si="12"/>
        <v>0</v>
      </c>
    </row>
    <row r="50">
      <c r="A50" s="18" t="s">
        <v>86</v>
      </c>
      <c r="B50" s="12">
        <f t="shared" si="7"/>
        <v>35</v>
      </c>
      <c r="C50" s="11"/>
      <c r="D50" s="11"/>
      <c r="E50" s="13">
        <v>6.0</v>
      </c>
      <c r="F50" s="13">
        <v>6.0</v>
      </c>
      <c r="G50" s="12">
        <f t="shared" si="8"/>
        <v>0</v>
      </c>
      <c r="H50" s="12">
        <f t="shared" si="9"/>
        <v>35</v>
      </c>
      <c r="I50" s="14">
        <f t="shared" si="12"/>
        <v>0</v>
      </c>
    </row>
    <row r="51">
      <c r="A51" s="19" t="s">
        <v>33</v>
      </c>
      <c r="B51" s="20">
        <f>SUM(B30:B50)</f>
        <v>511</v>
      </c>
      <c r="C51" s="19"/>
      <c r="D51" s="19"/>
      <c r="E51" s="20">
        <f t="shared" ref="E51:G51" si="13">SUM(E29:E50)</f>
        <v>108</v>
      </c>
      <c r="F51" s="20">
        <f t="shared" si="13"/>
        <v>76</v>
      </c>
      <c r="G51" s="20">
        <f t="shared" si="13"/>
        <v>32</v>
      </c>
      <c r="H51" s="20">
        <f>SUM(H30:H50)</f>
        <v>511</v>
      </c>
      <c r="I51" s="21">
        <f>SUM(I29:I50)</f>
        <v>180</v>
      </c>
    </row>
    <row r="52">
      <c r="A52" s="22"/>
      <c r="B52" s="22"/>
      <c r="C52" s="22"/>
      <c r="D52" s="22"/>
      <c r="E52" s="22"/>
      <c r="F52" s="23" t="s">
        <v>34</v>
      </c>
      <c r="G52" s="4"/>
      <c r="H52" s="24"/>
      <c r="I52" s="25"/>
    </row>
    <row r="53">
      <c r="A53" s="22"/>
      <c r="B53" s="32"/>
      <c r="C53" s="32"/>
      <c r="D53" s="32"/>
      <c r="E53" s="33" t="s">
        <v>87</v>
      </c>
      <c r="F53" s="3"/>
      <c r="G53" s="4"/>
      <c r="H53" s="34"/>
      <c r="I53" s="35">
        <f>SUM(I30:I50)</f>
        <v>180</v>
      </c>
    </row>
    <row r="55">
      <c r="A55" s="1"/>
      <c r="B55" s="2" t="s">
        <v>107</v>
      </c>
      <c r="C55" s="3"/>
      <c r="D55" s="3"/>
      <c r="E55" s="3"/>
      <c r="F55" s="3"/>
      <c r="G55" s="3"/>
      <c r="H55" s="3"/>
      <c r="I55" s="4"/>
    </row>
    <row r="56">
      <c r="A56" s="5" t="s">
        <v>1</v>
      </c>
      <c r="B56" s="6" t="s">
        <v>2</v>
      </c>
      <c r="C56" s="7" t="s">
        <v>3</v>
      </c>
      <c r="D56" s="8" t="s">
        <v>4</v>
      </c>
      <c r="E56" s="5" t="s">
        <v>5</v>
      </c>
      <c r="F56" s="5" t="s">
        <v>6</v>
      </c>
      <c r="G56" s="5" t="s">
        <v>7</v>
      </c>
      <c r="H56" s="9" t="s">
        <v>8</v>
      </c>
      <c r="I56" s="10" t="s">
        <v>9</v>
      </c>
    </row>
    <row r="57">
      <c r="A57" s="11" t="s">
        <v>10</v>
      </c>
      <c r="B57" s="12">
        <f t="shared" ref="B57:B77" si="14">H30</f>
        <v>35</v>
      </c>
      <c r="C57" s="11"/>
      <c r="D57" s="11"/>
      <c r="E57" s="13">
        <v>6.0</v>
      </c>
      <c r="F57" s="13">
        <v>6.0</v>
      </c>
      <c r="G57" s="12">
        <f t="shared" ref="G57:G77" si="15">E57-F57</f>
        <v>0</v>
      </c>
      <c r="H57" s="12">
        <f t="shared" ref="H57:H77" si="16">B57-C57+D57-G57</f>
        <v>35</v>
      </c>
      <c r="I57" s="14">
        <f t="shared" ref="I57:I66" si="17">G57*6</f>
        <v>0</v>
      </c>
    </row>
    <row r="58">
      <c r="A58" s="11" t="s">
        <v>11</v>
      </c>
      <c r="B58" s="12">
        <f t="shared" si="14"/>
        <v>19</v>
      </c>
      <c r="C58" s="11"/>
      <c r="D58" s="11"/>
      <c r="E58" s="13">
        <v>5.0</v>
      </c>
      <c r="F58" s="13">
        <v>4.0</v>
      </c>
      <c r="G58" s="12">
        <f t="shared" si="15"/>
        <v>1</v>
      </c>
      <c r="H58" s="12">
        <f t="shared" si="16"/>
        <v>18</v>
      </c>
      <c r="I58" s="14">
        <f t="shared" si="17"/>
        <v>6</v>
      </c>
    </row>
    <row r="59">
      <c r="A59" s="11" t="s">
        <v>12</v>
      </c>
      <c r="B59" s="12">
        <f t="shared" si="14"/>
        <v>16</v>
      </c>
      <c r="C59" s="11"/>
      <c r="D59" s="11"/>
      <c r="E59" s="13">
        <v>5.0</v>
      </c>
      <c r="F59" s="13">
        <v>2.0</v>
      </c>
      <c r="G59" s="12">
        <f t="shared" si="15"/>
        <v>3</v>
      </c>
      <c r="H59" s="12">
        <f t="shared" si="16"/>
        <v>13</v>
      </c>
      <c r="I59" s="14">
        <f t="shared" si="17"/>
        <v>18</v>
      </c>
    </row>
    <row r="60">
      <c r="A60" s="11" t="s">
        <v>13</v>
      </c>
      <c r="B60" s="12">
        <f t="shared" si="14"/>
        <v>17</v>
      </c>
      <c r="C60" s="11"/>
      <c r="D60" s="11"/>
      <c r="E60" s="13">
        <v>7.0</v>
      </c>
      <c r="F60" s="13">
        <v>6.0</v>
      </c>
      <c r="G60" s="12">
        <f t="shared" si="15"/>
        <v>1</v>
      </c>
      <c r="H60" s="12">
        <f t="shared" si="16"/>
        <v>16</v>
      </c>
      <c r="I60" s="14">
        <f t="shared" si="17"/>
        <v>6</v>
      </c>
    </row>
    <row r="61">
      <c r="A61" s="11" t="s">
        <v>14</v>
      </c>
      <c r="B61" s="12">
        <f t="shared" si="14"/>
        <v>24</v>
      </c>
      <c r="C61" s="11"/>
      <c r="D61" s="11"/>
      <c r="E61" s="13">
        <v>4.0</v>
      </c>
      <c r="F61" s="13">
        <v>3.0</v>
      </c>
      <c r="G61" s="12">
        <f t="shared" si="15"/>
        <v>1</v>
      </c>
      <c r="H61" s="12">
        <f t="shared" si="16"/>
        <v>23</v>
      </c>
      <c r="I61" s="14">
        <f t="shared" si="17"/>
        <v>6</v>
      </c>
    </row>
    <row r="62">
      <c r="A62" s="11" t="s">
        <v>15</v>
      </c>
      <c r="B62" s="12">
        <f t="shared" si="14"/>
        <v>31</v>
      </c>
      <c r="C62" s="11"/>
      <c r="D62" s="11"/>
      <c r="E62" s="13">
        <v>6.0</v>
      </c>
      <c r="F62" s="13">
        <v>5.0</v>
      </c>
      <c r="G62" s="12">
        <f t="shared" si="15"/>
        <v>1</v>
      </c>
      <c r="H62" s="12">
        <f t="shared" si="16"/>
        <v>30</v>
      </c>
      <c r="I62" s="14">
        <f t="shared" si="17"/>
        <v>6</v>
      </c>
    </row>
    <row r="63">
      <c r="A63" s="11" t="s">
        <v>16</v>
      </c>
      <c r="B63" s="12">
        <f t="shared" si="14"/>
        <v>32</v>
      </c>
      <c r="C63" s="11"/>
      <c r="D63" s="11"/>
      <c r="E63" s="13">
        <v>5.0</v>
      </c>
      <c r="F63" s="13">
        <v>4.0</v>
      </c>
      <c r="G63" s="12">
        <f t="shared" si="15"/>
        <v>1</v>
      </c>
      <c r="H63" s="12">
        <f t="shared" si="16"/>
        <v>31</v>
      </c>
      <c r="I63" s="14">
        <f t="shared" si="17"/>
        <v>6</v>
      </c>
    </row>
    <row r="64">
      <c r="A64" s="11" t="s">
        <v>17</v>
      </c>
      <c r="B64" s="12">
        <f t="shared" si="14"/>
        <v>13</v>
      </c>
      <c r="C64" s="11"/>
      <c r="D64" s="11"/>
      <c r="E64" s="13">
        <v>4.0</v>
      </c>
      <c r="F64" s="13">
        <v>3.0</v>
      </c>
      <c r="G64" s="12">
        <f t="shared" si="15"/>
        <v>1</v>
      </c>
      <c r="H64" s="12">
        <f t="shared" si="16"/>
        <v>12</v>
      </c>
      <c r="I64" s="14">
        <f t="shared" si="17"/>
        <v>6</v>
      </c>
    </row>
    <row r="65">
      <c r="A65" s="11" t="s">
        <v>18</v>
      </c>
      <c r="B65" s="12">
        <f t="shared" si="14"/>
        <v>35</v>
      </c>
      <c r="C65" s="11"/>
      <c r="D65" s="11"/>
      <c r="E65" s="13">
        <v>6.0</v>
      </c>
      <c r="F65" s="13">
        <v>6.0</v>
      </c>
      <c r="G65" s="12">
        <f t="shared" si="15"/>
        <v>0</v>
      </c>
      <c r="H65" s="12">
        <f t="shared" si="16"/>
        <v>35</v>
      </c>
      <c r="I65" s="14">
        <f t="shared" si="17"/>
        <v>0</v>
      </c>
    </row>
    <row r="66">
      <c r="A66" s="11" t="s">
        <v>19</v>
      </c>
      <c r="B66" s="12">
        <f t="shared" si="14"/>
        <v>32</v>
      </c>
      <c r="C66" s="11"/>
      <c r="D66" s="13"/>
      <c r="E66" s="13">
        <v>6.0</v>
      </c>
      <c r="F66" s="13">
        <v>4.0</v>
      </c>
      <c r="G66" s="12">
        <f t="shared" si="15"/>
        <v>2</v>
      </c>
      <c r="H66" s="12">
        <f t="shared" si="16"/>
        <v>30</v>
      </c>
      <c r="I66" s="14">
        <f t="shared" si="17"/>
        <v>12</v>
      </c>
    </row>
    <row r="67">
      <c r="A67" s="11" t="s">
        <v>20</v>
      </c>
      <c r="B67" s="12">
        <f t="shared" si="14"/>
        <v>22</v>
      </c>
      <c r="C67" s="13"/>
      <c r="D67" s="11"/>
      <c r="E67" s="13">
        <v>6.0</v>
      </c>
      <c r="F67" s="13">
        <v>5.0</v>
      </c>
      <c r="G67" s="12">
        <f t="shared" si="15"/>
        <v>1</v>
      </c>
      <c r="H67" s="12">
        <f t="shared" si="16"/>
        <v>21</v>
      </c>
      <c r="I67" s="14">
        <f t="shared" ref="I67:I68" si="18">G68*6</f>
        <v>6</v>
      </c>
    </row>
    <row r="68">
      <c r="A68" s="11" t="s">
        <v>21</v>
      </c>
      <c r="B68" s="12">
        <f t="shared" si="14"/>
        <v>18</v>
      </c>
      <c r="C68" s="11"/>
      <c r="D68" s="13"/>
      <c r="E68" s="13">
        <v>2.0</v>
      </c>
      <c r="F68" s="13">
        <v>1.0</v>
      </c>
      <c r="G68" s="12">
        <f t="shared" si="15"/>
        <v>1</v>
      </c>
      <c r="H68" s="12">
        <f t="shared" si="16"/>
        <v>17</v>
      </c>
      <c r="I68" s="14">
        <f t="shared" si="18"/>
        <v>0</v>
      </c>
    </row>
    <row r="69">
      <c r="A69" s="11" t="s">
        <v>22</v>
      </c>
      <c r="B69" s="12">
        <f t="shared" si="14"/>
        <v>27</v>
      </c>
      <c r="C69" s="13"/>
      <c r="D69" s="13"/>
      <c r="E69" s="13">
        <v>6.0</v>
      </c>
      <c r="F69" s="13">
        <v>6.0</v>
      </c>
      <c r="G69" s="12">
        <f t="shared" si="15"/>
        <v>0</v>
      </c>
      <c r="H69" s="12">
        <f t="shared" si="16"/>
        <v>27</v>
      </c>
      <c r="I69" s="14">
        <f t="shared" ref="I69:I77" si="19">G69*6</f>
        <v>0</v>
      </c>
    </row>
    <row r="70">
      <c r="A70" s="11" t="s">
        <v>23</v>
      </c>
      <c r="B70" s="12">
        <f t="shared" si="14"/>
        <v>15</v>
      </c>
      <c r="C70" s="13"/>
      <c r="D70" s="11"/>
      <c r="E70" s="13">
        <v>6.0</v>
      </c>
      <c r="F70" s="13">
        <v>3.0</v>
      </c>
      <c r="G70" s="12">
        <f t="shared" si="15"/>
        <v>3</v>
      </c>
      <c r="H70" s="12">
        <f t="shared" si="16"/>
        <v>12</v>
      </c>
      <c r="I70" s="14">
        <f t="shared" si="19"/>
        <v>18</v>
      </c>
    </row>
    <row r="71">
      <c r="A71" s="11" t="s">
        <v>24</v>
      </c>
      <c r="B71" s="12">
        <f t="shared" si="14"/>
        <v>26</v>
      </c>
      <c r="C71" s="11"/>
      <c r="D71" s="13"/>
      <c r="E71" s="13">
        <v>4.0</v>
      </c>
      <c r="F71" s="13">
        <v>4.0</v>
      </c>
      <c r="G71" s="12">
        <f t="shared" si="15"/>
        <v>0</v>
      </c>
      <c r="H71" s="12">
        <f t="shared" si="16"/>
        <v>26</v>
      </c>
      <c r="I71" s="14">
        <f t="shared" si="19"/>
        <v>0</v>
      </c>
    </row>
    <row r="72">
      <c r="A72" s="11" t="s">
        <v>25</v>
      </c>
      <c r="B72" s="12">
        <f t="shared" si="14"/>
        <v>14</v>
      </c>
      <c r="C72" s="11"/>
      <c r="D72" s="13">
        <v>27.0</v>
      </c>
      <c r="E72" s="13">
        <v>7.0</v>
      </c>
      <c r="F72" s="13">
        <v>0.0</v>
      </c>
      <c r="G72" s="12">
        <f t="shared" si="15"/>
        <v>7</v>
      </c>
      <c r="H72" s="12">
        <f t="shared" si="16"/>
        <v>34</v>
      </c>
      <c r="I72" s="14">
        <f t="shared" si="19"/>
        <v>42</v>
      </c>
    </row>
    <row r="73">
      <c r="A73" s="11" t="s">
        <v>26</v>
      </c>
      <c r="B73" s="12">
        <f t="shared" si="14"/>
        <v>24</v>
      </c>
      <c r="C73" s="11"/>
      <c r="D73" s="13"/>
      <c r="E73" s="13">
        <v>6.0</v>
      </c>
      <c r="F73" s="13">
        <v>5.0</v>
      </c>
      <c r="G73" s="12">
        <f t="shared" si="15"/>
        <v>1</v>
      </c>
      <c r="H73" s="12">
        <f t="shared" si="16"/>
        <v>23</v>
      </c>
      <c r="I73" s="14">
        <f t="shared" si="19"/>
        <v>6</v>
      </c>
    </row>
    <row r="74">
      <c r="A74" s="11" t="s">
        <v>27</v>
      </c>
      <c r="B74" s="12">
        <f t="shared" si="14"/>
        <v>10</v>
      </c>
      <c r="C74" s="11"/>
      <c r="D74" s="11"/>
      <c r="E74" s="13">
        <v>4.0</v>
      </c>
      <c r="F74" s="13">
        <v>1.0</v>
      </c>
      <c r="G74" s="12">
        <f t="shared" si="15"/>
        <v>3</v>
      </c>
      <c r="H74" s="12">
        <f t="shared" si="16"/>
        <v>7</v>
      </c>
      <c r="I74" s="14">
        <f t="shared" si="19"/>
        <v>18</v>
      </c>
    </row>
    <row r="75">
      <c r="A75" s="11" t="s">
        <v>28</v>
      </c>
      <c r="B75" s="12">
        <f t="shared" si="14"/>
        <v>39</v>
      </c>
      <c r="C75" s="11"/>
      <c r="D75" s="11"/>
      <c r="E75" s="13">
        <v>8.0</v>
      </c>
      <c r="F75" s="13">
        <v>7.0</v>
      </c>
      <c r="G75" s="12">
        <f t="shared" si="15"/>
        <v>1</v>
      </c>
      <c r="H75" s="12">
        <f t="shared" si="16"/>
        <v>38</v>
      </c>
      <c r="I75" s="14">
        <f t="shared" si="19"/>
        <v>6</v>
      </c>
    </row>
    <row r="76">
      <c r="A76" s="11" t="s">
        <v>30</v>
      </c>
      <c r="B76" s="12">
        <f t="shared" si="14"/>
        <v>27</v>
      </c>
      <c r="C76" s="11"/>
      <c r="D76" s="11"/>
      <c r="E76" s="13">
        <v>2.0</v>
      </c>
      <c r="F76" s="13">
        <v>2.0</v>
      </c>
      <c r="G76" s="12">
        <f t="shared" si="15"/>
        <v>0</v>
      </c>
      <c r="H76" s="12">
        <f t="shared" si="16"/>
        <v>27</v>
      </c>
      <c r="I76" s="14">
        <f t="shared" si="19"/>
        <v>0</v>
      </c>
    </row>
    <row r="77">
      <c r="A77" s="18" t="s">
        <v>86</v>
      </c>
      <c r="B77" s="12">
        <f t="shared" si="14"/>
        <v>35</v>
      </c>
      <c r="C77" s="11"/>
      <c r="D77" s="11"/>
      <c r="E77" s="13">
        <v>6.0</v>
      </c>
      <c r="F77" s="13">
        <v>5.0</v>
      </c>
      <c r="G77" s="12">
        <f t="shared" si="15"/>
        <v>1</v>
      </c>
      <c r="H77" s="12">
        <f t="shared" si="16"/>
        <v>34</v>
      </c>
      <c r="I77" s="14">
        <f t="shared" si="19"/>
        <v>6</v>
      </c>
    </row>
    <row r="78">
      <c r="A78" s="19" t="s">
        <v>33</v>
      </c>
      <c r="B78" s="20">
        <f>SUM(B57:B77)</f>
        <v>511</v>
      </c>
      <c r="C78" s="19"/>
      <c r="D78" s="19"/>
      <c r="E78" s="20">
        <f t="shared" ref="E78:G78" si="20">SUM(E56:E77)</f>
        <v>111</v>
      </c>
      <c r="F78" s="20">
        <f t="shared" si="20"/>
        <v>82</v>
      </c>
      <c r="G78" s="20">
        <f t="shared" si="20"/>
        <v>29</v>
      </c>
      <c r="H78" s="20">
        <f>SUM(H57:H77)</f>
        <v>509</v>
      </c>
      <c r="I78" s="21">
        <f>SUM(I56:I77)</f>
        <v>168</v>
      </c>
    </row>
    <row r="79">
      <c r="A79" s="22"/>
      <c r="B79" s="22"/>
      <c r="C79" s="22"/>
      <c r="D79" s="22"/>
      <c r="E79" s="22"/>
      <c r="F79" s="23" t="s">
        <v>34</v>
      </c>
      <c r="G79" s="4"/>
      <c r="H79" s="24"/>
      <c r="I79" s="25"/>
    </row>
    <row r="80">
      <c r="A80" s="22"/>
      <c r="B80" s="32"/>
      <c r="C80" s="32"/>
      <c r="D80" s="32"/>
      <c r="E80" s="33" t="s">
        <v>87</v>
      </c>
      <c r="F80" s="3"/>
      <c r="G80" s="4"/>
      <c r="H80" s="34"/>
      <c r="I80" s="35">
        <f>SUM(I57:I77)</f>
        <v>168</v>
      </c>
    </row>
    <row r="82">
      <c r="A82" s="1"/>
      <c r="B82" s="2" t="s">
        <v>108</v>
      </c>
      <c r="C82" s="3"/>
      <c r="D82" s="3"/>
      <c r="E82" s="3"/>
      <c r="F82" s="3"/>
      <c r="G82" s="3"/>
      <c r="H82" s="3"/>
      <c r="I82" s="4"/>
    </row>
    <row r="83">
      <c r="A83" s="5" t="s">
        <v>1</v>
      </c>
      <c r="B83" s="6" t="s">
        <v>2</v>
      </c>
      <c r="C83" s="7" t="s">
        <v>3</v>
      </c>
      <c r="D83" s="8" t="s">
        <v>4</v>
      </c>
      <c r="E83" s="5" t="s">
        <v>5</v>
      </c>
      <c r="F83" s="5" t="s">
        <v>6</v>
      </c>
      <c r="G83" s="5" t="s">
        <v>7</v>
      </c>
      <c r="H83" s="9" t="s">
        <v>8</v>
      </c>
      <c r="I83" s="10" t="s">
        <v>9</v>
      </c>
    </row>
    <row r="84">
      <c r="A84" s="11" t="s">
        <v>10</v>
      </c>
      <c r="B84" s="12">
        <f t="shared" ref="B84:B104" si="21">H57</f>
        <v>35</v>
      </c>
      <c r="C84" s="11"/>
      <c r="D84" s="11"/>
      <c r="E84" s="13">
        <v>6.0</v>
      </c>
      <c r="F84" s="13">
        <v>3.0</v>
      </c>
      <c r="G84" s="12">
        <f t="shared" ref="G84:G104" si="22">E84-F84</f>
        <v>3</v>
      </c>
      <c r="H84" s="12">
        <f t="shared" ref="H84:H104" si="23">B84-C84+D84-G84</f>
        <v>32</v>
      </c>
      <c r="I84" s="14">
        <f t="shared" ref="I84:I93" si="24">G84*6</f>
        <v>18</v>
      </c>
    </row>
    <row r="85">
      <c r="A85" s="11" t="s">
        <v>11</v>
      </c>
      <c r="B85" s="12">
        <f t="shared" si="21"/>
        <v>18</v>
      </c>
      <c r="C85" s="11"/>
      <c r="D85" s="11"/>
      <c r="E85" s="13">
        <v>5.0</v>
      </c>
      <c r="F85" s="13">
        <v>0.0</v>
      </c>
      <c r="G85" s="12">
        <f t="shared" si="22"/>
        <v>5</v>
      </c>
      <c r="H85" s="12">
        <f t="shared" si="23"/>
        <v>13</v>
      </c>
      <c r="I85" s="14">
        <f t="shared" si="24"/>
        <v>30</v>
      </c>
    </row>
    <row r="86">
      <c r="A86" s="11" t="s">
        <v>12</v>
      </c>
      <c r="B86" s="12">
        <f t="shared" si="21"/>
        <v>13</v>
      </c>
      <c r="C86" s="11"/>
      <c r="D86" s="11"/>
      <c r="E86" s="13">
        <v>6.0</v>
      </c>
      <c r="F86" s="13">
        <v>5.0</v>
      </c>
      <c r="G86" s="12">
        <f t="shared" si="22"/>
        <v>1</v>
      </c>
      <c r="H86" s="12">
        <f t="shared" si="23"/>
        <v>12</v>
      </c>
      <c r="I86" s="14">
        <f t="shared" si="24"/>
        <v>6</v>
      </c>
    </row>
    <row r="87">
      <c r="A87" s="11" t="s">
        <v>13</v>
      </c>
      <c r="B87" s="12">
        <f t="shared" si="21"/>
        <v>16</v>
      </c>
      <c r="C87" s="11"/>
      <c r="D87" s="13">
        <v>27.0</v>
      </c>
      <c r="E87" s="13">
        <v>7.0</v>
      </c>
      <c r="F87" s="13">
        <v>0.0</v>
      </c>
      <c r="G87" s="12">
        <f t="shared" si="22"/>
        <v>7</v>
      </c>
      <c r="H87" s="12">
        <f t="shared" si="23"/>
        <v>36</v>
      </c>
      <c r="I87" s="14">
        <f t="shared" si="24"/>
        <v>42</v>
      </c>
    </row>
    <row r="88">
      <c r="A88" s="11" t="s">
        <v>14</v>
      </c>
      <c r="B88" s="12">
        <f t="shared" si="21"/>
        <v>23</v>
      </c>
      <c r="C88" s="11"/>
      <c r="D88" s="11"/>
      <c r="E88" s="13">
        <v>4.0</v>
      </c>
      <c r="F88" s="13">
        <v>3.0</v>
      </c>
      <c r="G88" s="12">
        <f t="shared" si="22"/>
        <v>1</v>
      </c>
      <c r="H88" s="12">
        <f t="shared" si="23"/>
        <v>22</v>
      </c>
      <c r="I88" s="14">
        <f t="shared" si="24"/>
        <v>6</v>
      </c>
    </row>
    <row r="89">
      <c r="A89" s="11" t="s">
        <v>15</v>
      </c>
      <c r="B89" s="12">
        <f t="shared" si="21"/>
        <v>30</v>
      </c>
      <c r="C89" s="11"/>
      <c r="D89" s="11"/>
      <c r="E89" s="13">
        <v>6.0</v>
      </c>
      <c r="F89" s="13">
        <v>6.0</v>
      </c>
      <c r="G89" s="12">
        <f t="shared" si="22"/>
        <v>0</v>
      </c>
      <c r="H89" s="12">
        <f t="shared" si="23"/>
        <v>30</v>
      </c>
      <c r="I89" s="14">
        <f t="shared" si="24"/>
        <v>0</v>
      </c>
    </row>
    <row r="90">
      <c r="A90" s="11" t="s">
        <v>16</v>
      </c>
      <c r="B90" s="12">
        <f t="shared" si="21"/>
        <v>31</v>
      </c>
      <c r="C90" s="11"/>
      <c r="D90" s="11"/>
      <c r="E90" s="13">
        <v>5.0</v>
      </c>
      <c r="F90" s="13">
        <v>4.0</v>
      </c>
      <c r="G90" s="12">
        <f t="shared" si="22"/>
        <v>1</v>
      </c>
      <c r="H90" s="12">
        <f t="shared" si="23"/>
        <v>30</v>
      </c>
      <c r="I90" s="14">
        <f t="shared" si="24"/>
        <v>6</v>
      </c>
    </row>
    <row r="91">
      <c r="A91" s="11" t="s">
        <v>17</v>
      </c>
      <c r="B91" s="12">
        <f t="shared" si="21"/>
        <v>12</v>
      </c>
      <c r="C91" s="11"/>
      <c r="D91" s="11"/>
      <c r="E91" s="13">
        <v>3.0</v>
      </c>
      <c r="F91" s="13">
        <v>0.0</v>
      </c>
      <c r="G91" s="12">
        <f t="shared" si="22"/>
        <v>3</v>
      </c>
      <c r="H91" s="12">
        <f t="shared" si="23"/>
        <v>9</v>
      </c>
      <c r="I91" s="14">
        <f t="shared" si="24"/>
        <v>18</v>
      </c>
    </row>
    <row r="92">
      <c r="A92" s="11" t="s">
        <v>18</v>
      </c>
      <c r="B92" s="12">
        <f t="shared" si="21"/>
        <v>35</v>
      </c>
      <c r="C92" s="11"/>
      <c r="D92" s="11"/>
      <c r="E92" s="13">
        <v>6.0</v>
      </c>
      <c r="F92" s="13">
        <v>4.0</v>
      </c>
      <c r="G92" s="12">
        <f t="shared" si="22"/>
        <v>2</v>
      </c>
      <c r="H92" s="12">
        <f t="shared" si="23"/>
        <v>33</v>
      </c>
      <c r="I92" s="14">
        <f t="shared" si="24"/>
        <v>12</v>
      </c>
    </row>
    <row r="93">
      <c r="A93" s="11" t="s">
        <v>19</v>
      </c>
      <c r="B93" s="12">
        <f t="shared" si="21"/>
        <v>30</v>
      </c>
      <c r="C93" s="11"/>
      <c r="D93" s="13"/>
      <c r="E93" s="13">
        <v>6.0</v>
      </c>
      <c r="F93" s="13">
        <v>2.0</v>
      </c>
      <c r="G93" s="12">
        <f t="shared" si="22"/>
        <v>4</v>
      </c>
      <c r="H93" s="12">
        <f t="shared" si="23"/>
        <v>26</v>
      </c>
      <c r="I93" s="14">
        <f t="shared" si="24"/>
        <v>24</v>
      </c>
    </row>
    <row r="94">
      <c r="A94" s="11" t="s">
        <v>20</v>
      </c>
      <c r="B94" s="12">
        <f t="shared" si="21"/>
        <v>21</v>
      </c>
      <c r="C94" s="13"/>
      <c r="D94" s="11"/>
      <c r="E94" s="13">
        <v>6.0</v>
      </c>
      <c r="F94" s="13">
        <v>5.0</v>
      </c>
      <c r="G94" s="12">
        <f t="shared" si="22"/>
        <v>1</v>
      </c>
      <c r="H94" s="12">
        <f t="shared" si="23"/>
        <v>20</v>
      </c>
      <c r="I94" s="14">
        <f t="shared" ref="I94:I95" si="25">G95*6</f>
        <v>0</v>
      </c>
    </row>
    <row r="95">
      <c r="A95" s="11" t="s">
        <v>21</v>
      </c>
      <c r="B95" s="12">
        <f t="shared" si="21"/>
        <v>17</v>
      </c>
      <c r="C95" s="11"/>
      <c r="D95" s="13"/>
      <c r="E95" s="13">
        <v>2.0</v>
      </c>
      <c r="F95" s="13">
        <v>2.0</v>
      </c>
      <c r="G95" s="12">
        <f t="shared" si="22"/>
        <v>0</v>
      </c>
      <c r="H95" s="12">
        <f t="shared" si="23"/>
        <v>17</v>
      </c>
      <c r="I95" s="14">
        <f t="shared" si="25"/>
        <v>6</v>
      </c>
    </row>
    <row r="96">
      <c r="A96" s="11" t="s">
        <v>22</v>
      </c>
      <c r="B96" s="12">
        <f t="shared" si="21"/>
        <v>27</v>
      </c>
      <c r="C96" s="13"/>
      <c r="D96" s="13"/>
      <c r="E96" s="13">
        <v>5.0</v>
      </c>
      <c r="F96" s="13">
        <v>4.0</v>
      </c>
      <c r="G96" s="12">
        <f t="shared" si="22"/>
        <v>1</v>
      </c>
      <c r="H96" s="12">
        <f t="shared" si="23"/>
        <v>26</v>
      </c>
      <c r="I96" s="14">
        <f t="shared" ref="I96:I104" si="26">G96*6</f>
        <v>6</v>
      </c>
    </row>
    <row r="97">
      <c r="A97" s="11" t="s">
        <v>23</v>
      </c>
      <c r="B97" s="12">
        <f t="shared" si="21"/>
        <v>12</v>
      </c>
      <c r="C97" s="13"/>
      <c r="D97" s="11"/>
      <c r="E97" s="13">
        <v>6.0</v>
      </c>
      <c r="F97" s="13">
        <v>5.0</v>
      </c>
      <c r="G97" s="12">
        <f t="shared" si="22"/>
        <v>1</v>
      </c>
      <c r="H97" s="12">
        <f t="shared" si="23"/>
        <v>11</v>
      </c>
      <c r="I97" s="14">
        <f t="shared" si="26"/>
        <v>6</v>
      </c>
    </row>
    <row r="98">
      <c r="A98" s="11" t="s">
        <v>24</v>
      </c>
      <c r="B98" s="12">
        <f t="shared" si="21"/>
        <v>26</v>
      </c>
      <c r="C98" s="11"/>
      <c r="D98" s="13"/>
      <c r="E98" s="13">
        <v>4.0</v>
      </c>
      <c r="F98" s="13">
        <v>3.0</v>
      </c>
      <c r="G98" s="12">
        <f t="shared" si="22"/>
        <v>1</v>
      </c>
      <c r="H98" s="12">
        <f t="shared" si="23"/>
        <v>25</v>
      </c>
      <c r="I98" s="14">
        <f t="shared" si="26"/>
        <v>6</v>
      </c>
    </row>
    <row r="99">
      <c r="A99" s="11" t="s">
        <v>25</v>
      </c>
      <c r="B99" s="12">
        <f t="shared" si="21"/>
        <v>34</v>
      </c>
      <c r="C99" s="11"/>
      <c r="D99" s="11"/>
      <c r="E99" s="13">
        <v>8.0</v>
      </c>
      <c r="F99" s="13">
        <v>7.0</v>
      </c>
      <c r="G99" s="12">
        <f t="shared" si="22"/>
        <v>1</v>
      </c>
      <c r="H99" s="12">
        <f t="shared" si="23"/>
        <v>33</v>
      </c>
      <c r="I99" s="14">
        <f t="shared" si="26"/>
        <v>6</v>
      </c>
    </row>
    <row r="100">
      <c r="A100" s="11" t="s">
        <v>26</v>
      </c>
      <c r="B100" s="12">
        <f t="shared" si="21"/>
        <v>23</v>
      </c>
      <c r="C100" s="11"/>
      <c r="D100" s="13"/>
      <c r="E100" s="13">
        <v>6.0</v>
      </c>
      <c r="F100" s="13">
        <v>5.0</v>
      </c>
      <c r="G100" s="12">
        <f t="shared" si="22"/>
        <v>1</v>
      </c>
      <c r="H100" s="12">
        <f t="shared" si="23"/>
        <v>22</v>
      </c>
      <c r="I100" s="14">
        <f t="shared" si="26"/>
        <v>6</v>
      </c>
    </row>
    <row r="101">
      <c r="A101" s="11" t="s">
        <v>27</v>
      </c>
      <c r="B101" s="12">
        <f t="shared" si="21"/>
        <v>7</v>
      </c>
      <c r="C101" s="11"/>
      <c r="D101" s="11"/>
      <c r="E101" s="13">
        <v>4.0</v>
      </c>
      <c r="F101" s="13">
        <v>3.0</v>
      </c>
      <c r="G101" s="12">
        <f t="shared" si="22"/>
        <v>1</v>
      </c>
      <c r="H101" s="12">
        <f t="shared" si="23"/>
        <v>6</v>
      </c>
      <c r="I101" s="14">
        <f t="shared" si="26"/>
        <v>6</v>
      </c>
    </row>
    <row r="102">
      <c r="A102" s="11" t="s">
        <v>28</v>
      </c>
      <c r="B102" s="12">
        <f t="shared" si="21"/>
        <v>38</v>
      </c>
      <c r="C102" s="11"/>
      <c r="D102" s="11"/>
      <c r="E102" s="13">
        <v>8.0</v>
      </c>
      <c r="F102" s="13">
        <v>6.0</v>
      </c>
      <c r="G102" s="12">
        <f t="shared" si="22"/>
        <v>2</v>
      </c>
      <c r="H102" s="12">
        <f t="shared" si="23"/>
        <v>36</v>
      </c>
      <c r="I102" s="14">
        <f t="shared" si="26"/>
        <v>12</v>
      </c>
    </row>
    <row r="103">
      <c r="A103" s="11" t="s">
        <v>30</v>
      </c>
      <c r="B103" s="12">
        <f t="shared" si="21"/>
        <v>27</v>
      </c>
      <c r="C103" s="11"/>
      <c r="D103" s="11"/>
      <c r="E103" s="13">
        <v>2.0</v>
      </c>
      <c r="F103" s="13">
        <v>2.0</v>
      </c>
      <c r="G103" s="12">
        <f t="shared" si="22"/>
        <v>0</v>
      </c>
      <c r="H103" s="12">
        <f t="shared" si="23"/>
        <v>27</v>
      </c>
      <c r="I103" s="14">
        <f t="shared" si="26"/>
        <v>0</v>
      </c>
    </row>
    <row r="104">
      <c r="A104" s="18" t="s">
        <v>86</v>
      </c>
      <c r="B104" s="12">
        <f t="shared" si="21"/>
        <v>34</v>
      </c>
      <c r="C104" s="11"/>
      <c r="D104" s="11"/>
      <c r="E104" s="13">
        <v>6.0</v>
      </c>
      <c r="F104" s="13">
        <v>6.0</v>
      </c>
      <c r="G104" s="12">
        <f t="shared" si="22"/>
        <v>0</v>
      </c>
      <c r="H104" s="12">
        <f t="shared" si="23"/>
        <v>34</v>
      </c>
      <c r="I104" s="14">
        <f t="shared" si="26"/>
        <v>0</v>
      </c>
    </row>
    <row r="105">
      <c r="A105" s="19" t="s">
        <v>33</v>
      </c>
      <c r="B105" s="20">
        <f>SUM(B84:B104)</f>
        <v>509</v>
      </c>
      <c r="C105" s="19"/>
      <c r="D105" s="19"/>
      <c r="E105" s="20">
        <f t="shared" ref="E105:G105" si="27">SUM(E83:E104)</f>
        <v>111</v>
      </c>
      <c r="F105" s="20">
        <f t="shared" si="27"/>
        <v>75</v>
      </c>
      <c r="G105" s="20">
        <f t="shared" si="27"/>
        <v>36</v>
      </c>
      <c r="H105" s="20">
        <f>SUM(H84:H104)</f>
        <v>500</v>
      </c>
      <c r="I105" s="21">
        <f>SUM(I83:I104)</f>
        <v>216</v>
      </c>
    </row>
    <row r="106">
      <c r="A106" s="22"/>
      <c r="B106" s="22"/>
      <c r="C106" s="22"/>
      <c r="D106" s="22"/>
      <c r="E106" s="22"/>
      <c r="F106" s="23" t="s">
        <v>34</v>
      </c>
      <c r="G106" s="4"/>
      <c r="H106" s="24"/>
      <c r="I106" s="25"/>
    </row>
    <row r="107">
      <c r="A107" s="22"/>
      <c r="B107" s="32"/>
      <c r="C107" s="32"/>
      <c r="D107" s="32"/>
      <c r="E107" s="33" t="s">
        <v>87</v>
      </c>
      <c r="F107" s="3"/>
      <c r="G107" s="4"/>
      <c r="H107" s="34"/>
      <c r="I107" s="35">
        <f>SUM(I84:I104)</f>
        <v>216</v>
      </c>
    </row>
    <row r="109">
      <c r="A109" s="1"/>
      <c r="B109" s="2" t="s">
        <v>109</v>
      </c>
      <c r="C109" s="3"/>
      <c r="D109" s="3"/>
      <c r="E109" s="3"/>
      <c r="F109" s="3"/>
      <c r="G109" s="3"/>
      <c r="H109" s="3"/>
      <c r="I109" s="4"/>
    </row>
    <row r="110">
      <c r="A110" s="5" t="s">
        <v>1</v>
      </c>
      <c r="B110" s="6" t="s">
        <v>2</v>
      </c>
      <c r="C110" s="7" t="s">
        <v>3</v>
      </c>
      <c r="D110" s="8" t="s">
        <v>4</v>
      </c>
      <c r="E110" s="5" t="s">
        <v>5</v>
      </c>
      <c r="F110" s="5" t="s">
        <v>6</v>
      </c>
      <c r="G110" s="5" t="s">
        <v>7</v>
      </c>
      <c r="H110" s="9" t="s">
        <v>8</v>
      </c>
      <c r="I110" s="10" t="s">
        <v>9</v>
      </c>
    </row>
    <row r="111">
      <c r="A111" s="11" t="s">
        <v>10</v>
      </c>
      <c r="B111" s="12">
        <f t="shared" ref="B111:B131" si="28">H84</f>
        <v>32</v>
      </c>
      <c r="C111" s="11"/>
      <c r="D111" s="11"/>
      <c r="E111" s="13">
        <v>6.0</v>
      </c>
      <c r="F111" s="13">
        <v>5.0</v>
      </c>
      <c r="G111" s="12">
        <f t="shared" ref="G111:G131" si="29">E111-F111</f>
        <v>1</v>
      </c>
      <c r="H111" s="12">
        <f t="shared" ref="H111:H131" si="30">B111-C111+D111-G111</f>
        <v>31</v>
      </c>
      <c r="I111" s="14">
        <f t="shared" ref="I111:I120" si="31">G111*6</f>
        <v>6</v>
      </c>
    </row>
    <row r="112">
      <c r="A112" s="11" t="s">
        <v>11</v>
      </c>
      <c r="B112" s="12">
        <f t="shared" si="28"/>
        <v>13</v>
      </c>
      <c r="C112" s="11"/>
      <c r="D112" s="11"/>
      <c r="E112" s="13">
        <v>6.0</v>
      </c>
      <c r="F112" s="13">
        <v>3.0</v>
      </c>
      <c r="G112" s="12">
        <f t="shared" si="29"/>
        <v>3</v>
      </c>
      <c r="H112" s="12">
        <f t="shared" si="30"/>
        <v>10</v>
      </c>
      <c r="I112" s="14">
        <f t="shared" si="31"/>
        <v>18</v>
      </c>
    </row>
    <row r="113">
      <c r="A113" s="11" t="s">
        <v>12</v>
      </c>
      <c r="B113" s="12">
        <f t="shared" si="28"/>
        <v>12</v>
      </c>
      <c r="C113" s="11"/>
      <c r="D113" s="11"/>
      <c r="E113" s="13">
        <v>6.0</v>
      </c>
      <c r="F113" s="13">
        <v>3.0</v>
      </c>
      <c r="G113" s="12">
        <f t="shared" si="29"/>
        <v>3</v>
      </c>
      <c r="H113" s="12">
        <f t="shared" si="30"/>
        <v>9</v>
      </c>
      <c r="I113" s="14">
        <f t="shared" si="31"/>
        <v>18</v>
      </c>
    </row>
    <row r="114">
      <c r="A114" s="11" t="s">
        <v>13</v>
      </c>
      <c r="B114" s="12">
        <f t="shared" si="28"/>
        <v>36</v>
      </c>
      <c r="C114" s="11"/>
      <c r="D114" s="11"/>
      <c r="E114" s="13">
        <v>8.0</v>
      </c>
      <c r="F114" s="13">
        <v>6.0</v>
      </c>
      <c r="G114" s="12">
        <f t="shared" si="29"/>
        <v>2</v>
      </c>
      <c r="H114" s="12">
        <f t="shared" si="30"/>
        <v>34</v>
      </c>
      <c r="I114" s="14">
        <f t="shared" si="31"/>
        <v>12</v>
      </c>
    </row>
    <row r="115">
      <c r="A115" s="11" t="s">
        <v>14</v>
      </c>
      <c r="B115" s="12">
        <f t="shared" si="28"/>
        <v>22</v>
      </c>
      <c r="C115" s="11"/>
      <c r="D115" s="11"/>
      <c r="E115" s="13">
        <v>4.0</v>
      </c>
      <c r="F115" s="13">
        <v>2.0</v>
      </c>
      <c r="G115" s="12">
        <f t="shared" si="29"/>
        <v>2</v>
      </c>
      <c r="H115" s="12">
        <f t="shared" si="30"/>
        <v>20</v>
      </c>
      <c r="I115" s="14">
        <f t="shared" si="31"/>
        <v>12</v>
      </c>
    </row>
    <row r="116">
      <c r="A116" s="11" t="s">
        <v>15</v>
      </c>
      <c r="B116" s="12">
        <f t="shared" si="28"/>
        <v>30</v>
      </c>
      <c r="C116" s="11"/>
      <c r="D116" s="11"/>
      <c r="E116" s="13">
        <v>6.0</v>
      </c>
      <c r="F116" s="13">
        <v>4.0</v>
      </c>
      <c r="G116" s="12">
        <f t="shared" si="29"/>
        <v>2</v>
      </c>
      <c r="H116" s="12">
        <f t="shared" si="30"/>
        <v>28</v>
      </c>
      <c r="I116" s="14">
        <f t="shared" si="31"/>
        <v>12</v>
      </c>
    </row>
    <row r="117">
      <c r="A117" s="11" t="s">
        <v>16</v>
      </c>
      <c r="B117" s="12">
        <f t="shared" si="28"/>
        <v>30</v>
      </c>
      <c r="C117" s="11"/>
      <c r="D117" s="11"/>
      <c r="E117" s="13">
        <v>5.0</v>
      </c>
      <c r="F117" s="13">
        <v>4.0</v>
      </c>
      <c r="G117" s="12">
        <f t="shared" si="29"/>
        <v>1</v>
      </c>
      <c r="H117" s="12">
        <f t="shared" si="30"/>
        <v>29</v>
      </c>
      <c r="I117" s="14">
        <f t="shared" si="31"/>
        <v>6</v>
      </c>
    </row>
    <row r="118">
      <c r="A118" s="11" t="s">
        <v>17</v>
      </c>
      <c r="B118" s="12">
        <f t="shared" si="28"/>
        <v>9</v>
      </c>
      <c r="C118" s="11"/>
      <c r="D118" s="13">
        <v>29.0</v>
      </c>
      <c r="E118" s="13">
        <v>4.0</v>
      </c>
      <c r="F118" s="13">
        <v>3.0</v>
      </c>
      <c r="G118" s="12">
        <f t="shared" si="29"/>
        <v>1</v>
      </c>
      <c r="H118" s="12">
        <f t="shared" si="30"/>
        <v>37</v>
      </c>
      <c r="I118" s="14">
        <f t="shared" si="31"/>
        <v>6</v>
      </c>
    </row>
    <row r="119">
      <c r="A119" s="11" t="s">
        <v>18</v>
      </c>
      <c r="B119" s="12">
        <f t="shared" si="28"/>
        <v>33</v>
      </c>
      <c r="C119" s="11"/>
      <c r="D119" s="11"/>
      <c r="E119" s="13">
        <v>6.0</v>
      </c>
      <c r="F119" s="13">
        <v>5.0</v>
      </c>
      <c r="G119" s="12">
        <f t="shared" si="29"/>
        <v>1</v>
      </c>
      <c r="H119" s="12">
        <f t="shared" si="30"/>
        <v>32</v>
      </c>
      <c r="I119" s="14">
        <f t="shared" si="31"/>
        <v>6</v>
      </c>
    </row>
    <row r="120">
      <c r="A120" s="11" t="s">
        <v>19</v>
      </c>
      <c r="B120" s="12">
        <f t="shared" si="28"/>
        <v>26</v>
      </c>
      <c r="C120" s="11"/>
      <c r="D120" s="13"/>
      <c r="E120" s="13">
        <v>6.0</v>
      </c>
      <c r="F120" s="13">
        <v>4.0</v>
      </c>
      <c r="G120" s="12">
        <f t="shared" si="29"/>
        <v>2</v>
      </c>
      <c r="H120" s="12">
        <f t="shared" si="30"/>
        <v>24</v>
      </c>
      <c r="I120" s="14">
        <f t="shared" si="31"/>
        <v>12</v>
      </c>
    </row>
    <row r="121">
      <c r="A121" s="11" t="s">
        <v>20</v>
      </c>
      <c r="B121" s="12">
        <f t="shared" si="28"/>
        <v>20</v>
      </c>
      <c r="C121" s="13"/>
      <c r="D121" s="11"/>
      <c r="E121" s="13">
        <v>6.0</v>
      </c>
      <c r="F121" s="13">
        <v>0.0</v>
      </c>
      <c r="G121" s="12">
        <f t="shared" si="29"/>
        <v>6</v>
      </c>
      <c r="H121" s="12">
        <f t="shared" si="30"/>
        <v>14</v>
      </c>
      <c r="I121" s="14">
        <f t="shared" ref="I121:I122" si="32">G122*6</f>
        <v>0</v>
      </c>
    </row>
    <row r="122">
      <c r="A122" s="11" t="s">
        <v>21</v>
      </c>
      <c r="B122" s="12">
        <f t="shared" si="28"/>
        <v>17</v>
      </c>
      <c r="C122" s="11"/>
      <c r="D122" s="13"/>
      <c r="E122" s="13">
        <v>2.0</v>
      </c>
      <c r="F122" s="13">
        <v>2.0</v>
      </c>
      <c r="G122" s="12">
        <f t="shared" si="29"/>
        <v>0</v>
      </c>
      <c r="H122" s="12">
        <f t="shared" si="30"/>
        <v>17</v>
      </c>
      <c r="I122" s="14">
        <f t="shared" si="32"/>
        <v>24</v>
      </c>
    </row>
    <row r="123">
      <c r="A123" s="11" t="s">
        <v>22</v>
      </c>
      <c r="B123" s="12">
        <f t="shared" si="28"/>
        <v>26</v>
      </c>
      <c r="C123" s="13"/>
      <c r="D123" s="13"/>
      <c r="E123" s="13">
        <v>5.0</v>
      </c>
      <c r="F123" s="13">
        <v>1.0</v>
      </c>
      <c r="G123" s="12">
        <f t="shared" si="29"/>
        <v>4</v>
      </c>
      <c r="H123" s="12">
        <f t="shared" si="30"/>
        <v>22</v>
      </c>
      <c r="I123" s="14">
        <f t="shared" ref="I123:I131" si="33">G123*6</f>
        <v>24</v>
      </c>
    </row>
    <row r="124">
      <c r="A124" s="11" t="s">
        <v>23</v>
      </c>
      <c r="B124" s="12">
        <f t="shared" si="28"/>
        <v>11</v>
      </c>
      <c r="C124" s="13"/>
      <c r="D124" s="11"/>
      <c r="E124" s="13">
        <v>6.0</v>
      </c>
      <c r="F124" s="13">
        <v>5.0</v>
      </c>
      <c r="G124" s="12">
        <f t="shared" si="29"/>
        <v>1</v>
      </c>
      <c r="H124" s="12">
        <f t="shared" si="30"/>
        <v>10</v>
      </c>
      <c r="I124" s="14">
        <f t="shared" si="33"/>
        <v>6</v>
      </c>
    </row>
    <row r="125">
      <c r="A125" s="11" t="s">
        <v>24</v>
      </c>
      <c r="B125" s="12">
        <f t="shared" si="28"/>
        <v>25</v>
      </c>
      <c r="C125" s="11"/>
      <c r="D125" s="13"/>
      <c r="E125" s="13">
        <v>4.0</v>
      </c>
      <c r="F125" s="13">
        <v>4.0</v>
      </c>
      <c r="G125" s="12">
        <f t="shared" si="29"/>
        <v>0</v>
      </c>
      <c r="H125" s="12">
        <f t="shared" si="30"/>
        <v>25</v>
      </c>
      <c r="I125" s="14">
        <f t="shared" si="33"/>
        <v>0</v>
      </c>
    </row>
    <row r="126">
      <c r="A126" s="11" t="s">
        <v>25</v>
      </c>
      <c r="B126" s="12">
        <f t="shared" si="28"/>
        <v>33</v>
      </c>
      <c r="C126" s="11"/>
      <c r="D126" s="11"/>
      <c r="E126" s="13">
        <v>8.0</v>
      </c>
      <c r="F126" s="13">
        <v>5.0</v>
      </c>
      <c r="G126" s="12">
        <f t="shared" si="29"/>
        <v>3</v>
      </c>
      <c r="H126" s="12">
        <f t="shared" si="30"/>
        <v>30</v>
      </c>
      <c r="I126" s="14">
        <f t="shared" si="33"/>
        <v>18</v>
      </c>
    </row>
    <row r="127">
      <c r="A127" s="11" t="s">
        <v>26</v>
      </c>
      <c r="B127" s="12">
        <f t="shared" si="28"/>
        <v>22</v>
      </c>
      <c r="C127" s="11"/>
      <c r="D127" s="13"/>
      <c r="E127" s="13">
        <v>6.0</v>
      </c>
      <c r="F127" s="13">
        <v>4.0</v>
      </c>
      <c r="G127" s="12">
        <f t="shared" si="29"/>
        <v>2</v>
      </c>
      <c r="H127" s="12">
        <f t="shared" si="30"/>
        <v>20</v>
      </c>
      <c r="I127" s="14">
        <f t="shared" si="33"/>
        <v>12</v>
      </c>
    </row>
    <row r="128">
      <c r="A128" s="11" t="s">
        <v>27</v>
      </c>
      <c r="B128" s="12">
        <f t="shared" si="28"/>
        <v>6</v>
      </c>
      <c r="C128" s="11"/>
      <c r="D128" s="13">
        <v>27.0</v>
      </c>
      <c r="E128" s="13">
        <v>4.0</v>
      </c>
      <c r="F128" s="13">
        <v>3.0</v>
      </c>
      <c r="G128" s="12">
        <f t="shared" si="29"/>
        <v>1</v>
      </c>
      <c r="H128" s="12">
        <f t="shared" si="30"/>
        <v>32</v>
      </c>
      <c r="I128" s="14">
        <f t="shared" si="33"/>
        <v>6</v>
      </c>
    </row>
    <row r="129">
      <c r="A129" s="11" t="s">
        <v>28</v>
      </c>
      <c r="B129" s="12">
        <f t="shared" si="28"/>
        <v>36</v>
      </c>
      <c r="C129" s="13">
        <v>1.0</v>
      </c>
      <c r="D129" s="11"/>
      <c r="E129" s="13">
        <v>8.0</v>
      </c>
      <c r="F129" s="13">
        <v>3.0</v>
      </c>
      <c r="G129" s="12">
        <f t="shared" si="29"/>
        <v>5</v>
      </c>
      <c r="H129" s="12">
        <f t="shared" si="30"/>
        <v>30</v>
      </c>
      <c r="I129" s="14">
        <f t="shared" si="33"/>
        <v>30</v>
      </c>
    </row>
    <row r="130">
      <c r="A130" s="11" t="s">
        <v>30</v>
      </c>
      <c r="B130" s="12">
        <f t="shared" si="28"/>
        <v>27</v>
      </c>
      <c r="C130" s="11"/>
      <c r="D130" s="11"/>
      <c r="E130" s="13">
        <v>2.0</v>
      </c>
      <c r="F130" s="13">
        <v>1.0</v>
      </c>
      <c r="G130" s="12">
        <f t="shared" si="29"/>
        <v>1</v>
      </c>
      <c r="H130" s="12">
        <f t="shared" si="30"/>
        <v>26</v>
      </c>
      <c r="I130" s="14">
        <f t="shared" si="33"/>
        <v>6</v>
      </c>
    </row>
    <row r="131">
      <c r="A131" s="18" t="s">
        <v>86</v>
      </c>
      <c r="B131" s="12">
        <f t="shared" si="28"/>
        <v>34</v>
      </c>
      <c r="C131" s="11"/>
      <c r="D131" s="11"/>
      <c r="E131" s="13">
        <v>6.0</v>
      </c>
      <c r="F131" s="13">
        <v>4.0</v>
      </c>
      <c r="G131" s="12">
        <f t="shared" si="29"/>
        <v>2</v>
      </c>
      <c r="H131" s="12">
        <f t="shared" si="30"/>
        <v>32</v>
      </c>
      <c r="I131" s="14">
        <f t="shared" si="33"/>
        <v>12</v>
      </c>
    </row>
    <row r="132">
      <c r="A132" s="19" t="s">
        <v>33</v>
      </c>
      <c r="B132" s="20">
        <f>SUM(B111:B131)</f>
        <v>500</v>
      </c>
      <c r="C132" s="19"/>
      <c r="D132" s="19"/>
      <c r="E132" s="20">
        <f t="shared" ref="E132:G132" si="34">SUM(E110:E131)</f>
        <v>114</v>
      </c>
      <c r="F132" s="20">
        <f t="shared" si="34"/>
        <v>71</v>
      </c>
      <c r="G132" s="20">
        <f t="shared" si="34"/>
        <v>43</v>
      </c>
      <c r="H132" s="20">
        <f>SUM(H111:H131)</f>
        <v>512</v>
      </c>
      <c r="I132" s="21">
        <f>SUM(I110:I131)</f>
        <v>246</v>
      </c>
    </row>
    <row r="133">
      <c r="A133" s="22"/>
      <c r="B133" s="22"/>
      <c r="C133" s="22"/>
      <c r="D133" s="22"/>
      <c r="E133" s="22"/>
      <c r="F133" s="23" t="s">
        <v>34</v>
      </c>
      <c r="G133" s="4"/>
      <c r="H133" s="24"/>
      <c r="I133" s="25"/>
    </row>
    <row r="134">
      <c r="A134" s="22"/>
      <c r="B134" s="32"/>
      <c r="C134" s="32"/>
      <c r="D134" s="32"/>
      <c r="E134" s="33" t="s">
        <v>87</v>
      </c>
      <c r="F134" s="3"/>
      <c r="G134" s="4"/>
      <c r="H134" s="34"/>
      <c r="I134" s="35">
        <f>SUM(I111:I131)</f>
        <v>246</v>
      </c>
    </row>
    <row r="136">
      <c r="A136" s="1"/>
      <c r="B136" s="2" t="s">
        <v>110</v>
      </c>
      <c r="C136" s="3"/>
      <c r="D136" s="3"/>
      <c r="E136" s="3"/>
      <c r="F136" s="3"/>
      <c r="G136" s="3"/>
      <c r="H136" s="3"/>
      <c r="I136" s="4"/>
    </row>
    <row r="137">
      <c r="A137" s="5" t="s">
        <v>1</v>
      </c>
      <c r="B137" s="6" t="s">
        <v>2</v>
      </c>
      <c r="C137" s="7" t="s">
        <v>3</v>
      </c>
      <c r="D137" s="8" t="s">
        <v>4</v>
      </c>
      <c r="E137" s="5" t="s">
        <v>5</v>
      </c>
      <c r="F137" s="5" t="s">
        <v>6</v>
      </c>
      <c r="G137" s="5" t="s">
        <v>7</v>
      </c>
      <c r="H137" s="9" t="s">
        <v>8</v>
      </c>
      <c r="I137" s="10" t="s">
        <v>9</v>
      </c>
    </row>
    <row r="138">
      <c r="A138" s="11" t="s">
        <v>10</v>
      </c>
      <c r="B138" s="12">
        <f t="shared" ref="B138:B158" si="35">H111</f>
        <v>31</v>
      </c>
      <c r="C138" s="11"/>
      <c r="D138" s="11"/>
      <c r="E138" s="13">
        <v>6.0</v>
      </c>
      <c r="F138" s="13">
        <v>0.0</v>
      </c>
      <c r="G138" s="12">
        <f t="shared" ref="G138:G158" si="36">E138-F138</f>
        <v>6</v>
      </c>
      <c r="H138" s="12">
        <f>B138-C138+D138-G138</f>
        <v>25</v>
      </c>
      <c r="I138" s="14">
        <f t="shared" ref="I138:I147" si="37">G138*6</f>
        <v>36</v>
      </c>
    </row>
    <row r="139">
      <c r="A139" s="11" t="s">
        <v>11</v>
      </c>
      <c r="B139" s="12">
        <f t="shared" si="35"/>
        <v>10</v>
      </c>
      <c r="C139" s="11"/>
      <c r="E139" s="13">
        <v>6.0</v>
      </c>
      <c r="F139" s="13">
        <v>6.0</v>
      </c>
      <c r="G139" s="12">
        <f t="shared" si="36"/>
        <v>0</v>
      </c>
      <c r="H139" s="12">
        <f t="shared" ref="H139:H140" si="38">B139-C139+D140-G139</f>
        <v>10</v>
      </c>
      <c r="I139" s="14">
        <f t="shared" si="37"/>
        <v>0</v>
      </c>
    </row>
    <row r="140">
      <c r="A140" s="11" t="s">
        <v>12</v>
      </c>
      <c r="B140" s="12">
        <f t="shared" si="35"/>
        <v>9</v>
      </c>
      <c r="C140" s="11"/>
      <c r="D140" s="11"/>
      <c r="E140" s="13">
        <v>6.0</v>
      </c>
      <c r="F140" s="13">
        <v>6.0</v>
      </c>
      <c r="G140" s="12">
        <f t="shared" si="36"/>
        <v>0</v>
      </c>
      <c r="H140" s="12">
        <f t="shared" si="38"/>
        <v>9</v>
      </c>
      <c r="I140" s="14">
        <f t="shared" si="37"/>
        <v>0</v>
      </c>
    </row>
    <row r="141">
      <c r="A141" s="11" t="s">
        <v>13</v>
      </c>
      <c r="B141" s="12">
        <f t="shared" si="35"/>
        <v>34</v>
      </c>
      <c r="C141" s="13">
        <v>1.0</v>
      </c>
      <c r="D141" s="13"/>
      <c r="E141" s="13">
        <v>6.0</v>
      </c>
      <c r="F141" s="13">
        <v>2.0</v>
      </c>
      <c r="G141" s="12">
        <f t="shared" si="36"/>
        <v>4</v>
      </c>
      <c r="H141" s="12">
        <f t="shared" ref="H141:H143" si="39">B141-C141+D141-G141</f>
        <v>29</v>
      </c>
      <c r="I141" s="14">
        <f t="shared" si="37"/>
        <v>24</v>
      </c>
    </row>
    <row r="142">
      <c r="A142" s="11" t="s">
        <v>14</v>
      </c>
      <c r="B142" s="12">
        <f t="shared" si="35"/>
        <v>20</v>
      </c>
      <c r="C142" s="11"/>
      <c r="D142" s="11"/>
      <c r="E142" s="13">
        <v>4.0</v>
      </c>
      <c r="F142" s="13">
        <v>3.0</v>
      </c>
      <c r="G142" s="12">
        <f t="shared" si="36"/>
        <v>1</v>
      </c>
      <c r="H142" s="12">
        <f t="shared" si="39"/>
        <v>19</v>
      </c>
      <c r="I142" s="14">
        <f t="shared" si="37"/>
        <v>6</v>
      </c>
    </row>
    <row r="143">
      <c r="A143" s="11" t="s">
        <v>15</v>
      </c>
      <c r="B143" s="12">
        <f t="shared" si="35"/>
        <v>28</v>
      </c>
      <c r="C143" s="11"/>
      <c r="D143" s="11"/>
      <c r="E143" s="13">
        <v>6.0</v>
      </c>
      <c r="F143" s="13">
        <v>4.0</v>
      </c>
      <c r="G143" s="12">
        <f t="shared" si="36"/>
        <v>2</v>
      </c>
      <c r="H143" s="12">
        <f t="shared" si="39"/>
        <v>26</v>
      </c>
      <c r="I143" s="14">
        <f t="shared" si="37"/>
        <v>12</v>
      </c>
    </row>
    <row r="144">
      <c r="A144" s="11" t="s">
        <v>16</v>
      </c>
      <c r="B144" s="12">
        <f t="shared" si="35"/>
        <v>29</v>
      </c>
      <c r="C144" s="11"/>
      <c r="D144" s="11"/>
      <c r="E144" s="13">
        <v>5.0</v>
      </c>
      <c r="F144" s="13">
        <v>4.0</v>
      </c>
      <c r="G144" s="12">
        <f t="shared" si="36"/>
        <v>1</v>
      </c>
      <c r="H144" s="12">
        <f>B144-C144+D144-H139</f>
        <v>19</v>
      </c>
      <c r="I144" s="14">
        <f t="shared" si="37"/>
        <v>6</v>
      </c>
    </row>
    <row r="145">
      <c r="A145" s="11" t="s">
        <v>17</v>
      </c>
      <c r="B145" s="12">
        <f t="shared" si="35"/>
        <v>37</v>
      </c>
      <c r="C145" s="11"/>
      <c r="D145" s="11"/>
      <c r="E145" s="13">
        <v>4.0</v>
      </c>
      <c r="F145" s="13">
        <v>3.0</v>
      </c>
      <c r="G145" s="12">
        <f t="shared" si="36"/>
        <v>1</v>
      </c>
      <c r="H145" s="12">
        <f t="shared" ref="H145:H158" si="40">B145-C145+D145-G145</f>
        <v>36</v>
      </c>
      <c r="I145" s="14">
        <f t="shared" si="37"/>
        <v>6</v>
      </c>
    </row>
    <row r="146">
      <c r="A146" s="11" t="s">
        <v>18</v>
      </c>
      <c r="B146" s="12">
        <f t="shared" si="35"/>
        <v>32</v>
      </c>
      <c r="C146" s="11"/>
      <c r="D146" s="11"/>
      <c r="E146" s="13">
        <v>6.0</v>
      </c>
      <c r="F146" s="13">
        <v>4.0</v>
      </c>
      <c r="G146" s="12">
        <f t="shared" si="36"/>
        <v>2</v>
      </c>
      <c r="H146" s="12">
        <f t="shared" si="40"/>
        <v>30</v>
      </c>
      <c r="I146" s="14">
        <f t="shared" si="37"/>
        <v>12</v>
      </c>
    </row>
    <row r="147">
      <c r="A147" s="11" t="s">
        <v>19</v>
      </c>
      <c r="B147" s="12">
        <f t="shared" si="35"/>
        <v>24</v>
      </c>
      <c r="C147" s="11"/>
      <c r="D147" s="11"/>
      <c r="E147" s="13">
        <v>6.0</v>
      </c>
      <c r="F147" s="13">
        <v>6.0</v>
      </c>
      <c r="G147" s="12">
        <f t="shared" si="36"/>
        <v>0</v>
      </c>
      <c r="H147" s="12">
        <f t="shared" si="40"/>
        <v>24</v>
      </c>
      <c r="I147" s="14">
        <f t="shared" si="37"/>
        <v>0</v>
      </c>
    </row>
    <row r="148">
      <c r="A148" s="11" t="s">
        <v>20</v>
      </c>
      <c r="B148" s="12">
        <f t="shared" si="35"/>
        <v>14</v>
      </c>
      <c r="C148" s="11"/>
      <c r="D148" s="11"/>
      <c r="E148" s="13">
        <v>6.0</v>
      </c>
      <c r="F148" s="13">
        <v>4.0</v>
      </c>
      <c r="G148" s="12">
        <f t="shared" si="36"/>
        <v>2</v>
      </c>
      <c r="H148" s="12">
        <f t="shared" si="40"/>
        <v>12</v>
      </c>
      <c r="I148" s="14">
        <f t="shared" ref="I148:I149" si="41">G149*6</f>
        <v>0</v>
      </c>
    </row>
    <row r="149">
      <c r="A149" s="11" t="s">
        <v>21</v>
      </c>
      <c r="B149" s="12">
        <f t="shared" si="35"/>
        <v>17</v>
      </c>
      <c r="C149" s="11"/>
      <c r="D149" s="11"/>
      <c r="E149" s="13">
        <v>2.0</v>
      </c>
      <c r="F149" s="13">
        <v>2.0</v>
      </c>
      <c r="G149" s="12">
        <f t="shared" si="36"/>
        <v>0</v>
      </c>
      <c r="H149" s="12">
        <f t="shared" si="40"/>
        <v>17</v>
      </c>
      <c r="I149" s="14">
        <f t="shared" si="41"/>
        <v>24</v>
      </c>
    </row>
    <row r="150">
      <c r="A150" s="11" t="s">
        <v>22</v>
      </c>
      <c r="B150" s="12">
        <f t="shared" si="35"/>
        <v>22</v>
      </c>
      <c r="C150" s="11"/>
      <c r="D150" s="11"/>
      <c r="E150" s="13">
        <v>6.0</v>
      </c>
      <c r="F150" s="13">
        <v>2.0</v>
      </c>
      <c r="G150" s="12">
        <f t="shared" si="36"/>
        <v>4</v>
      </c>
      <c r="H150" s="12">
        <f t="shared" si="40"/>
        <v>18</v>
      </c>
      <c r="I150" s="14">
        <f t="shared" ref="I150:I158" si="42">G150*6</f>
        <v>24</v>
      </c>
    </row>
    <row r="151">
      <c r="A151" s="11" t="s">
        <v>23</v>
      </c>
      <c r="B151" s="12">
        <f t="shared" si="35"/>
        <v>10</v>
      </c>
      <c r="C151" s="11"/>
      <c r="D151" s="11"/>
      <c r="E151" s="13">
        <v>6.0</v>
      </c>
      <c r="F151" s="13">
        <v>6.0</v>
      </c>
      <c r="G151" s="12">
        <f t="shared" si="36"/>
        <v>0</v>
      </c>
      <c r="H151" s="12">
        <f t="shared" si="40"/>
        <v>10</v>
      </c>
      <c r="I151" s="14">
        <f t="shared" si="42"/>
        <v>0</v>
      </c>
    </row>
    <row r="152">
      <c r="A152" s="11" t="s">
        <v>24</v>
      </c>
      <c r="B152" s="12">
        <f t="shared" si="35"/>
        <v>25</v>
      </c>
      <c r="C152" s="11"/>
      <c r="D152" s="11"/>
      <c r="E152" s="13">
        <v>4.0</v>
      </c>
      <c r="F152" s="13">
        <v>2.0</v>
      </c>
      <c r="G152" s="12">
        <f t="shared" si="36"/>
        <v>2</v>
      </c>
      <c r="H152" s="12">
        <f t="shared" si="40"/>
        <v>23</v>
      </c>
      <c r="I152" s="14">
        <f t="shared" si="42"/>
        <v>12</v>
      </c>
    </row>
    <row r="153">
      <c r="A153" s="11" t="s">
        <v>25</v>
      </c>
      <c r="B153" s="12">
        <f t="shared" si="35"/>
        <v>30</v>
      </c>
      <c r="C153" s="11"/>
      <c r="D153" s="11"/>
      <c r="E153" s="13">
        <v>8.0</v>
      </c>
      <c r="F153" s="13">
        <v>0.0</v>
      </c>
      <c r="G153" s="12">
        <f t="shared" si="36"/>
        <v>8</v>
      </c>
      <c r="H153" s="12">
        <f t="shared" si="40"/>
        <v>22</v>
      </c>
      <c r="I153" s="14">
        <f t="shared" si="42"/>
        <v>48</v>
      </c>
    </row>
    <row r="154">
      <c r="A154" s="11" t="s">
        <v>26</v>
      </c>
      <c r="B154" s="12">
        <f t="shared" si="35"/>
        <v>20</v>
      </c>
      <c r="C154" s="11"/>
      <c r="D154" s="11"/>
      <c r="E154" s="13">
        <v>6.0</v>
      </c>
      <c r="F154" s="13">
        <v>4.0</v>
      </c>
      <c r="G154" s="12">
        <f t="shared" si="36"/>
        <v>2</v>
      </c>
      <c r="H154" s="12">
        <f t="shared" si="40"/>
        <v>18</v>
      </c>
      <c r="I154" s="14">
        <f t="shared" si="42"/>
        <v>12</v>
      </c>
    </row>
    <row r="155">
      <c r="A155" s="11" t="s">
        <v>27</v>
      </c>
      <c r="B155" s="12">
        <f t="shared" si="35"/>
        <v>32</v>
      </c>
      <c r="C155" s="13">
        <v>1.0</v>
      </c>
      <c r="D155" s="11"/>
      <c r="E155" s="13">
        <v>4.0</v>
      </c>
      <c r="F155" s="13">
        <v>2.0</v>
      </c>
      <c r="G155" s="12">
        <f t="shared" si="36"/>
        <v>2</v>
      </c>
      <c r="H155" s="12">
        <f t="shared" si="40"/>
        <v>29</v>
      </c>
      <c r="I155" s="14">
        <f t="shared" si="42"/>
        <v>12</v>
      </c>
    </row>
    <row r="156">
      <c r="A156" s="11" t="s">
        <v>28</v>
      </c>
      <c r="B156" s="12">
        <f t="shared" si="35"/>
        <v>30</v>
      </c>
      <c r="C156" s="11"/>
      <c r="D156" s="11"/>
      <c r="E156" s="13">
        <v>8.0</v>
      </c>
      <c r="F156" s="13">
        <v>3.0</v>
      </c>
      <c r="G156" s="12">
        <f t="shared" si="36"/>
        <v>5</v>
      </c>
      <c r="H156" s="12">
        <f t="shared" si="40"/>
        <v>25</v>
      </c>
      <c r="I156" s="14">
        <f t="shared" si="42"/>
        <v>30</v>
      </c>
    </row>
    <row r="157">
      <c r="A157" s="11" t="s">
        <v>30</v>
      </c>
      <c r="B157" s="12">
        <f t="shared" si="35"/>
        <v>26</v>
      </c>
      <c r="C157" s="11"/>
      <c r="D157" s="11"/>
      <c r="E157" s="13">
        <v>2.0</v>
      </c>
      <c r="F157" s="13">
        <v>0.0</v>
      </c>
      <c r="G157" s="12">
        <f t="shared" si="36"/>
        <v>2</v>
      </c>
      <c r="H157" s="12">
        <f t="shared" si="40"/>
        <v>24</v>
      </c>
      <c r="I157" s="14">
        <f t="shared" si="42"/>
        <v>12</v>
      </c>
    </row>
    <row r="158">
      <c r="A158" s="18" t="s">
        <v>86</v>
      </c>
      <c r="B158" s="12">
        <f t="shared" si="35"/>
        <v>32</v>
      </c>
      <c r="C158" s="11"/>
      <c r="D158" s="11"/>
      <c r="E158" s="13">
        <v>6.0</v>
      </c>
      <c r="F158" s="13">
        <v>5.0</v>
      </c>
      <c r="G158" s="12">
        <f t="shared" si="36"/>
        <v>1</v>
      </c>
      <c r="H158" s="12">
        <f t="shared" si="40"/>
        <v>31</v>
      </c>
      <c r="I158" s="14">
        <f t="shared" si="42"/>
        <v>6</v>
      </c>
    </row>
    <row r="159">
      <c r="A159" s="19" t="s">
        <v>33</v>
      </c>
      <c r="B159" s="20">
        <f>SUM(B138:B158)</f>
        <v>512</v>
      </c>
      <c r="C159" s="19"/>
      <c r="D159" s="19"/>
      <c r="E159" s="20">
        <f t="shared" ref="E159:G159" si="43">SUM(E137:E158)</f>
        <v>113</v>
      </c>
      <c r="F159" s="20">
        <f t="shared" si="43"/>
        <v>68</v>
      </c>
      <c r="G159" s="20">
        <f t="shared" si="43"/>
        <v>45</v>
      </c>
      <c r="H159" s="20">
        <f>SUM(H138:H158)</f>
        <v>456</v>
      </c>
      <c r="I159" s="21">
        <f>SUM(I137:I158)</f>
        <v>282</v>
      </c>
    </row>
    <row r="160">
      <c r="A160" s="22"/>
      <c r="B160" s="22"/>
      <c r="C160" s="22"/>
      <c r="D160" s="22"/>
      <c r="E160" s="22"/>
      <c r="F160" s="23" t="s">
        <v>34</v>
      </c>
      <c r="G160" s="4"/>
      <c r="H160" s="24"/>
      <c r="I160" s="25"/>
    </row>
    <row r="161">
      <c r="A161" s="22"/>
      <c r="B161" s="32"/>
      <c r="C161" s="32"/>
      <c r="D161" s="32"/>
      <c r="E161" s="33" t="s">
        <v>87</v>
      </c>
      <c r="F161" s="3"/>
      <c r="G161" s="4"/>
      <c r="H161" s="34"/>
      <c r="I161" s="35">
        <f>SUM(I138:I158)</f>
        <v>282</v>
      </c>
    </row>
    <row r="163">
      <c r="A163" s="1"/>
      <c r="B163" s="2" t="s">
        <v>111</v>
      </c>
      <c r="C163" s="3"/>
      <c r="D163" s="3"/>
      <c r="E163" s="3"/>
      <c r="F163" s="3"/>
      <c r="G163" s="3"/>
      <c r="H163" s="3"/>
      <c r="I163" s="4"/>
    </row>
    <row r="164">
      <c r="A164" s="5" t="s">
        <v>1</v>
      </c>
      <c r="B164" s="6" t="s">
        <v>2</v>
      </c>
      <c r="C164" s="7" t="s">
        <v>3</v>
      </c>
      <c r="D164" s="8" t="s">
        <v>4</v>
      </c>
      <c r="E164" s="5" t="s">
        <v>5</v>
      </c>
      <c r="F164" s="5" t="s">
        <v>6</v>
      </c>
      <c r="G164" s="5" t="s">
        <v>7</v>
      </c>
      <c r="H164" s="9" t="s">
        <v>8</v>
      </c>
      <c r="I164" s="10" t="s">
        <v>9</v>
      </c>
    </row>
    <row r="165">
      <c r="A165" s="11" t="s">
        <v>10</v>
      </c>
      <c r="B165" s="12">
        <f t="shared" ref="B165:B185" si="44">H138</f>
        <v>25</v>
      </c>
      <c r="C165" s="11"/>
      <c r="D165" s="11"/>
      <c r="E165" s="13">
        <v>6.0</v>
      </c>
      <c r="F165" s="13">
        <v>6.0</v>
      </c>
      <c r="G165" s="12">
        <f t="shared" ref="G165:G185" si="45">E165-F165</f>
        <v>0</v>
      </c>
      <c r="H165" s="12">
        <f t="shared" ref="H165:H185" si="46">B165-C165+D165-G165</f>
        <v>25</v>
      </c>
      <c r="I165" s="14">
        <f t="shared" ref="I165:I174" si="47">G165*6</f>
        <v>0</v>
      </c>
    </row>
    <row r="166">
      <c r="A166" s="11" t="s">
        <v>11</v>
      </c>
      <c r="B166" s="12">
        <f t="shared" si="44"/>
        <v>10</v>
      </c>
      <c r="C166" s="11"/>
      <c r="D166" s="11"/>
      <c r="E166" s="13">
        <v>6.0</v>
      </c>
      <c r="F166" s="13">
        <v>4.0</v>
      </c>
      <c r="G166" s="12">
        <f t="shared" si="45"/>
        <v>2</v>
      </c>
      <c r="H166" s="12">
        <f t="shared" si="46"/>
        <v>8</v>
      </c>
      <c r="I166" s="14">
        <f t="shared" si="47"/>
        <v>12</v>
      </c>
    </row>
    <row r="167">
      <c r="A167" s="11" t="s">
        <v>12</v>
      </c>
      <c r="B167" s="12">
        <f t="shared" si="44"/>
        <v>9</v>
      </c>
      <c r="C167" s="11"/>
      <c r="D167" s="11"/>
      <c r="E167" s="13">
        <v>6.0</v>
      </c>
      <c r="F167" s="13">
        <v>6.0</v>
      </c>
      <c r="G167" s="12">
        <f t="shared" si="45"/>
        <v>0</v>
      </c>
      <c r="H167" s="12">
        <f t="shared" si="46"/>
        <v>9</v>
      </c>
      <c r="I167" s="14">
        <f t="shared" si="47"/>
        <v>0</v>
      </c>
    </row>
    <row r="168">
      <c r="A168" s="11" t="s">
        <v>13</v>
      </c>
      <c r="B168" s="12">
        <f t="shared" si="44"/>
        <v>29</v>
      </c>
      <c r="C168" s="13">
        <v>1.0</v>
      </c>
      <c r="D168" s="11"/>
      <c r="E168" s="13">
        <v>7.0</v>
      </c>
      <c r="F168" s="13">
        <v>4.0</v>
      </c>
      <c r="G168" s="12">
        <f t="shared" si="45"/>
        <v>3</v>
      </c>
      <c r="H168" s="12">
        <f t="shared" si="46"/>
        <v>25</v>
      </c>
      <c r="I168" s="14">
        <f t="shared" si="47"/>
        <v>18</v>
      </c>
    </row>
    <row r="169">
      <c r="A169" s="11" t="s">
        <v>14</v>
      </c>
      <c r="B169" s="12">
        <f t="shared" si="44"/>
        <v>19</v>
      </c>
      <c r="C169" s="11"/>
      <c r="D169" s="11"/>
      <c r="E169" s="13">
        <v>4.0</v>
      </c>
      <c r="F169" s="13">
        <v>3.0</v>
      </c>
      <c r="G169" s="12">
        <f t="shared" si="45"/>
        <v>1</v>
      </c>
      <c r="H169" s="12">
        <f t="shared" si="46"/>
        <v>18</v>
      </c>
      <c r="I169" s="14">
        <f t="shared" si="47"/>
        <v>6</v>
      </c>
    </row>
    <row r="170">
      <c r="A170" s="11" t="s">
        <v>15</v>
      </c>
      <c r="B170" s="12">
        <f t="shared" si="44"/>
        <v>26</v>
      </c>
      <c r="C170" s="11"/>
      <c r="D170" s="11"/>
      <c r="E170" s="13">
        <v>6.0</v>
      </c>
      <c r="F170" s="13">
        <v>6.0</v>
      </c>
      <c r="G170" s="12">
        <f t="shared" si="45"/>
        <v>0</v>
      </c>
      <c r="H170" s="12">
        <f t="shared" si="46"/>
        <v>26</v>
      </c>
      <c r="I170" s="14">
        <f t="shared" si="47"/>
        <v>0</v>
      </c>
    </row>
    <row r="171">
      <c r="A171" s="11" t="s">
        <v>16</v>
      </c>
      <c r="B171" s="12">
        <f t="shared" si="44"/>
        <v>19</v>
      </c>
      <c r="C171" s="11"/>
      <c r="D171" s="11"/>
      <c r="E171" s="13">
        <v>5.0</v>
      </c>
      <c r="F171" s="13">
        <v>5.0</v>
      </c>
      <c r="G171" s="12">
        <f t="shared" si="45"/>
        <v>0</v>
      </c>
      <c r="H171" s="12">
        <f t="shared" si="46"/>
        <v>19</v>
      </c>
      <c r="I171" s="14">
        <f t="shared" si="47"/>
        <v>0</v>
      </c>
    </row>
    <row r="172">
      <c r="A172" s="11" t="s">
        <v>17</v>
      </c>
      <c r="B172" s="12">
        <f t="shared" si="44"/>
        <v>36</v>
      </c>
      <c r="C172" s="11"/>
      <c r="D172" s="11"/>
      <c r="E172" s="13">
        <v>4.0</v>
      </c>
      <c r="F172" s="13">
        <v>4.0</v>
      </c>
      <c r="G172" s="12">
        <f t="shared" si="45"/>
        <v>0</v>
      </c>
      <c r="H172" s="12">
        <f t="shared" si="46"/>
        <v>36</v>
      </c>
      <c r="I172" s="14">
        <f t="shared" si="47"/>
        <v>0</v>
      </c>
    </row>
    <row r="173">
      <c r="A173" s="11" t="s">
        <v>18</v>
      </c>
      <c r="B173" s="12">
        <f t="shared" si="44"/>
        <v>30</v>
      </c>
      <c r="C173" s="11"/>
      <c r="D173" s="11"/>
      <c r="E173" s="13">
        <v>6.0</v>
      </c>
      <c r="F173" s="13">
        <v>6.0</v>
      </c>
      <c r="G173" s="12">
        <f t="shared" si="45"/>
        <v>0</v>
      </c>
      <c r="H173" s="12">
        <f t="shared" si="46"/>
        <v>30</v>
      </c>
      <c r="I173" s="14">
        <f t="shared" si="47"/>
        <v>0</v>
      </c>
    </row>
    <row r="174">
      <c r="A174" s="11" t="s">
        <v>19</v>
      </c>
      <c r="B174" s="12">
        <f t="shared" si="44"/>
        <v>24</v>
      </c>
      <c r="C174" s="11"/>
      <c r="D174" s="11"/>
      <c r="E174" s="13">
        <v>6.0</v>
      </c>
      <c r="F174" s="13">
        <v>5.0</v>
      </c>
      <c r="G174" s="12">
        <f t="shared" si="45"/>
        <v>1</v>
      </c>
      <c r="H174" s="12">
        <f t="shared" si="46"/>
        <v>23</v>
      </c>
      <c r="I174" s="14">
        <f t="shared" si="47"/>
        <v>6</v>
      </c>
    </row>
    <row r="175">
      <c r="A175" s="11" t="s">
        <v>20</v>
      </c>
      <c r="B175" s="12">
        <f t="shared" si="44"/>
        <v>12</v>
      </c>
      <c r="C175" s="11"/>
      <c r="D175" s="11"/>
      <c r="E175" s="13">
        <v>6.0</v>
      </c>
      <c r="F175" s="13">
        <v>5.0</v>
      </c>
      <c r="G175" s="12">
        <f t="shared" si="45"/>
        <v>1</v>
      </c>
      <c r="H175" s="12">
        <f t="shared" si="46"/>
        <v>11</v>
      </c>
      <c r="I175" s="14">
        <f t="shared" ref="I175:I176" si="48">G176*6</f>
        <v>0</v>
      </c>
    </row>
    <row r="176">
      <c r="A176" s="11" t="s">
        <v>21</v>
      </c>
      <c r="B176" s="12">
        <f t="shared" si="44"/>
        <v>17</v>
      </c>
      <c r="C176" s="11"/>
      <c r="D176" s="11"/>
      <c r="E176" s="13">
        <v>2.0</v>
      </c>
      <c r="F176" s="13">
        <v>2.0</v>
      </c>
      <c r="G176" s="12">
        <f t="shared" si="45"/>
        <v>0</v>
      </c>
      <c r="H176" s="12">
        <f t="shared" si="46"/>
        <v>17</v>
      </c>
      <c r="I176" s="14">
        <f t="shared" si="48"/>
        <v>12</v>
      </c>
    </row>
    <row r="177">
      <c r="A177" s="11" t="s">
        <v>22</v>
      </c>
      <c r="B177" s="12">
        <f t="shared" si="44"/>
        <v>18</v>
      </c>
      <c r="C177" s="11"/>
      <c r="D177" s="11"/>
      <c r="E177" s="13">
        <v>6.0</v>
      </c>
      <c r="F177" s="13">
        <v>4.0</v>
      </c>
      <c r="G177" s="12">
        <f t="shared" si="45"/>
        <v>2</v>
      </c>
      <c r="H177" s="12">
        <f t="shared" si="46"/>
        <v>16</v>
      </c>
      <c r="I177" s="14">
        <f t="shared" ref="I177:I185" si="49">G177*6</f>
        <v>12</v>
      </c>
    </row>
    <row r="178">
      <c r="A178" s="11" t="s">
        <v>23</v>
      </c>
      <c r="B178" s="12">
        <f t="shared" si="44"/>
        <v>10</v>
      </c>
      <c r="C178" s="11"/>
      <c r="D178" s="11"/>
      <c r="E178" s="13">
        <v>6.0</v>
      </c>
      <c r="F178" s="13">
        <v>5.0</v>
      </c>
      <c r="G178" s="12">
        <f t="shared" si="45"/>
        <v>1</v>
      </c>
      <c r="H178" s="12">
        <f t="shared" si="46"/>
        <v>9</v>
      </c>
      <c r="I178" s="14">
        <f t="shared" si="49"/>
        <v>6</v>
      </c>
    </row>
    <row r="179">
      <c r="A179" s="11" t="s">
        <v>24</v>
      </c>
      <c r="B179" s="12">
        <f t="shared" si="44"/>
        <v>23</v>
      </c>
      <c r="C179" s="11"/>
      <c r="D179" s="11"/>
      <c r="E179" s="13">
        <v>4.0</v>
      </c>
      <c r="F179" s="13">
        <v>1.0</v>
      </c>
      <c r="G179" s="12">
        <f t="shared" si="45"/>
        <v>3</v>
      </c>
      <c r="H179" s="12">
        <f t="shared" si="46"/>
        <v>20</v>
      </c>
      <c r="I179" s="14">
        <f t="shared" si="49"/>
        <v>18</v>
      </c>
    </row>
    <row r="180">
      <c r="A180" s="11" t="s">
        <v>25</v>
      </c>
      <c r="B180" s="12">
        <f t="shared" si="44"/>
        <v>22</v>
      </c>
      <c r="C180" s="11"/>
      <c r="D180" s="11"/>
      <c r="E180" s="13">
        <v>8.0</v>
      </c>
      <c r="F180" s="13">
        <v>7.0</v>
      </c>
      <c r="G180" s="12">
        <f t="shared" si="45"/>
        <v>1</v>
      </c>
      <c r="H180" s="12">
        <f t="shared" si="46"/>
        <v>21</v>
      </c>
      <c r="I180" s="14">
        <f t="shared" si="49"/>
        <v>6</v>
      </c>
    </row>
    <row r="181">
      <c r="A181" s="11" t="s">
        <v>26</v>
      </c>
      <c r="B181" s="12">
        <f t="shared" si="44"/>
        <v>18</v>
      </c>
      <c r="C181" s="11"/>
      <c r="D181" s="11"/>
      <c r="E181" s="13">
        <v>6.0</v>
      </c>
      <c r="F181" s="13">
        <v>4.0</v>
      </c>
      <c r="G181" s="12">
        <f t="shared" si="45"/>
        <v>2</v>
      </c>
      <c r="H181" s="12">
        <f t="shared" si="46"/>
        <v>16</v>
      </c>
      <c r="I181" s="14">
        <f t="shared" si="49"/>
        <v>12</v>
      </c>
    </row>
    <row r="182">
      <c r="A182" s="11" t="s">
        <v>27</v>
      </c>
      <c r="B182" s="12">
        <f t="shared" si="44"/>
        <v>29</v>
      </c>
      <c r="C182" s="11"/>
      <c r="D182" s="11"/>
      <c r="E182" s="13">
        <v>4.0</v>
      </c>
      <c r="F182" s="13">
        <v>4.0</v>
      </c>
      <c r="G182" s="12">
        <f t="shared" si="45"/>
        <v>0</v>
      </c>
      <c r="H182" s="12">
        <f t="shared" si="46"/>
        <v>29</v>
      </c>
      <c r="I182" s="14">
        <f t="shared" si="49"/>
        <v>0</v>
      </c>
    </row>
    <row r="183">
      <c r="A183" s="11" t="s">
        <v>28</v>
      </c>
      <c r="B183" s="12">
        <f t="shared" si="44"/>
        <v>25</v>
      </c>
      <c r="C183" s="11"/>
      <c r="D183" s="11"/>
      <c r="E183" s="13">
        <v>8.0</v>
      </c>
      <c r="F183" s="13">
        <v>2.0</v>
      </c>
      <c r="G183" s="12">
        <f t="shared" si="45"/>
        <v>6</v>
      </c>
      <c r="H183" s="12">
        <f t="shared" si="46"/>
        <v>19</v>
      </c>
      <c r="I183" s="14">
        <f t="shared" si="49"/>
        <v>36</v>
      </c>
    </row>
    <row r="184">
      <c r="A184" s="11" t="s">
        <v>30</v>
      </c>
      <c r="B184" s="12">
        <f t="shared" si="44"/>
        <v>24</v>
      </c>
      <c r="C184" s="11"/>
      <c r="D184" s="11"/>
      <c r="E184" s="13">
        <v>2.0</v>
      </c>
      <c r="F184" s="13">
        <v>2.0</v>
      </c>
      <c r="G184" s="12">
        <f t="shared" si="45"/>
        <v>0</v>
      </c>
      <c r="H184" s="12">
        <f t="shared" si="46"/>
        <v>24</v>
      </c>
      <c r="I184" s="14">
        <f t="shared" si="49"/>
        <v>0</v>
      </c>
    </row>
    <row r="185">
      <c r="A185" s="18" t="s">
        <v>86</v>
      </c>
      <c r="B185" s="12">
        <f t="shared" si="44"/>
        <v>31</v>
      </c>
      <c r="C185" s="11"/>
      <c r="D185" s="11"/>
      <c r="E185" s="13">
        <v>7.0</v>
      </c>
      <c r="F185" s="13">
        <v>7.0</v>
      </c>
      <c r="G185" s="12">
        <f t="shared" si="45"/>
        <v>0</v>
      </c>
      <c r="H185" s="12">
        <f t="shared" si="46"/>
        <v>31</v>
      </c>
      <c r="I185" s="14">
        <f t="shared" si="49"/>
        <v>0</v>
      </c>
    </row>
    <row r="186">
      <c r="A186" s="19" t="s">
        <v>33</v>
      </c>
      <c r="B186" s="20">
        <f>SUM(B165:B185)</f>
        <v>456</v>
      </c>
      <c r="C186" s="19"/>
      <c r="D186" s="19"/>
      <c r="E186" s="20">
        <f t="shared" ref="E186:G186" si="50">SUM(E164:E185)</f>
        <v>115</v>
      </c>
      <c r="F186" s="20">
        <f t="shared" si="50"/>
        <v>92</v>
      </c>
      <c r="G186" s="20">
        <f t="shared" si="50"/>
        <v>23</v>
      </c>
      <c r="H186" s="20">
        <f>SUM(H165:H185)</f>
        <v>432</v>
      </c>
      <c r="I186" s="21">
        <f>SUM(I164:I185)</f>
        <v>144</v>
      </c>
    </row>
    <row r="187">
      <c r="A187" s="22"/>
      <c r="B187" s="22"/>
      <c r="C187" s="22"/>
      <c r="D187" s="22"/>
      <c r="E187" s="22"/>
      <c r="F187" s="23" t="s">
        <v>34</v>
      </c>
      <c r="G187" s="4"/>
      <c r="H187" s="24"/>
      <c r="I187" s="25"/>
    </row>
    <row r="188">
      <c r="A188" s="22"/>
      <c r="B188" s="32"/>
      <c r="C188" s="32"/>
      <c r="D188" s="32"/>
      <c r="E188" s="33" t="s">
        <v>87</v>
      </c>
      <c r="F188" s="3"/>
      <c r="G188" s="4"/>
      <c r="H188" s="34"/>
      <c r="I188" s="35">
        <f>SUM(I165:I185)</f>
        <v>144</v>
      </c>
    </row>
    <row r="190">
      <c r="A190" s="1"/>
      <c r="B190" s="2" t="s">
        <v>112</v>
      </c>
      <c r="C190" s="3"/>
      <c r="D190" s="3"/>
      <c r="E190" s="3"/>
      <c r="F190" s="3"/>
      <c r="G190" s="3"/>
      <c r="H190" s="3"/>
      <c r="I190" s="4"/>
    </row>
    <row r="191">
      <c r="A191" s="5" t="s">
        <v>1</v>
      </c>
      <c r="B191" s="6" t="s">
        <v>2</v>
      </c>
      <c r="C191" s="7" t="s">
        <v>3</v>
      </c>
      <c r="D191" s="8" t="s">
        <v>4</v>
      </c>
      <c r="E191" s="5" t="s">
        <v>5</v>
      </c>
      <c r="F191" s="5" t="s">
        <v>6</v>
      </c>
      <c r="G191" s="5" t="s">
        <v>7</v>
      </c>
      <c r="H191" s="9" t="s">
        <v>8</v>
      </c>
      <c r="I191" s="10" t="s">
        <v>9</v>
      </c>
    </row>
    <row r="192">
      <c r="A192" s="11" t="s">
        <v>10</v>
      </c>
      <c r="B192" s="12">
        <f t="shared" ref="B192:B212" si="51">H165</f>
        <v>25</v>
      </c>
      <c r="C192" s="11"/>
      <c r="D192" s="11"/>
      <c r="E192" s="13">
        <v>6.0</v>
      </c>
      <c r="F192" s="13">
        <v>3.0</v>
      </c>
      <c r="G192" s="12">
        <f t="shared" ref="G192:G212" si="52">E192-F192</f>
        <v>3</v>
      </c>
      <c r="H192" s="12">
        <f t="shared" ref="H192:H212" si="53">B192-C192+D192-G192</f>
        <v>22</v>
      </c>
      <c r="I192" s="14">
        <f t="shared" ref="I192:I201" si="54">G192*6</f>
        <v>18</v>
      </c>
    </row>
    <row r="193">
      <c r="A193" s="11" t="s">
        <v>11</v>
      </c>
      <c r="B193" s="12">
        <f t="shared" si="51"/>
        <v>8</v>
      </c>
      <c r="C193" s="11"/>
      <c r="D193" s="11"/>
      <c r="E193" s="13">
        <v>6.0</v>
      </c>
      <c r="F193" s="13">
        <v>0.0</v>
      </c>
      <c r="G193" s="12">
        <f t="shared" si="52"/>
        <v>6</v>
      </c>
      <c r="H193" s="12">
        <f t="shared" si="53"/>
        <v>2</v>
      </c>
      <c r="I193" s="14">
        <f t="shared" si="54"/>
        <v>36</v>
      </c>
    </row>
    <row r="194">
      <c r="A194" s="11" t="s">
        <v>12</v>
      </c>
      <c r="B194" s="12">
        <f t="shared" si="51"/>
        <v>9</v>
      </c>
      <c r="C194" s="11"/>
      <c r="D194" s="11"/>
      <c r="E194" s="13">
        <v>7.0</v>
      </c>
      <c r="F194" s="13">
        <v>5.0</v>
      </c>
      <c r="G194" s="12">
        <f t="shared" si="52"/>
        <v>2</v>
      </c>
      <c r="H194" s="12">
        <f t="shared" si="53"/>
        <v>7</v>
      </c>
      <c r="I194" s="14">
        <f t="shared" si="54"/>
        <v>12</v>
      </c>
    </row>
    <row r="195">
      <c r="A195" s="11" t="s">
        <v>13</v>
      </c>
      <c r="B195" s="12">
        <f t="shared" si="51"/>
        <v>25</v>
      </c>
      <c r="C195" s="11"/>
      <c r="D195" s="11"/>
      <c r="E195" s="13">
        <v>7.0</v>
      </c>
      <c r="F195" s="13">
        <v>1.0</v>
      </c>
      <c r="G195" s="12">
        <f t="shared" si="52"/>
        <v>6</v>
      </c>
      <c r="H195" s="12">
        <f t="shared" si="53"/>
        <v>19</v>
      </c>
      <c r="I195" s="14">
        <f t="shared" si="54"/>
        <v>36</v>
      </c>
    </row>
    <row r="196">
      <c r="A196" s="11" t="s">
        <v>14</v>
      </c>
      <c r="B196" s="12">
        <f t="shared" si="51"/>
        <v>18</v>
      </c>
      <c r="C196" s="11"/>
      <c r="D196" s="11"/>
      <c r="E196" s="13">
        <v>5.0</v>
      </c>
      <c r="F196" s="13">
        <v>1.0</v>
      </c>
      <c r="G196" s="12">
        <f t="shared" si="52"/>
        <v>4</v>
      </c>
      <c r="H196" s="12">
        <f t="shared" si="53"/>
        <v>14</v>
      </c>
      <c r="I196" s="14">
        <f t="shared" si="54"/>
        <v>24</v>
      </c>
    </row>
    <row r="197">
      <c r="A197" s="11" t="s">
        <v>15</v>
      </c>
      <c r="B197" s="12">
        <f t="shared" si="51"/>
        <v>26</v>
      </c>
      <c r="C197" s="11"/>
      <c r="D197" s="11"/>
      <c r="E197" s="13">
        <v>7.0</v>
      </c>
      <c r="F197" s="13">
        <v>3.0</v>
      </c>
      <c r="G197" s="12">
        <f t="shared" si="52"/>
        <v>4</v>
      </c>
      <c r="H197" s="12">
        <f t="shared" si="53"/>
        <v>22</v>
      </c>
      <c r="I197" s="14">
        <f t="shared" si="54"/>
        <v>24</v>
      </c>
    </row>
    <row r="198">
      <c r="A198" s="11" t="s">
        <v>16</v>
      </c>
      <c r="B198" s="12">
        <f t="shared" si="51"/>
        <v>19</v>
      </c>
      <c r="C198" s="11"/>
      <c r="D198" s="11"/>
      <c r="E198" s="13">
        <v>5.0</v>
      </c>
      <c r="F198" s="13">
        <v>5.0</v>
      </c>
      <c r="G198" s="12">
        <f t="shared" si="52"/>
        <v>0</v>
      </c>
      <c r="H198" s="12">
        <f t="shared" si="53"/>
        <v>19</v>
      </c>
      <c r="I198" s="14">
        <f t="shared" si="54"/>
        <v>0</v>
      </c>
    </row>
    <row r="199">
      <c r="A199" s="11" t="s">
        <v>17</v>
      </c>
      <c r="B199" s="12">
        <f t="shared" si="51"/>
        <v>36</v>
      </c>
      <c r="C199" s="11"/>
      <c r="D199" s="11"/>
      <c r="E199" s="13">
        <v>4.0</v>
      </c>
      <c r="F199" s="13">
        <v>1.0</v>
      </c>
      <c r="G199" s="12">
        <f t="shared" si="52"/>
        <v>3</v>
      </c>
      <c r="H199" s="12">
        <f t="shared" si="53"/>
        <v>33</v>
      </c>
      <c r="I199" s="14">
        <f t="shared" si="54"/>
        <v>18</v>
      </c>
    </row>
    <row r="200">
      <c r="A200" s="11" t="s">
        <v>18</v>
      </c>
      <c r="B200" s="12">
        <f t="shared" si="51"/>
        <v>30</v>
      </c>
      <c r="C200" s="11"/>
      <c r="D200" s="11"/>
      <c r="E200" s="13">
        <v>6.0</v>
      </c>
      <c r="F200" s="13">
        <v>6.0</v>
      </c>
      <c r="G200" s="12">
        <f t="shared" si="52"/>
        <v>0</v>
      </c>
      <c r="H200" s="12">
        <f t="shared" si="53"/>
        <v>30</v>
      </c>
      <c r="I200" s="14">
        <f t="shared" si="54"/>
        <v>0</v>
      </c>
    </row>
    <row r="201">
      <c r="A201" s="11" t="s">
        <v>19</v>
      </c>
      <c r="B201" s="12">
        <f t="shared" si="51"/>
        <v>23</v>
      </c>
      <c r="C201" s="13">
        <v>1.0</v>
      </c>
      <c r="D201" s="11"/>
      <c r="E201" s="13">
        <v>6.0</v>
      </c>
      <c r="F201" s="13">
        <v>6.0</v>
      </c>
      <c r="G201" s="12">
        <f t="shared" si="52"/>
        <v>0</v>
      </c>
      <c r="H201" s="12">
        <f t="shared" si="53"/>
        <v>22</v>
      </c>
      <c r="I201" s="14">
        <f t="shared" si="54"/>
        <v>0</v>
      </c>
    </row>
    <row r="202">
      <c r="A202" s="11" t="s">
        <v>20</v>
      </c>
      <c r="B202" s="12">
        <f t="shared" si="51"/>
        <v>11</v>
      </c>
      <c r="C202" s="11"/>
      <c r="D202" s="13">
        <v>27.0</v>
      </c>
      <c r="E202" s="13">
        <v>7.0</v>
      </c>
      <c r="F202" s="13">
        <v>2.0</v>
      </c>
      <c r="G202" s="12">
        <f t="shared" si="52"/>
        <v>5</v>
      </c>
      <c r="H202" s="12">
        <f t="shared" si="53"/>
        <v>33</v>
      </c>
      <c r="I202" s="14">
        <f t="shared" ref="I202:I203" si="55">G202*6</f>
        <v>30</v>
      </c>
    </row>
    <row r="203">
      <c r="A203" s="11" t="s">
        <v>21</v>
      </c>
      <c r="B203" s="12">
        <f t="shared" si="51"/>
        <v>17</v>
      </c>
      <c r="C203" s="11"/>
      <c r="D203" s="11"/>
      <c r="E203" s="13">
        <v>2.0</v>
      </c>
      <c r="F203" s="13">
        <v>2.0</v>
      </c>
      <c r="G203" s="12">
        <f t="shared" si="52"/>
        <v>0</v>
      </c>
      <c r="H203" s="12">
        <f t="shared" si="53"/>
        <v>17</v>
      </c>
      <c r="I203" s="14">
        <f t="shared" si="55"/>
        <v>0</v>
      </c>
    </row>
    <row r="204">
      <c r="A204" s="11" t="s">
        <v>22</v>
      </c>
      <c r="B204" s="12">
        <f t="shared" si="51"/>
        <v>16</v>
      </c>
      <c r="C204" s="11"/>
      <c r="D204" s="11"/>
      <c r="E204" s="13">
        <v>6.0</v>
      </c>
      <c r="F204" s="13">
        <v>6.0</v>
      </c>
      <c r="G204" s="12">
        <f t="shared" si="52"/>
        <v>0</v>
      </c>
      <c r="H204" s="12">
        <f t="shared" si="53"/>
        <v>16</v>
      </c>
      <c r="I204" s="14">
        <f t="shared" ref="I204:I212" si="56">G204*6</f>
        <v>0</v>
      </c>
    </row>
    <row r="205">
      <c r="A205" s="11" t="s">
        <v>23</v>
      </c>
      <c r="B205" s="12">
        <f t="shared" si="51"/>
        <v>9</v>
      </c>
      <c r="C205" s="11"/>
      <c r="D205" s="11"/>
      <c r="E205" s="13">
        <v>6.0</v>
      </c>
      <c r="F205" s="13">
        <v>2.0</v>
      </c>
      <c r="G205" s="12">
        <f t="shared" si="52"/>
        <v>4</v>
      </c>
      <c r="H205" s="12">
        <f t="shared" si="53"/>
        <v>5</v>
      </c>
      <c r="I205" s="14">
        <f t="shared" si="56"/>
        <v>24</v>
      </c>
    </row>
    <row r="206">
      <c r="A206" s="11" t="s">
        <v>24</v>
      </c>
      <c r="B206" s="12">
        <f t="shared" si="51"/>
        <v>20</v>
      </c>
      <c r="C206" s="11"/>
      <c r="D206" s="11"/>
      <c r="E206" s="13">
        <v>5.0</v>
      </c>
      <c r="F206" s="13">
        <v>5.0</v>
      </c>
      <c r="G206" s="12">
        <f t="shared" si="52"/>
        <v>0</v>
      </c>
      <c r="H206" s="12">
        <f t="shared" si="53"/>
        <v>20</v>
      </c>
      <c r="I206" s="14">
        <f t="shared" si="56"/>
        <v>0</v>
      </c>
    </row>
    <row r="207">
      <c r="A207" s="11" t="s">
        <v>25</v>
      </c>
      <c r="B207" s="12">
        <f t="shared" si="51"/>
        <v>21</v>
      </c>
      <c r="C207" s="11"/>
      <c r="D207" s="13">
        <v>28.0</v>
      </c>
      <c r="E207" s="13">
        <v>8.0</v>
      </c>
      <c r="F207" s="13">
        <v>0.0</v>
      </c>
      <c r="G207" s="12">
        <f t="shared" si="52"/>
        <v>8</v>
      </c>
      <c r="H207" s="12">
        <f t="shared" si="53"/>
        <v>41</v>
      </c>
      <c r="I207" s="14">
        <f t="shared" si="56"/>
        <v>48</v>
      </c>
    </row>
    <row r="208">
      <c r="A208" s="11" t="s">
        <v>26</v>
      </c>
      <c r="B208" s="12">
        <f t="shared" si="51"/>
        <v>16</v>
      </c>
      <c r="C208" s="11"/>
      <c r="D208" s="11"/>
      <c r="E208" s="13">
        <v>6.0</v>
      </c>
      <c r="F208" s="13">
        <v>0.0</v>
      </c>
      <c r="G208" s="12">
        <f t="shared" si="52"/>
        <v>6</v>
      </c>
      <c r="H208" s="12">
        <f t="shared" si="53"/>
        <v>10</v>
      </c>
      <c r="I208" s="14">
        <f t="shared" si="56"/>
        <v>36</v>
      </c>
    </row>
    <row r="209">
      <c r="A209" s="11" t="s">
        <v>27</v>
      </c>
      <c r="B209" s="12">
        <f t="shared" si="51"/>
        <v>29</v>
      </c>
      <c r="C209" s="11"/>
      <c r="D209" s="11"/>
      <c r="E209" s="13">
        <v>4.0</v>
      </c>
      <c r="F209" s="13">
        <v>0.0</v>
      </c>
      <c r="G209" s="12">
        <f t="shared" si="52"/>
        <v>4</v>
      </c>
      <c r="H209" s="12">
        <f t="shared" si="53"/>
        <v>25</v>
      </c>
      <c r="I209" s="14">
        <f t="shared" si="56"/>
        <v>24</v>
      </c>
    </row>
    <row r="210">
      <c r="A210" s="11" t="s">
        <v>28</v>
      </c>
      <c r="B210" s="12">
        <f t="shared" si="51"/>
        <v>19</v>
      </c>
      <c r="C210" s="11"/>
      <c r="D210" s="11"/>
      <c r="E210" s="13">
        <v>9.0</v>
      </c>
      <c r="F210" s="13">
        <v>5.0</v>
      </c>
      <c r="G210" s="12">
        <f t="shared" si="52"/>
        <v>4</v>
      </c>
      <c r="H210" s="12">
        <f t="shared" si="53"/>
        <v>15</v>
      </c>
      <c r="I210" s="14">
        <f t="shared" si="56"/>
        <v>24</v>
      </c>
    </row>
    <row r="211">
      <c r="A211" s="11" t="s">
        <v>30</v>
      </c>
      <c r="B211" s="12">
        <f t="shared" si="51"/>
        <v>24</v>
      </c>
      <c r="C211" s="11"/>
      <c r="D211" s="11"/>
      <c r="E211" s="13">
        <v>2.0</v>
      </c>
      <c r="F211" s="13">
        <v>2.0</v>
      </c>
      <c r="G211" s="12">
        <f t="shared" si="52"/>
        <v>0</v>
      </c>
      <c r="H211" s="12">
        <f t="shared" si="53"/>
        <v>24</v>
      </c>
      <c r="I211" s="14">
        <f t="shared" si="56"/>
        <v>0</v>
      </c>
    </row>
    <row r="212">
      <c r="A212" s="18" t="s">
        <v>86</v>
      </c>
      <c r="B212" s="12">
        <f t="shared" si="51"/>
        <v>31</v>
      </c>
      <c r="C212" s="11"/>
      <c r="D212" s="11"/>
      <c r="E212" s="13">
        <v>6.0</v>
      </c>
      <c r="F212" s="13">
        <v>6.0</v>
      </c>
      <c r="G212" s="12">
        <f t="shared" si="52"/>
        <v>0</v>
      </c>
      <c r="H212" s="12">
        <f t="shared" si="53"/>
        <v>31</v>
      </c>
      <c r="I212" s="14">
        <f t="shared" si="56"/>
        <v>0</v>
      </c>
    </row>
    <row r="213">
      <c r="A213" s="19" t="s">
        <v>33</v>
      </c>
      <c r="B213" s="20">
        <f>SUM(B192:B212)</f>
        <v>432</v>
      </c>
      <c r="C213" s="19"/>
      <c r="D213" s="19"/>
      <c r="E213" s="20">
        <f t="shared" ref="E213:G213" si="57">SUM(E191:E212)</f>
        <v>120</v>
      </c>
      <c r="F213" s="20">
        <f t="shared" si="57"/>
        <v>61</v>
      </c>
      <c r="G213" s="20">
        <f t="shared" si="57"/>
        <v>59</v>
      </c>
      <c r="H213" s="20">
        <f t="shared" ref="H213:I213" si="58">SUM(H192:H212)</f>
        <v>427</v>
      </c>
      <c r="I213" s="21">
        <f t="shared" si="58"/>
        <v>354</v>
      </c>
    </row>
    <row r="214">
      <c r="A214" s="22"/>
      <c r="B214" s="22"/>
      <c r="C214" s="22"/>
      <c r="D214" s="22"/>
      <c r="E214" s="22"/>
      <c r="F214" s="23" t="s">
        <v>34</v>
      </c>
      <c r="G214" s="4"/>
      <c r="H214" s="24"/>
      <c r="I214" s="25"/>
    </row>
    <row r="215">
      <c r="A215" s="22"/>
      <c r="B215" s="32"/>
      <c r="C215" s="32"/>
      <c r="D215" s="32"/>
      <c r="E215" s="33" t="s">
        <v>87</v>
      </c>
      <c r="F215" s="3"/>
      <c r="G215" s="4"/>
      <c r="H215" s="34"/>
      <c r="I215" s="35">
        <f>SUM(I192:I212)</f>
        <v>354</v>
      </c>
    </row>
    <row r="217">
      <c r="A217" s="1"/>
      <c r="B217" s="2" t="s">
        <v>113</v>
      </c>
      <c r="C217" s="3"/>
      <c r="D217" s="3"/>
      <c r="E217" s="3"/>
      <c r="F217" s="3"/>
      <c r="G217" s="3"/>
      <c r="H217" s="3"/>
      <c r="I217" s="4"/>
    </row>
    <row r="218">
      <c r="A218" s="5" t="s">
        <v>1</v>
      </c>
      <c r="B218" s="6" t="s">
        <v>2</v>
      </c>
      <c r="C218" s="7" t="s">
        <v>3</v>
      </c>
      <c r="D218" s="8" t="s">
        <v>4</v>
      </c>
      <c r="E218" s="5" t="s">
        <v>5</v>
      </c>
      <c r="F218" s="5" t="s">
        <v>6</v>
      </c>
      <c r="G218" s="5" t="s">
        <v>7</v>
      </c>
      <c r="H218" s="9" t="s">
        <v>8</v>
      </c>
      <c r="I218" s="10" t="s">
        <v>9</v>
      </c>
    </row>
    <row r="219">
      <c r="A219" s="11" t="s">
        <v>10</v>
      </c>
      <c r="B219" s="12">
        <f t="shared" ref="B219:B239" si="59">H192</f>
        <v>22</v>
      </c>
      <c r="C219" s="11"/>
      <c r="D219" s="11"/>
      <c r="E219" s="13">
        <v>6.0</v>
      </c>
      <c r="F219" s="13">
        <v>4.0</v>
      </c>
      <c r="G219" s="12">
        <f t="shared" ref="G219:G239" si="60">E219-F219</f>
        <v>2</v>
      </c>
      <c r="H219" s="12">
        <f t="shared" ref="H219:H239" si="61">B219-C219+D219-G219</f>
        <v>20</v>
      </c>
      <c r="I219" s="14">
        <f t="shared" ref="I219:I239" si="62">G219*6</f>
        <v>12</v>
      </c>
    </row>
    <row r="220">
      <c r="A220" s="11" t="s">
        <v>11</v>
      </c>
      <c r="B220" s="12">
        <f t="shared" si="59"/>
        <v>2</v>
      </c>
      <c r="C220" s="11"/>
      <c r="D220" s="13">
        <v>29.0</v>
      </c>
      <c r="E220" s="13">
        <v>2.0</v>
      </c>
      <c r="F220" s="13">
        <v>1.0</v>
      </c>
      <c r="G220" s="12">
        <f t="shared" si="60"/>
        <v>1</v>
      </c>
      <c r="H220" s="12">
        <f t="shared" si="61"/>
        <v>30</v>
      </c>
      <c r="I220" s="14">
        <f t="shared" si="62"/>
        <v>6</v>
      </c>
    </row>
    <row r="221">
      <c r="A221" s="11" t="s">
        <v>12</v>
      </c>
      <c r="B221" s="12">
        <f t="shared" si="59"/>
        <v>7</v>
      </c>
      <c r="C221" s="11"/>
      <c r="D221" s="13">
        <v>39.0</v>
      </c>
      <c r="E221" s="13">
        <v>6.0</v>
      </c>
      <c r="F221" s="13">
        <v>5.0</v>
      </c>
      <c r="G221" s="12">
        <f t="shared" si="60"/>
        <v>1</v>
      </c>
      <c r="H221" s="12">
        <f t="shared" si="61"/>
        <v>45</v>
      </c>
      <c r="I221" s="14">
        <f t="shared" si="62"/>
        <v>6</v>
      </c>
    </row>
    <row r="222">
      <c r="A222" s="11" t="s">
        <v>13</v>
      </c>
      <c r="B222" s="12">
        <f t="shared" si="59"/>
        <v>19</v>
      </c>
      <c r="C222" s="11"/>
      <c r="D222" s="27"/>
      <c r="E222" s="13">
        <v>7.0</v>
      </c>
      <c r="F222" s="13">
        <v>4.0</v>
      </c>
      <c r="G222" s="12">
        <f t="shared" si="60"/>
        <v>3</v>
      </c>
      <c r="H222" s="12">
        <f t="shared" si="61"/>
        <v>16</v>
      </c>
      <c r="I222" s="14">
        <f t="shared" si="62"/>
        <v>18</v>
      </c>
    </row>
    <row r="223">
      <c r="A223" s="11" t="s">
        <v>14</v>
      </c>
      <c r="B223" s="12">
        <f t="shared" si="59"/>
        <v>14</v>
      </c>
      <c r="C223" s="11"/>
      <c r="D223" s="11"/>
      <c r="E223" s="13">
        <v>4.0</v>
      </c>
      <c r="F223" s="13">
        <v>2.0</v>
      </c>
      <c r="G223" s="12">
        <f t="shared" si="60"/>
        <v>2</v>
      </c>
      <c r="H223" s="12">
        <f t="shared" si="61"/>
        <v>12</v>
      </c>
      <c r="I223" s="14">
        <f t="shared" si="62"/>
        <v>12</v>
      </c>
    </row>
    <row r="224">
      <c r="A224" s="11" t="s">
        <v>15</v>
      </c>
      <c r="B224" s="12">
        <f t="shared" si="59"/>
        <v>22</v>
      </c>
      <c r="C224" s="13">
        <v>1.0</v>
      </c>
      <c r="D224" s="11"/>
      <c r="E224" s="13">
        <v>6.0</v>
      </c>
      <c r="F224" s="13">
        <v>5.0</v>
      </c>
      <c r="G224" s="12">
        <f t="shared" si="60"/>
        <v>1</v>
      </c>
      <c r="H224" s="12">
        <f t="shared" si="61"/>
        <v>20</v>
      </c>
      <c r="I224" s="14">
        <f t="shared" si="62"/>
        <v>6</v>
      </c>
    </row>
    <row r="225">
      <c r="A225" s="11" t="s">
        <v>16</v>
      </c>
      <c r="B225" s="12">
        <f t="shared" si="59"/>
        <v>19</v>
      </c>
      <c r="C225" s="11"/>
      <c r="D225" s="11"/>
      <c r="E225" s="13">
        <v>5.0</v>
      </c>
      <c r="F225" s="13">
        <v>4.0</v>
      </c>
      <c r="G225" s="12">
        <f t="shared" si="60"/>
        <v>1</v>
      </c>
      <c r="H225" s="12">
        <f t="shared" si="61"/>
        <v>18</v>
      </c>
      <c r="I225" s="14">
        <f t="shared" si="62"/>
        <v>6</v>
      </c>
    </row>
    <row r="226">
      <c r="A226" s="11" t="s">
        <v>17</v>
      </c>
      <c r="B226" s="12">
        <f t="shared" si="59"/>
        <v>33</v>
      </c>
      <c r="C226" s="11"/>
      <c r="D226" s="11"/>
      <c r="E226" s="13">
        <v>4.0</v>
      </c>
      <c r="F226" s="13">
        <v>3.0</v>
      </c>
      <c r="G226" s="12">
        <f t="shared" si="60"/>
        <v>1</v>
      </c>
      <c r="H226" s="12">
        <f t="shared" si="61"/>
        <v>32</v>
      </c>
      <c r="I226" s="14">
        <f t="shared" si="62"/>
        <v>6</v>
      </c>
    </row>
    <row r="227">
      <c r="A227" s="11" t="s">
        <v>18</v>
      </c>
      <c r="B227" s="12">
        <f t="shared" si="59"/>
        <v>30</v>
      </c>
      <c r="C227" s="11"/>
      <c r="D227" s="11"/>
      <c r="E227" s="13">
        <v>6.0</v>
      </c>
      <c r="F227" s="13">
        <v>3.0</v>
      </c>
      <c r="G227" s="12">
        <f t="shared" si="60"/>
        <v>3</v>
      </c>
      <c r="H227" s="12">
        <f t="shared" si="61"/>
        <v>27</v>
      </c>
      <c r="I227" s="14">
        <f t="shared" si="62"/>
        <v>18</v>
      </c>
    </row>
    <row r="228">
      <c r="A228" s="11" t="s">
        <v>19</v>
      </c>
      <c r="B228" s="12">
        <f t="shared" si="59"/>
        <v>22</v>
      </c>
      <c r="C228" s="11"/>
      <c r="D228" s="11"/>
      <c r="E228" s="13">
        <v>6.0</v>
      </c>
      <c r="F228" s="13">
        <v>6.0</v>
      </c>
      <c r="G228" s="12">
        <f t="shared" si="60"/>
        <v>0</v>
      </c>
      <c r="H228" s="12">
        <f t="shared" si="61"/>
        <v>22</v>
      </c>
      <c r="I228" s="14">
        <f t="shared" si="62"/>
        <v>0</v>
      </c>
    </row>
    <row r="229">
      <c r="A229" s="11" t="s">
        <v>20</v>
      </c>
      <c r="B229" s="12">
        <f t="shared" si="59"/>
        <v>33</v>
      </c>
      <c r="C229" s="11"/>
      <c r="D229" s="11"/>
      <c r="E229" s="13">
        <v>6.0</v>
      </c>
      <c r="F229" s="13">
        <v>3.0</v>
      </c>
      <c r="G229" s="12">
        <f t="shared" si="60"/>
        <v>3</v>
      </c>
      <c r="H229" s="12">
        <f t="shared" si="61"/>
        <v>30</v>
      </c>
      <c r="I229" s="14">
        <f t="shared" si="62"/>
        <v>18</v>
      </c>
    </row>
    <row r="230">
      <c r="A230" s="11" t="s">
        <v>21</v>
      </c>
      <c r="B230" s="12">
        <f t="shared" si="59"/>
        <v>17</v>
      </c>
      <c r="C230" s="11"/>
      <c r="D230" s="11"/>
      <c r="E230" s="13">
        <v>2.0</v>
      </c>
      <c r="F230" s="13">
        <v>2.0</v>
      </c>
      <c r="G230" s="12">
        <f t="shared" si="60"/>
        <v>0</v>
      </c>
      <c r="H230" s="12">
        <f t="shared" si="61"/>
        <v>17</v>
      </c>
      <c r="I230" s="14">
        <f t="shared" si="62"/>
        <v>0</v>
      </c>
    </row>
    <row r="231">
      <c r="A231" s="11" t="s">
        <v>22</v>
      </c>
      <c r="B231" s="12">
        <f t="shared" si="59"/>
        <v>16</v>
      </c>
      <c r="C231" s="11"/>
      <c r="D231" s="11"/>
      <c r="E231" s="13">
        <v>6.0</v>
      </c>
      <c r="F231" s="13">
        <v>3.0</v>
      </c>
      <c r="G231" s="12">
        <f t="shared" si="60"/>
        <v>3</v>
      </c>
      <c r="H231" s="12">
        <f t="shared" si="61"/>
        <v>13</v>
      </c>
      <c r="I231" s="14">
        <f t="shared" si="62"/>
        <v>18</v>
      </c>
    </row>
    <row r="232">
      <c r="A232" s="11" t="s">
        <v>23</v>
      </c>
      <c r="B232" s="12">
        <f t="shared" si="59"/>
        <v>5</v>
      </c>
      <c r="C232" s="11"/>
      <c r="D232" s="11"/>
      <c r="E232" s="13">
        <v>6.0</v>
      </c>
      <c r="F232" s="13">
        <v>4.0</v>
      </c>
      <c r="G232" s="12">
        <f t="shared" si="60"/>
        <v>2</v>
      </c>
      <c r="H232" s="12">
        <f t="shared" si="61"/>
        <v>3</v>
      </c>
      <c r="I232" s="14">
        <f t="shared" si="62"/>
        <v>12</v>
      </c>
    </row>
    <row r="233">
      <c r="A233" s="11" t="s">
        <v>24</v>
      </c>
      <c r="B233" s="12">
        <f t="shared" si="59"/>
        <v>20</v>
      </c>
      <c r="C233" s="11"/>
      <c r="D233" s="11"/>
      <c r="E233" s="13">
        <v>4.0</v>
      </c>
      <c r="F233" s="13">
        <v>4.0</v>
      </c>
      <c r="G233" s="12">
        <f t="shared" si="60"/>
        <v>0</v>
      </c>
      <c r="H233" s="12">
        <f t="shared" si="61"/>
        <v>20</v>
      </c>
      <c r="I233" s="14">
        <f t="shared" si="62"/>
        <v>0</v>
      </c>
    </row>
    <row r="234">
      <c r="A234" s="11" t="s">
        <v>25</v>
      </c>
      <c r="B234" s="12">
        <f t="shared" si="59"/>
        <v>41</v>
      </c>
      <c r="C234" s="11"/>
      <c r="D234" s="11"/>
      <c r="E234" s="13">
        <v>8.0</v>
      </c>
      <c r="F234" s="13">
        <v>1.0</v>
      </c>
      <c r="G234" s="12">
        <f t="shared" si="60"/>
        <v>7</v>
      </c>
      <c r="H234" s="12">
        <f t="shared" si="61"/>
        <v>34</v>
      </c>
      <c r="I234" s="14">
        <f t="shared" si="62"/>
        <v>42</v>
      </c>
    </row>
    <row r="235">
      <c r="A235" s="11" t="s">
        <v>26</v>
      </c>
      <c r="B235" s="12">
        <f t="shared" si="59"/>
        <v>10</v>
      </c>
      <c r="C235" s="11"/>
      <c r="D235" s="11"/>
      <c r="E235" s="13">
        <v>6.0</v>
      </c>
      <c r="F235" s="13">
        <v>3.0</v>
      </c>
      <c r="G235" s="12">
        <f t="shared" si="60"/>
        <v>3</v>
      </c>
      <c r="H235" s="12">
        <f t="shared" si="61"/>
        <v>7</v>
      </c>
      <c r="I235" s="14">
        <f t="shared" si="62"/>
        <v>18</v>
      </c>
    </row>
    <row r="236">
      <c r="A236" s="11" t="s">
        <v>27</v>
      </c>
      <c r="B236" s="12">
        <f t="shared" si="59"/>
        <v>25</v>
      </c>
      <c r="C236" s="11"/>
      <c r="D236" s="11"/>
      <c r="E236" s="13">
        <v>4.0</v>
      </c>
      <c r="F236" s="13">
        <v>3.0</v>
      </c>
      <c r="G236" s="12">
        <f t="shared" si="60"/>
        <v>1</v>
      </c>
      <c r="H236" s="12">
        <f t="shared" si="61"/>
        <v>24</v>
      </c>
      <c r="I236" s="14">
        <f t="shared" si="62"/>
        <v>6</v>
      </c>
    </row>
    <row r="237">
      <c r="A237" s="11" t="s">
        <v>28</v>
      </c>
      <c r="B237" s="12">
        <f t="shared" si="59"/>
        <v>15</v>
      </c>
      <c r="C237" s="11"/>
      <c r="D237" s="11"/>
      <c r="E237" s="13">
        <v>8.0</v>
      </c>
      <c r="F237" s="13">
        <v>4.0</v>
      </c>
      <c r="G237" s="12">
        <f t="shared" si="60"/>
        <v>4</v>
      </c>
      <c r="H237" s="12">
        <f t="shared" si="61"/>
        <v>11</v>
      </c>
      <c r="I237" s="14">
        <f t="shared" si="62"/>
        <v>24</v>
      </c>
    </row>
    <row r="238">
      <c r="A238" s="11" t="s">
        <v>30</v>
      </c>
      <c r="B238" s="12">
        <f t="shared" si="59"/>
        <v>24</v>
      </c>
      <c r="C238" s="11"/>
      <c r="D238" s="11"/>
      <c r="E238" s="13">
        <v>2.0</v>
      </c>
      <c r="F238" s="13">
        <v>2.0</v>
      </c>
      <c r="G238" s="12">
        <f t="shared" si="60"/>
        <v>0</v>
      </c>
      <c r="H238" s="12">
        <f t="shared" si="61"/>
        <v>24</v>
      </c>
      <c r="I238" s="14">
        <f t="shared" si="62"/>
        <v>0</v>
      </c>
    </row>
    <row r="239">
      <c r="A239" s="18" t="s">
        <v>86</v>
      </c>
      <c r="B239" s="12">
        <f t="shared" si="59"/>
        <v>31</v>
      </c>
      <c r="C239" s="11"/>
      <c r="D239" s="11"/>
      <c r="E239" s="13">
        <v>6.0</v>
      </c>
      <c r="F239" s="13">
        <v>6.0</v>
      </c>
      <c r="G239" s="12">
        <f t="shared" si="60"/>
        <v>0</v>
      </c>
      <c r="H239" s="12">
        <f t="shared" si="61"/>
        <v>31</v>
      </c>
      <c r="I239" s="14">
        <f t="shared" si="62"/>
        <v>0</v>
      </c>
    </row>
    <row r="240">
      <c r="A240" s="19" t="s">
        <v>33</v>
      </c>
      <c r="B240" s="20">
        <f>SUM(B219:B239)</f>
        <v>427</v>
      </c>
      <c r="C240" s="19"/>
      <c r="D240" s="19"/>
      <c r="E240" s="20">
        <f t="shared" ref="E240:G240" si="63">SUM(E218:E239)</f>
        <v>110</v>
      </c>
      <c r="F240" s="20">
        <f t="shared" si="63"/>
        <v>72</v>
      </c>
      <c r="G240" s="20">
        <f t="shared" si="63"/>
        <v>38</v>
      </c>
      <c r="H240" s="20">
        <f t="shared" ref="H240:I240" si="64">SUM(H219:H239)</f>
        <v>456</v>
      </c>
      <c r="I240" s="21">
        <f t="shared" si="64"/>
        <v>228</v>
      </c>
    </row>
    <row r="241">
      <c r="A241" s="22"/>
      <c r="B241" s="22"/>
      <c r="C241" s="22"/>
      <c r="D241" s="22"/>
      <c r="E241" s="22"/>
      <c r="F241" s="23" t="s">
        <v>34</v>
      </c>
      <c r="G241" s="4"/>
      <c r="H241" s="24"/>
      <c r="I241" s="25"/>
    </row>
    <row r="242">
      <c r="A242" s="22"/>
      <c r="B242" s="32"/>
      <c r="C242" s="32"/>
      <c r="D242" s="32"/>
      <c r="E242" s="33" t="s">
        <v>87</v>
      </c>
      <c r="F242" s="3"/>
      <c r="G242" s="4"/>
      <c r="H242" s="34"/>
      <c r="I242" s="35">
        <f>SUM(I219:I239)</f>
        <v>228</v>
      </c>
    </row>
    <row r="244">
      <c r="A244" s="1"/>
      <c r="B244" s="2" t="s">
        <v>114</v>
      </c>
      <c r="C244" s="3"/>
      <c r="D244" s="3"/>
      <c r="E244" s="3"/>
      <c r="F244" s="3"/>
      <c r="G244" s="3"/>
      <c r="H244" s="3"/>
      <c r="I244" s="4"/>
    </row>
    <row r="245">
      <c r="A245" s="5" t="s">
        <v>1</v>
      </c>
      <c r="B245" s="6" t="s">
        <v>2</v>
      </c>
      <c r="C245" s="7" t="s">
        <v>3</v>
      </c>
      <c r="D245" s="8" t="s">
        <v>4</v>
      </c>
      <c r="E245" s="5" t="s">
        <v>5</v>
      </c>
      <c r="F245" s="5" t="s">
        <v>6</v>
      </c>
      <c r="G245" s="5" t="s">
        <v>7</v>
      </c>
      <c r="H245" s="9" t="s">
        <v>8</v>
      </c>
      <c r="I245" s="10" t="s">
        <v>9</v>
      </c>
    </row>
    <row r="246">
      <c r="A246" s="11" t="s">
        <v>10</v>
      </c>
      <c r="B246" s="12">
        <f t="shared" ref="B246:B266" si="65">H219</f>
        <v>20</v>
      </c>
      <c r="C246" s="11"/>
      <c r="D246" s="11"/>
      <c r="E246" s="13">
        <v>6.0</v>
      </c>
      <c r="F246" s="13">
        <v>5.0</v>
      </c>
      <c r="G246" s="12">
        <f t="shared" ref="G246:G266" si="66">E246-F246</f>
        <v>1</v>
      </c>
      <c r="H246" s="12">
        <f t="shared" ref="H246:H266" si="67">B246-C246+D246-G246</f>
        <v>19</v>
      </c>
      <c r="I246" s="14">
        <f t="shared" ref="I246:I266" si="68">G246*6</f>
        <v>6</v>
      </c>
    </row>
    <row r="247">
      <c r="A247" s="11" t="s">
        <v>11</v>
      </c>
      <c r="B247" s="12">
        <f t="shared" si="65"/>
        <v>30</v>
      </c>
      <c r="C247" s="11"/>
      <c r="D247" s="11"/>
      <c r="E247" s="13">
        <v>6.0</v>
      </c>
      <c r="F247" s="13">
        <v>6.0</v>
      </c>
      <c r="G247" s="12">
        <f t="shared" si="66"/>
        <v>0</v>
      </c>
      <c r="H247" s="12">
        <f t="shared" si="67"/>
        <v>30</v>
      </c>
      <c r="I247" s="14">
        <f t="shared" si="68"/>
        <v>0</v>
      </c>
    </row>
    <row r="248">
      <c r="A248" s="11" t="s">
        <v>12</v>
      </c>
      <c r="B248" s="12">
        <f t="shared" si="65"/>
        <v>45</v>
      </c>
      <c r="C248" s="11"/>
      <c r="D248" s="11"/>
      <c r="E248" s="13">
        <v>6.0</v>
      </c>
      <c r="F248" s="13">
        <v>5.0</v>
      </c>
      <c r="G248" s="12">
        <f t="shared" si="66"/>
        <v>1</v>
      </c>
      <c r="H248" s="12">
        <f t="shared" si="67"/>
        <v>44</v>
      </c>
      <c r="I248" s="14">
        <f t="shared" si="68"/>
        <v>6</v>
      </c>
    </row>
    <row r="249">
      <c r="A249" s="11" t="s">
        <v>13</v>
      </c>
      <c r="B249" s="12">
        <f t="shared" si="65"/>
        <v>16</v>
      </c>
      <c r="C249" s="11"/>
      <c r="D249" s="13">
        <v>27.0</v>
      </c>
      <c r="E249" s="13">
        <v>6.0</v>
      </c>
      <c r="F249" s="13">
        <v>5.0</v>
      </c>
      <c r="G249" s="12">
        <f t="shared" si="66"/>
        <v>1</v>
      </c>
      <c r="H249" s="12">
        <f t="shared" si="67"/>
        <v>42</v>
      </c>
      <c r="I249" s="14">
        <f t="shared" si="68"/>
        <v>6</v>
      </c>
    </row>
    <row r="250">
      <c r="A250" s="11" t="s">
        <v>14</v>
      </c>
      <c r="B250" s="12">
        <f t="shared" si="65"/>
        <v>12</v>
      </c>
      <c r="C250" s="11"/>
      <c r="D250" s="11"/>
      <c r="E250" s="13">
        <v>4.0</v>
      </c>
      <c r="F250" s="13">
        <v>4.0</v>
      </c>
      <c r="G250" s="12">
        <f t="shared" si="66"/>
        <v>0</v>
      </c>
      <c r="H250" s="12">
        <f t="shared" si="67"/>
        <v>12</v>
      </c>
      <c r="I250" s="14">
        <f t="shared" si="68"/>
        <v>0</v>
      </c>
    </row>
    <row r="251">
      <c r="A251" s="11" t="s">
        <v>15</v>
      </c>
      <c r="B251" s="12">
        <f t="shared" si="65"/>
        <v>20</v>
      </c>
      <c r="C251" s="11"/>
      <c r="D251" s="11"/>
      <c r="E251" s="13">
        <v>6.0</v>
      </c>
      <c r="F251" s="13">
        <v>6.0</v>
      </c>
      <c r="G251" s="12">
        <f t="shared" si="66"/>
        <v>0</v>
      </c>
      <c r="H251" s="12">
        <f t="shared" si="67"/>
        <v>20</v>
      </c>
      <c r="I251" s="14">
        <f t="shared" si="68"/>
        <v>0</v>
      </c>
    </row>
    <row r="252">
      <c r="A252" s="11" t="s">
        <v>16</v>
      </c>
      <c r="B252" s="12">
        <f t="shared" si="65"/>
        <v>18</v>
      </c>
      <c r="C252" s="11"/>
      <c r="D252" s="11"/>
      <c r="E252" s="13">
        <v>5.0</v>
      </c>
      <c r="F252" s="13">
        <v>5.0</v>
      </c>
      <c r="G252" s="12">
        <f t="shared" si="66"/>
        <v>0</v>
      </c>
      <c r="H252" s="12">
        <f t="shared" si="67"/>
        <v>18</v>
      </c>
      <c r="I252" s="14">
        <f t="shared" si="68"/>
        <v>0</v>
      </c>
    </row>
    <row r="253">
      <c r="A253" s="11" t="s">
        <v>17</v>
      </c>
      <c r="B253" s="12">
        <f t="shared" si="65"/>
        <v>32</v>
      </c>
      <c r="C253" s="11"/>
      <c r="D253" s="11"/>
      <c r="E253" s="13">
        <v>4.0</v>
      </c>
      <c r="F253" s="13">
        <v>4.0</v>
      </c>
      <c r="G253" s="12">
        <f t="shared" si="66"/>
        <v>0</v>
      </c>
      <c r="H253" s="12">
        <f t="shared" si="67"/>
        <v>32</v>
      </c>
      <c r="I253" s="14">
        <f t="shared" si="68"/>
        <v>0</v>
      </c>
    </row>
    <row r="254">
      <c r="A254" s="11" t="s">
        <v>18</v>
      </c>
      <c r="B254" s="12">
        <f t="shared" si="65"/>
        <v>27</v>
      </c>
      <c r="C254" s="11"/>
      <c r="D254" s="11"/>
      <c r="E254" s="13">
        <v>6.0</v>
      </c>
      <c r="F254" s="13">
        <v>4.0</v>
      </c>
      <c r="G254" s="12">
        <f t="shared" si="66"/>
        <v>2</v>
      </c>
      <c r="H254" s="12">
        <f t="shared" si="67"/>
        <v>25</v>
      </c>
      <c r="I254" s="14">
        <f t="shared" si="68"/>
        <v>12</v>
      </c>
    </row>
    <row r="255">
      <c r="A255" s="11" t="s">
        <v>19</v>
      </c>
      <c r="B255" s="12">
        <f t="shared" si="65"/>
        <v>22</v>
      </c>
      <c r="C255" s="11"/>
      <c r="D255" s="11"/>
      <c r="E255" s="13">
        <v>6.0</v>
      </c>
      <c r="F255" s="13">
        <v>5.0</v>
      </c>
      <c r="G255" s="12">
        <f t="shared" si="66"/>
        <v>1</v>
      </c>
      <c r="H255" s="12">
        <f t="shared" si="67"/>
        <v>21</v>
      </c>
      <c r="I255" s="14">
        <f t="shared" si="68"/>
        <v>6</v>
      </c>
    </row>
    <row r="256">
      <c r="A256" s="11" t="s">
        <v>20</v>
      </c>
      <c r="B256" s="12">
        <f t="shared" si="65"/>
        <v>30</v>
      </c>
      <c r="C256" s="11"/>
      <c r="D256" s="11"/>
      <c r="E256" s="13">
        <v>6.0</v>
      </c>
      <c r="F256" s="13">
        <v>6.0</v>
      </c>
      <c r="G256" s="12">
        <f t="shared" si="66"/>
        <v>0</v>
      </c>
      <c r="H256" s="12">
        <f t="shared" si="67"/>
        <v>30</v>
      </c>
      <c r="I256" s="14">
        <f t="shared" si="68"/>
        <v>0</v>
      </c>
    </row>
    <row r="257">
      <c r="A257" s="11" t="s">
        <v>21</v>
      </c>
      <c r="B257" s="12">
        <f t="shared" si="65"/>
        <v>17</v>
      </c>
      <c r="C257" s="11"/>
      <c r="D257" s="11"/>
      <c r="E257" s="13">
        <v>2.0</v>
      </c>
      <c r="F257" s="13">
        <v>2.0</v>
      </c>
      <c r="G257" s="12">
        <f t="shared" si="66"/>
        <v>0</v>
      </c>
      <c r="H257" s="12">
        <f t="shared" si="67"/>
        <v>17</v>
      </c>
      <c r="I257" s="14">
        <f t="shared" si="68"/>
        <v>0</v>
      </c>
    </row>
    <row r="258">
      <c r="A258" s="11" t="s">
        <v>22</v>
      </c>
      <c r="B258" s="12">
        <f t="shared" si="65"/>
        <v>13</v>
      </c>
      <c r="C258" s="11"/>
      <c r="D258" s="11"/>
      <c r="E258" s="13">
        <v>5.0</v>
      </c>
      <c r="F258" s="13">
        <v>5.0</v>
      </c>
      <c r="G258" s="12">
        <f t="shared" si="66"/>
        <v>0</v>
      </c>
      <c r="H258" s="12">
        <f t="shared" si="67"/>
        <v>13</v>
      </c>
      <c r="I258" s="14">
        <f t="shared" si="68"/>
        <v>0</v>
      </c>
    </row>
    <row r="259">
      <c r="A259" s="11" t="s">
        <v>23</v>
      </c>
      <c r="B259" s="12">
        <f t="shared" si="65"/>
        <v>3</v>
      </c>
      <c r="C259" s="11"/>
      <c r="D259" s="11"/>
      <c r="E259" s="13">
        <v>6.0</v>
      </c>
      <c r="F259" s="13">
        <v>5.0</v>
      </c>
      <c r="G259" s="12">
        <f t="shared" si="66"/>
        <v>1</v>
      </c>
      <c r="H259" s="12">
        <f t="shared" si="67"/>
        <v>2</v>
      </c>
      <c r="I259" s="14">
        <f t="shared" si="68"/>
        <v>6</v>
      </c>
    </row>
    <row r="260">
      <c r="A260" s="11" t="s">
        <v>24</v>
      </c>
      <c r="B260" s="12">
        <f t="shared" si="65"/>
        <v>20</v>
      </c>
      <c r="C260" s="11"/>
      <c r="D260" s="11"/>
      <c r="E260" s="13">
        <v>4.0</v>
      </c>
      <c r="F260" s="13">
        <v>3.0</v>
      </c>
      <c r="G260" s="12">
        <f t="shared" si="66"/>
        <v>1</v>
      </c>
      <c r="H260" s="12">
        <f t="shared" si="67"/>
        <v>19</v>
      </c>
      <c r="I260" s="14">
        <f t="shared" si="68"/>
        <v>6</v>
      </c>
    </row>
    <row r="261">
      <c r="A261" s="11" t="s">
        <v>25</v>
      </c>
      <c r="B261" s="12">
        <f t="shared" si="65"/>
        <v>34</v>
      </c>
      <c r="C261" s="11"/>
      <c r="D261" s="11"/>
      <c r="E261" s="13">
        <v>8.0</v>
      </c>
      <c r="F261" s="13">
        <v>5.0</v>
      </c>
      <c r="G261" s="12">
        <f t="shared" si="66"/>
        <v>3</v>
      </c>
      <c r="H261" s="12">
        <f t="shared" si="67"/>
        <v>31</v>
      </c>
      <c r="I261" s="14">
        <f t="shared" si="68"/>
        <v>18</v>
      </c>
    </row>
    <row r="262">
      <c r="A262" s="11" t="s">
        <v>26</v>
      </c>
      <c r="B262" s="12">
        <f t="shared" si="65"/>
        <v>7</v>
      </c>
      <c r="C262" s="11"/>
      <c r="D262" s="11"/>
      <c r="E262" s="13">
        <v>6.0</v>
      </c>
      <c r="F262" s="13">
        <v>6.0</v>
      </c>
      <c r="G262" s="12">
        <f t="shared" si="66"/>
        <v>0</v>
      </c>
      <c r="H262" s="12">
        <f t="shared" si="67"/>
        <v>7</v>
      </c>
      <c r="I262" s="14">
        <f t="shared" si="68"/>
        <v>0</v>
      </c>
    </row>
    <row r="263">
      <c r="A263" s="11" t="s">
        <v>27</v>
      </c>
      <c r="B263" s="12">
        <f t="shared" si="65"/>
        <v>24</v>
      </c>
      <c r="C263" s="11"/>
      <c r="D263" s="11"/>
      <c r="E263" s="13">
        <v>4.0</v>
      </c>
      <c r="F263" s="13">
        <v>2.0</v>
      </c>
      <c r="G263" s="12">
        <f t="shared" si="66"/>
        <v>2</v>
      </c>
      <c r="H263" s="12">
        <f t="shared" si="67"/>
        <v>22</v>
      </c>
      <c r="I263" s="14">
        <f t="shared" si="68"/>
        <v>12</v>
      </c>
    </row>
    <row r="264">
      <c r="A264" s="11" t="s">
        <v>28</v>
      </c>
      <c r="B264" s="12">
        <f t="shared" si="65"/>
        <v>11</v>
      </c>
      <c r="C264" s="11"/>
      <c r="D264" s="11"/>
      <c r="E264" s="13">
        <v>8.0</v>
      </c>
      <c r="F264" s="13">
        <v>5.0</v>
      </c>
      <c r="G264" s="12">
        <f t="shared" si="66"/>
        <v>3</v>
      </c>
      <c r="H264" s="12">
        <f t="shared" si="67"/>
        <v>8</v>
      </c>
      <c r="I264" s="14">
        <f t="shared" si="68"/>
        <v>18</v>
      </c>
    </row>
    <row r="265">
      <c r="A265" s="11" t="s">
        <v>30</v>
      </c>
      <c r="B265" s="12">
        <f t="shared" si="65"/>
        <v>24</v>
      </c>
      <c r="C265" s="11"/>
      <c r="D265" s="11"/>
      <c r="E265" s="13">
        <v>2.0</v>
      </c>
      <c r="F265" s="13">
        <v>1.0</v>
      </c>
      <c r="G265" s="12">
        <f t="shared" si="66"/>
        <v>1</v>
      </c>
      <c r="H265" s="12">
        <f t="shared" si="67"/>
        <v>23</v>
      </c>
      <c r="I265" s="14">
        <f t="shared" si="68"/>
        <v>6</v>
      </c>
    </row>
    <row r="266">
      <c r="A266" s="18" t="s">
        <v>86</v>
      </c>
      <c r="B266" s="12">
        <f t="shared" si="65"/>
        <v>31</v>
      </c>
      <c r="C266" s="11"/>
      <c r="D266" s="11"/>
      <c r="E266" s="13">
        <v>4.0</v>
      </c>
      <c r="F266" s="13">
        <v>4.0</v>
      </c>
      <c r="G266" s="12">
        <f t="shared" si="66"/>
        <v>0</v>
      </c>
      <c r="H266" s="12">
        <f t="shared" si="67"/>
        <v>31</v>
      </c>
      <c r="I266" s="14">
        <f t="shared" si="68"/>
        <v>0</v>
      </c>
    </row>
    <row r="267">
      <c r="A267" s="19" t="s">
        <v>33</v>
      </c>
      <c r="B267" s="20">
        <f>SUM(B246:B266)</f>
        <v>456</v>
      </c>
      <c r="C267" s="19"/>
      <c r="D267" s="19"/>
      <c r="E267" s="20">
        <f t="shared" ref="E267:G267" si="69">SUM(E245:E266)</f>
        <v>110</v>
      </c>
      <c r="F267" s="20">
        <f t="shared" si="69"/>
        <v>93</v>
      </c>
      <c r="G267" s="20">
        <f t="shared" si="69"/>
        <v>17</v>
      </c>
      <c r="H267" s="20">
        <f>SUM(H246:H266)</f>
        <v>466</v>
      </c>
      <c r="I267" s="21">
        <f>SUM(I245:I266)</f>
        <v>102</v>
      </c>
    </row>
    <row r="268">
      <c r="A268" s="22"/>
      <c r="B268" s="22"/>
      <c r="C268" s="22"/>
      <c r="D268" s="22"/>
      <c r="E268" s="22"/>
      <c r="F268" s="23" t="s">
        <v>34</v>
      </c>
      <c r="G268" s="4"/>
      <c r="H268" s="24"/>
      <c r="I268" s="25"/>
    </row>
    <row r="269">
      <c r="A269" s="22"/>
      <c r="B269" s="32"/>
      <c r="C269" s="32"/>
      <c r="D269" s="32"/>
      <c r="E269" s="33" t="s">
        <v>87</v>
      </c>
      <c r="F269" s="3"/>
      <c r="G269" s="4"/>
      <c r="H269" s="34"/>
      <c r="I269" s="35">
        <f>SUM(I246:I266)</f>
        <v>102</v>
      </c>
    </row>
    <row r="271">
      <c r="A271" s="1"/>
      <c r="B271" s="2" t="s">
        <v>115</v>
      </c>
      <c r="C271" s="3"/>
      <c r="D271" s="3"/>
      <c r="E271" s="3"/>
      <c r="F271" s="3"/>
      <c r="G271" s="3"/>
      <c r="H271" s="3"/>
      <c r="I271" s="4"/>
    </row>
    <row r="272">
      <c r="A272" s="5" t="s">
        <v>1</v>
      </c>
      <c r="B272" s="6" t="s">
        <v>2</v>
      </c>
      <c r="C272" s="7" t="s">
        <v>3</v>
      </c>
      <c r="D272" s="8" t="s">
        <v>4</v>
      </c>
      <c r="E272" s="5" t="s">
        <v>5</v>
      </c>
      <c r="F272" s="5" t="s">
        <v>6</v>
      </c>
      <c r="G272" s="5" t="s">
        <v>7</v>
      </c>
      <c r="H272" s="9" t="s">
        <v>8</v>
      </c>
      <c r="I272" s="10" t="s">
        <v>9</v>
      </c>
    </row>
    <row r="273">
      <c r="A273" s="11" t="s">
        <v>10</v>
      </c>
      <c r="B273" s="12">
        <f t="shared" ref="B273:B293" si="70">H246</f>
        <v>19</v>
      </c>
      <c r="C273" s="11"/>
      <c r="D273" s="11"/>
      <c r="E273" s="13">
        <v>6.0</v>
      </c>
      <c r="F273" s="13">
        <v>5.0</v>
      </c>
      <c r="G273" s="12">
        <f t="shared" ref="G273:G293" si="71">E273-F273</f>
        <v>1</v>
      </c>
      <c r="H273" s="12">
        <f t="shared" ref="H273:H293" si="72">B273-C273+D273-G273</f>
        <v>18</v>
      </c>
      <c r="I273" s="14">
        <f t="shared" ref="I273:I293" si="73">G273*6</f>
        <v>6</v>
      </c>
    </row>
    <row r="274">
      <c r="A274" s="11" t="s">
        <v>11</v>
      </c>
      <c r="B274" s="12">
        <f t="shared" si="70"/>
        <v>30</v>
      </c>
      <c r="C274" s="11"/>
      <c r="D274" s="11"/>
      <c r="E274" s="13">
        <v>6.0</v>
      </c>
      <c r="F274" s="13">
        <v>5.0</v>
      </c>
      <c r="G274" s="12">
        <f t="shared" si="71"/>
        <v>1</v>
      </c>
      <c r="H274" s="12">
        <f t="shared" si="72"/>
        <v>29</v>
      </c>
      <c r="I274" s="14">
        <f t="shared" si="73"/>
        <v>6</v>
      </c>
    </row>
    <row r="275">
      <c r="A275" s="11" t="s">
        <v>12</v>
      </c>
      <c r="B275" s="12">
        <f t="shared" si="70"/>
        <v>44</v>
      </c>
      <c r="C275" s="11"/>
      <c r="D275" s="11"/>
      <c r="E275" s="13">
        <v>6.0</v>
      </c>
      <c r="F275" s="13">
        <v>5.0</v>
      </c>
      <c r="G275" s="12">
        <f t="shared" si="71"/>
        <v>1</v>
      </c>
      <c r="H275" s="12">
        <f t="shared" si="72"/>
        <v>43</v>
      </c>
      <c r="I275" s="14">
        <f t="shared" si="73"/>
        <v>6</v>
      </c>
    </row>
    <row r="276">
      <c r="A276" s="11" t="s">
        <v>13</v>
      </c>
      <c r="B276" s="12">
        <f t="shared" si="70"/>
        <v>42</v>
      </c>
      <c r="C276" s="11"/>
      <c r="D276" s="11"/>
      <c r="E276" s="13">
        <v>7.0</v>
      </c>
      <c r="F276" s="13">
        <v>5.0</v>
      </c>
      <c r="G276" s="12">
        <f t="shared" si="71"/>
        <v>2</v>
      </c>
      <c r="H276" s="12">
        <f t="shared" si="72"/>
        <v>40</v>
      </c>
      <c r="I276" s="14">
        <f t="shared" si="73"/>
        <v>12</v>
      </c>
    </row>
    <row r="277">
      <c r="A277" s="11" t="s">
        <v>14</v>
      </c>
      <c r="B277" s="12">
        <f t="shared" si="70"/>
        <v>12</v>
      </c>
      <c r="C277" s="11"/>
      <c r="D277" s="11"/>
      <c r="E277" s="13">
        <v>4.0</v>
      </c>
      <c r="F277" s="13">
        <v>1.0</v>
      </c>
      <c r="G277" s="12">
        <f t="shared" si="71"/>
        <v>3</v>
      </c>
      <c r="H277" s="12">
        <f t="shared" si="72"/>
        <v>9</v>
      </c>
      <c r="I277" s="14">
        <f t="shared" si="73"/>
        <v>18</v>
      </c>
    </row>
    <row r="278">
      <c r="A278" s="11" t="s">
        <v>15</v>
      </c>
      <c r="B278" s="12">
        <f t="shared" si="70"/>
        <v>20</v>
      </c>
      <c r="C278" s="11"/>
      <c r="D278" s="11"/>
      <c r="E278" s="13">
        <v>6.0</v>
      </c>
      <c r="F278" s="13">
        <v>4.0</v>
      </c>
      <c r="G278" s="12">
        <f t="shared" si="71"/>
        <v>2</v>
      </c>
      <c r="H278" s="12">
        <f t="shared" si="72"/>
        <v>18</v>
      </c>
      <c r="I278" s="14">
        <f t="shared" si="73"/>
        <v>12</v>
      </c>
    </row>
    <row r="279">
      <c r="A279" s="11" t="s">
        <v>16</v>
      </c>
      <c r="B279" s="12">
        <f t="shared" si="70"/>
        <v>18</v>
      </c>
      <c r="C279" s="11"/>
      <c r="D279" s="11"/>
      <c r="E279" s="13">
        <v>5.0</v>
      </c>
      <c r="F279" s="13">
        <v>3.0</v>
      </c>
      <c r="G279" s="12">
        <f t="shared" si="71"/>
        <v>2</v>
      </c>
      <c r="H279" s="12">
        <f t="shared" si="72"/>
        <v>16</v>
      </c>
      <c r="I279" s="14">
        <f t="shared" si="73"/>
        <v>12</v>
      </c>
    </row>
    <row r="280">
      <c r="A280" s="11" t="s">
        <v>17</v>
      </c>
      <c r="B280" s="12">
        <f t="shared" si="70"/>
        <v>32</v>
      </c>
      <c r="C280" s="11"/>
      <c r="D280" s="11"/>
      <c r="E280" s="13">
        <v>4.0</v>
      </c>
      <c r="F280" s="13">
        <v>4.0</v>
      </c>
      <c r="G280" s="12">
        <f t="shared" si="71"/>
        <v>0</v>
      </c>
      <c r="H280" s="12">
        <f t="shared" si="72"/>
        <v>32</v>
      </c>
      <c r="I280" s="14">
        <f t="shared" si="73"/>
        <v>0</v>
      </c>
    </row>
    <row r="281">
      <c r="A281" s="11" t="s">
        <v>18</v>
      </c>
      <c r="B281" s="12">
        <f t="shared" si="70"/>
        <v>25</v>
      </c>
      <c r="C281" s="11"/>
      <c r="D281" s="11"/>
      <c r="E281" s="13">
        <v>6.0</v>
      </c>
      <c r="F281" s="13">
        <v>4.0</v>
      </c>
      <c r="G281" s="12">
        <f t="shared" si="71"/>
        <v>2</v>
      </c>
      <c r="H281" s="12">
        <f t="shared" si="72"/>
        <v>23</v>
      </c>
      <c r="I281" s="14">
        <f t="shared" si="73"/>
        <v>12</v>
      </c>
    </row>
    <row r="282">
      <c r="A282" s="11" t="s">
        <v>19</v>
      </c>
      <c r="B282" s="12">
        <f t="shared" si="70"/>
        <v>21</v>
      </c>
      <c r="C282" s="11"/>
      <c r="D282" s="11"/>
      <c r="E282" s="13">
        <v>6.0</v>
      </c>
      <c r="F282" s="13">
        <v>4.0</v>
      </c>
      <c r="G282" s="12">
        <f t="shared" si="71"/>
        <v>2</v>
      </c>
      <c r="H282" s="12">
        <f t="shared" si="72"/>
        <v>19</v>
      </c>
      <c r="I282" s="14">
        <f t="shared" si="73"/>
        <v>12</v>
      </c>
    </row>
    <row r="283">
      <c r="A283" s="11" t="s">
        <v>20</v>
      </c>
      <c r="B283" s="12">
        <f t="shared" si="70"/>
        <v>30</v>
      </c>
      <c r="C283" s="11"/>
      <c r="D283" s="11"/>
      <c r="E283" s="13">
        <v>6.0</v>
      </c>
      <c r="F283" s="13">
        <v>4.0</v>
      </c>
      <c r="G283" s="12">
        <f t="shared" si="71"/>
        <v>2</v>
      </c>
      <c r="H283" s="12">
        <f t="shared" si="72"/>
        <v>28</v>
      </c>
      <c r="I283" s="14">
        <f t="shared" si="73"/>
        <v>12</v>
      </c>
    </row>
    <row r="284">
      <c r="A284" s="11" t="s">
        <v>21</v>
      </c>
      <c r="B284" s="12">
        <f t="shared" si="70"/>
        <v>17</v>
      </c>
      <c r="C284" s="11"/>
      <c r="D284" s="11"/>
      <c r="E284" s="13">
        <v>2.0</v>
      </c>
      <c r="F284" s="13">
        <v>2.0</v>
      </c>
      <c r="G284" s="12">
        <f t="shared" si="71"/>
        <v>0</v>
      </c>
      <c r="H284" s="12">
        <f t="shared" si="72"/>
        <v>17</v>
      </c>
      <c r="I284" s="14">
        <f t="shared" si="73"/>
        <v>0</v>
      </c>
    </row>
    <row r="285">
      <c r="A285" s="11" t="s">
        <v>22</v>
      </c>
      <c r="B285" s="12">
        <f t="shared" si="70"/>
        <v>13</v>
      </c>
      <c r="C285" s="11"/>
      <c r="D285" s="11"/>
      <c r="E285" s="13">
        <v>5.0</v>
      </c>
      <c r="F285" s="13">
        <v>4.0</v>
      </c>
      <c r="G285" s="12">
        <f t="shared" si="71"/>
        <v>1</v>
      </c>
      <c r="H285" s="12">
        <f t="shared" si="72"/>
        <v>12</v>
      </c>
      <c r="I285" s="14">
        <f t="shared" si="73"/>
        <v>6</v>
      </c>
    </row>
    <row r="286">
      <c r="A286" s="11" t="s">
        <v>23</v>
      </c>
      <c r="B286" s="12">
        <f t="shared" si="70"/>
        <v>2</v>
      </c>
      <c r="C286" s="11"/>
      <c r="D286" s="13">
        <v>29.0</v>
      </c>
      <c r="E286" s="13">
        <v>6.0</v>
      </c>
      <c r="F286" s="13">
        <v>4.0</v>
      </c>
      <c r="G286" s="12">
        <f t="shared" si="71"/>
        <v>2</v>
      </c>
      <c r="H286" s="12">
        <f t="shared" si="72"/>
        <v>29</v>
      </c>
      <c r="I286" s="14">
        <f t="shared" si="73"/>
        <v>12</v>
      </c>
    </row>
    <row r="287">
      <c r="A287" s="11" t="s">
        <v>24</v>
      </c>
      <c r="B287" s="12">
        <f t="shared" si="70"/>
        <v>19</v>
      </c>
      <c r="C287" s="11"/>
      <c r="D287" s="11"/>
      <c r="E287" s="13">
        <v>4.0</v>
      </c>
      <c r="F287" s="13">
        <v>2.0</v>
      </c>
      <c r="G287" s="12">
        <f t="shared" si="71"/>
        <v>2</v>
      </c>
      <c r="H287" s="12">
        <f t="shared" si="72"/>
        <v>17</v>
      </c>
      <c r="I287" s="14">
        <f t="shared" si="73"/>
        <v>12</v>
      </c>
    </row>
    <row r="288">
      <c r="A288" s="11" t="s">
        <v>25</v>
      </c>
      <c r="B288" s="12">
        <f t="shared" si="70"/>
        <v>31</v>
      </c>
      <c r="C288" s="13">
        <v>1.0</v>
      </c>
      <c r="D288" s="11"/>
      <c r="E288" s="13">
        <v>8.0</v>
      </c>
      <c r="F288" s="13">
        <v>0.0</v>
      </c>
      <c r="G288" s="12">
        <f t="shared" si="71"/>
        <v>8</v>
      </c>
      <c r="H288" s="12">
        <f t="shared" si="72"/>
        <v>22</v>
      </c>
      <c r="I288" s="14">
        <f t="shared" si="73"/>
        <v>48</v>
      </c>
    </row>
    <row r="289">
      <c r="A289" s="11" t="s">
        <v>26</v>
      </c>
      <c r="B289" s="12">
        <f t="shared" si="70"/>
        <v>7</v>
      </c>
      <c r="C289" s="11"/>
      <c r="D289" s="11"/>
      <c r="E289" s="13">
        <v>6.0</v>
      </c>
      <c r="F289" s="13">
        <v>5.0</v>
      </c>
      <c r="G289" s="12">
        <f t="shared" si="71"/>
        <v>1</v>
      </c>
      <c r="H289" s="12">
        <f t="shared" si="72"/>
        <v>6</v>
      </c>
      <c r="I289" s="14">
        <f t="shared" si="73"/>
        <v>6</v>
      </c>
    </row>
    <row r="290">
      <c r="A290" s="11" t="s">
        <v>27</v>
      </c>
      <c r="B290" s="12">
        <f t="shared" si="70"/>
        <v>22</v>
      </c>
      <c r="C290" s="11"/>
      <c r="D290" s="11"/>
      <c r="E290" s="13">
        <v>4.0</v>
      </c>
      <c r="F290" s="13">
        <v>2.0</v>
      </c>
      <c r="G290" s="12">
        <f t="shared" si="71"/>
        <v>2</v>
      </c>
      <c r="H290" s="12">
        <f t="shared" si="72"/>
        <v>20</v>
      </c>
      <c r="I290" s="14">
        <f t="shared" si="73"/>
        <v>12</v>
      </c>
    </row>
    <row r="291">
      <c r="A291" s="11" t="s">
        <v>28</v>
      </c>
      <c r="B291" s="12">
        <f t="shared" si="70"/>
        <v>8</v>
      </c>
      <c r="C291" s="11"/>
      <c r="D291" s="13">
        <v>34.0</v>
      </c>
      <c r="E291" s="13">
        <v>8.0</v>
      </c>
      <c r="F291" s="13">
        <v>3.0</v>
      </c>
      <c r="G291" s="12">
        <f t="shared" si="71"/>
        <v>5</v>
      </c>
      <c r="H291" s="12">
        <f t="shared" si="72"/>
        <v>37</v>
      </c>
      <c r="I291" s="14">
        <f t="shared" si="73"/>
        <v>30</v>
      </c>
    </row>
    <row r="292">
      <c r="A292" s="11" t="s">
        <v>30</v>
      </c>
      <c r="B292" s="12">
        <f t="shared" si="70"/>
        <v>23</v>
      </c>
      <c r="C292" s="11"/>
      <c r="D292" s="11"/>
      <c r="E292" s="13">
        <v>2.0</v>
      </c>
      <c r="F292" s="13">
        <v>2.0</v>
      </c>
      <c r="G292" s="12">
        <f t="shared" si="71"/>
        <v>0</v>
      </c>
      <c r="H292" s="12">
        <f t="shared" si="72"/>
        <v>23</v>
      </c>
      <c r="I292" s="14">
        <f t="shared" si="73"/>
        <v>0</v>
      </c>
    </row>
    <row r="293">
      <c r="A293" s="18" t="s">
        <v>86</v>
      </c>
      <c r="B293" s="12">
        <f t="shared" si="70"/>
        <v>31</v>
      </c>
      <c r="C293" s="11"/>
      <c r="D293" s="11"/>
      <c r="E293" s="13">
        <v>4.0</v>
      </c>
      <c r="F293" s="13">
        <v>4.0</v>
      </c>
      <c r="G293" s="12">
        <f t="shared" si="71"/>
        <v>0</v>
      </c>
      <c r="H293" s="12">
        <f t="shared" si="72"/>
        <v>31</v>
      </c>
      <c r="I293" s="14">
        <f t="shared" si="73"/>
        <v>0</v>
      </c>
    </row>
    <row r="294">
      <c r="A294" s="19" t="s">
        <v>33</v>
      </c>
      <c r="B294" s="20">
        <f>SUM(B273:B293)</f>
        <v>466</v>
      </c>
      <c r="C294" s="19"/>
      <c r="D294" s="19"/>
      <c r="E294" s="20">
        <f t="shared" ref="E294:G294" si="74">SUM(E272:E293)</f>
        <v>111</v>
      </c>
      <c r="F294" s="20">
        <f t="shared" si="74"/>
        <v>72</v>
      </c>
      <c r="G294" s="20">
        <f t="shared" si="74"/>
        <v>39</v>
      </c>
      <c r="H294" s="20">
        <f t="shared" ref="H294:I294" si="75">SUM(H273:H293)</f>
        <v>489</v>
      </c>
      <c r="I294" s="21">
        <f t="shared" si="75"/>
        <v>234</v>
      </c>
    </row>
    <row r="295">
      <c r="A295" s="22"/>
      <c r="B295" s="22"/>
      <c r="C295" s="22"/>
      <c r="D295" s="22"/>
      <c r="E295" s="22"/>
      <c r="F295" s="23" t="s">
        <v>34</v>
      </c>
      <c r="G295" s="4"/>
      <c r="H295" s="24"/>
      <c r="I295" s="25"/>
    </row>
    <row r="296">
      <c r="A296" s="22"/>
      <c r="B296" s="32"/>
      <c r="C296" s="32"/>
      <c r="D296" s="32"/>
      <c r="E296" s="33" t="s">
        <v>87</v>
      </c>
      <c r="F296" s="3"/>
      <c r="G296" s="4"/>
      <c r="H296" s="34"/>
      <c r="I296" s="35">
        <f>SUM(I273:I293)</f>
        <v>234</v>
      </c>
    </row>
    <row r="298">
      <c r="A298" s="1"/>
      <c r="B298" s="2" t="s">
        <v>116</v>
      </c>
      <c r="C298" s="3"/>
      <c r="D298" s="3"/>
      <c r="E298" s="3"/>
      <c r="F298" s="3"/>
      <c r="G298" s="3"/>
      <c r="H298" s="3"/>
      <c r="I298" s="4"/>
    </row>
    <row r="299">
      <c r="A299" s="5" t="s">
        <v>1</v>
      </c>
      <c r="B299" s="6" t="s">
        <v>2</v>
      </c>
      <c r="C299" s="7" t="s">
        <v>3</v>
      </c>
      <c r="D299" s="8" t="s">
        <v>4</v>
      </c>
      <c r="E299" s="5" t="s">
        <v>5</v>
      </c>
      <c r="F299" s="5" t="s">
        <v>6</v>
      </c>
      <c r="G299" s="5" t="s">
        <v>7</v>
      </c>
      <c r="H299" s="9" t="s">
        <v>8</v>
      </c>
      <c r="I299" s="10" t="s">
        <v>9</v>
      </c>
    </row>
    <row r="300">
      <c r="A300" s="11" t="s">
        <v>10</v>
      </c>
      <c r="B300" s="12">
        <f t="shared" ref="B300:B320" si="76">H273</f>
        <v>18</v>
      </c>
      <c r="C300" s="11"/>
      <c r="D300" s="11"/>
      <c r="E300" s="13">
        <v>6.0</v>
      </c>
      <c r="F300" s="13">
        <v>5.0</v>
      </c>
      <c r="G300" s="12">
        <f t="shared" ref="G300:G320" si="77">E300-F300</f>
        <v>1</v>
      </c>
      <c r="H300" s="12">
        <f t="shared" ref="H300:H320" si="78">B300-C300+D300-G300</f>
        <v>17</v>
      </c>
      <c r="I300" s="14">
        <f t="shared" ref="I300:I320" si="79">G300*6</f>
        <v>6</v>
      </c>
    </row>
    <row r="301">
      <c r="A301" s="11" t="s">
        <v>11</v>
      </c>
      <c r="B301" s="12">
        <f t="shared" si="76"/>
        <v>29</v>
      </c>
      <c r="C301" s="11"/>
      <c r="D301" s="11"/>
      <c r="E301" s="13">
        <v>6.0</v>
      </c>
      <c r="F301" s="13">
        <v>5.0</v>
      </c>
      <c r="G301" s="12">
        <f t="shared" si="77"/>
        <v>1</v>
      </c>
      <c r="H301" s="12">
        <f t="shared" si="78"/>
        <v>28</v>
      </c>
      <c r="I301" s="14">
        <f t="shared" si="79"/>
        <v>6</v>
      </c>
    </row>
    <row r="302">
      <c r="A302" s="11" t="s">
        <v>12</v>
      </c>
      <c r="B302" s="12">
        <f t="shared" si="76"/>
        <v>43</v>
      </c>
      <c r="C302" s="11"/>
      <c r="D302" s="11"/>
      <c r="E302" s="13">
        <v>6.0</v>
      </c>
      <c r="F302" s="13">
        <v>6.0</v>
      </c>
      <c r="G302" s="12">
        <f t="shared" si="77"/>
        <v>0</v>
      </c>
      <c r="H302" s="12">
        <f t="shared" si="78"/>
        <v>43</v>
      </c>
      <c r="I302" s="14">
        <f t="shared" si="79"/>
        <v>0</v>
      </c>
    </row>
    <row r="303">
      <c r="A303" s="11" t="s">
        <v>13</v>
      </c>
      <c r="B303" s="12">
        <f t="shared" si="76"/>
        <v>40</v>
      </c>
      <c r="C303" s="11"/>
      <c r="D303" s="11"/>
      <c r="E303" s="13">
        <v>7.0</v>
      </c>
      <c r="F303" s="13">
        <v>5.0</v>
      </c>
      <c r="G303" s="12">
        <f t="shared" si="77"/>
        <v>2</v>
      </c>
      <c r="H303" s="12">
        <f t="shared" si="78"/>
        <v>38</v>
      </c>
      <c r="I303" s="14">
        <f t="shared" si="79"/>
        <v>12</v>
      </c>
    </row>
    <row r="304">
      <c r="A304" s="11" t="s">
        <v>14</v>
      </c>
      <c r="B304" s="12">
        <f t="shared" si="76"/>
        <v>9</v>
      </c>
      <c r="C304" s="11"/>
      <c r="D304" s="11"/>
      <c r="E304" s="13">
        <v>4.0</v>
      </c>
      <c r="F304" s="13">
        <v>3.0</v>
      </c>
      <c r="G304" s="12">
        <f t="shared" si="77"/>
        <v>1</v>
      </c>
      <c r="H304" s="12">
        <f t="shared" si="78"/>
        <v>8</v>
      </c>
      <c r="I304" s="14">
        <f t="shared" si="79"/>
        <v>6</v>
      </c>
    </row>
    <row r="305">
      <c r="A305" s="11" t="s">
        <v>15</v>
      </c>
      <c r="B305" s="12">
        <f t="shared" si="76"/>
        <v>18</v>
      </c>
      <c r="C305" s="11"/>
      <c r="D305" s="11"/>
      <c r="E305" s="13">
        <v>6.0</v>
      </c>
      <c r="F305" s="13">
        <v>5.0</v>
      </c>
      <c r="G305" s="12">
        <f t="shared" si="77"/>
        <v>1</v>
      </c>
      <c r="H305" s="12">
        <f t="shared" si="78"/>
        <v>17</v>
      </c>
      <c r="I305" s="14">
        <f t="shared" si="79"/>
        <v>6</v>
      </c>
    </row>
    <row r="306">
      <c r="A306" s="11" t="s">
        <v>16</v>
      </c>
      <c r="B306" s="12">
        <f t="shared" si="76"/>
        <v>16</v>
      </c>
      <c r="C306" s="11"/>
      <c r="D306" s="11"/>
      <c r="E306" s="13">
        <v>5.0</v>
      </c>
      <c r="F306" s="13">
        <v>3.0</v>
      </c>
      <c r="G306" s="12">
        <f t="shared" si="77"/>
        <v>2</v>
      </c>
      <c r="H306" s="12">
        <f t="shared" si="78"/>
        <v>14</v>
      </c>
      <c r="I306" s="14">
        <f t="shared" si="79"/>
        <v>12</v>
      </c>
    </row>
    <row r="307">
      <c r="A307" s="11" t="s">
        <v>17</v>
      </c>
      <c r="B307" s="12">
        <f t="shared" si="76"/>
        <v>32</v>
      </c>
      <c r="C307" s="11"/>
      <c r="D307" s="11"/>
      <c r="E307" s="13">
        <v>4.0</v>
      </c>
      <c r="F307" s="13">
        <v>2.0</v>
      </c>
      <c r="G307" s="12">
        <f t="shared" si="77"/>
        <v>2</v>
      </c>
      <c r="H307" s="12">
        <f t="shared" si="78"/>
        <v>30</v>
      </c>
      <c r="I307" s="14">
        <f t="shared" si="79"/>
        <v>12</v>
      </c>
    </row>
    <row r="308">
      <c r="A308" s="11" t="s">
        <v>18</v>
      </c>
      <c r="B308" s="12">
        <f t="shared" si="76"/>
        <v>23</v>
      </c>
      <c r="C308" s="11"/>
      <c r="D308" s="11"/>
      <c r="E308" s="13">
        <v>6.0</v>
      </c>
      <c r="F308" s="13">
        <v>6.0</v>
      </c>
      <c r="G308" s="12">
        <f t="shared" si="77"/>
        <v>0</v>
      </c>
      <c r="H308" s="12">
        <f t="shared" si="78"/>
        <v>23</v>
      </c>
      <c r="I308" s="14">
        <f t="shared" si="79"/>
        <v>0</v>
      </c>
    </row>
    <row r="309">
      <c r="A309" s="11" t="s">
        <v>19</v>
      </c>
      <c r="B309" s="12">
        <f t="shared" si="76"/>
        <v>19</v>
      </c>
      <c r="C309" s="11"/>
      <c r="D309" s="11"/>
      <c r="E309" s="13">
        <v>6.0</v>
      </c>
      <c r="F309" s="13">
        <v>3.0</v>
      </c>
      <c r="G309" s="12">
        <f t="shared" si="77"/>
        <v>3</v>
      </c>
      <c r="H309" s="12">
        <f t="shared" si="78"/>
        <v>16</v>
      </c>
      <c r="I309" s="14">
        <f t="shared" si="79"/>
        <v>18</v>
      </c>
    </row>
    <row r="310">
      <c r="A310" s="11" t="s">
        <v>20</v>
      </c>
      <c r="B310" s="12">
        <f t="shared" si="76"/>
        <v>28</v>
      </c>
      <c r="C310" s="11"/>
      <c r="D310" s="11"/>
      <c r="E310" s="13">
        <v>6.0</v>
      </c>
      <c r="F310" s="13">
        <v>6.0</v>
      </c>
      <c r="G310" s="12">
        <f t="shared" si="77"/>
        <v>0</v>
      </c>
      <c r="H310" s="12">
        <f t="shared" si="78"/>
        <v>28</v>
      </c>
      <c r="I310" s="14">
        <f t="shared" si="79"/>
        <v>0</v>
      </c>
    </row>
    <row r="311">
      <c r="A311" s="11" t="s">
        <v>21</v>
      </c>
      <c r="B311" s="12">
        <f t="shared" si="76"/>
        <v>17</v>
      </c>
      <c r="C311" s="11"/>
      <c r="D311" s="11"/>
      <c r="E311" s="13">
        <v>2.0</v>
      </c>
      <c r="F311" s="13">
        <v>2.0</v>
      </c>
      <c r="G311" s="12">
        <f t="shared" si="77"/>
        <v>0</v>
      </c>
      <c r="H311" s="12">
        <f t="shared" si="78"/>
        <v>17</v>
      </c>
      <c r="I311" s="14">
        <f t="shared" si="79"/>
        <v>0</v>
      </c>
    </row>
    <row r="312">
      <c r="A312" s="11" t="s">
        <v>22</v>
      </c>
      <c r="B312" s="12">
        <f t="shared" si="76"/>
        <v>12</v>
      </c>
      <c r="C312" s="11"/>
      <c r="D312" s="11"/>
      <c r="E312" s="13">
        <v>5.0</v>
      </c>
      <c r="F312" s="13">
        <v>3.0</v>
      </c>
      <c r="G312" s="12">
        <f t="shared" si="77"/>
        <v>2</v>
      </c>
      <c r="H312" s="12">
        <f t="shared" si="78"/>
        <v>10</v>
      </c>
      <c r="I312" s="14">
        <f t="shared" si="79"/>
        <v>12</v>
      </c>
    </row>
    <row r="313">
      <c r="A313" s="11" t="s">
        <v>23</v>
      </c>
      <c r="B313" s="12">
        <f t="shared" si="76"/>
        <v>29</v>
      </c>
      <c r="C313" s="11"/>
      <c r="D313" s="11"/>
      <c r="E313" s="13">
        <v>6.0</v>
      </c>
      <c r="F313" s="13">
        <v>2.0</v>
      </c>
      <c r="G313" s="12">
        <f t="shared" si="77"/>
        <v>4</v>
      </c>
      <c r="H313" s="12">
        <f t="shared" si="78"/>
        <v>25</v>
      </c>
      <c r="I313" s="14">
        <f t="shared" si="79"/>
        <v>24</v>
      </c>
    </row>
    <row r="314">
      <c r="A314" s="11" t="s">
        <v>24</v>
      </c>
      <c r="B314" s="12">
        <f t="shared" si="76"/>
        <v>17</v>
      </c>
      <c r="C314" s="13">
        <v>1.0</v>
      </c>
      <c r="D314" s="11"/>
      <c r="E314" s="13">
        <v>4.0</v>
      </c>
      <c r="F314" s="13">
        <v>4.0</v>
      </c>
      <c r="G314" s="12">
        <f t="shared" si="77"/>
        <v>0</v>
      </c>
      <c r="H314" s="12">
        <f t="shared" si="78"/>
        <v>16</v>
      </c>
      <c r="I314" s="14">
        <f t="shared" si="79"/>
        <v>0</v>
      </c>
    </row>
    <row r="315">
      <c r="A315" s="11" t="s">
        <v>25</v>
      </c>
      <c r="B315" s="12">
        <f t="shared" si="76"/>
        <v>22</v>
      </c>
      <c r="C315" s="11"/>
      <c r="D315" s="11"/>
      <c r="E315" s="13">
        <v>8.0</v>
      </c>
      <c r="F315" s="13">
        <v>0.0</v>
      </c>
      <c r="G315" s="12">
        <f t="shared" si="77"/>
        <v>8</v>
      </c>
      <c r="H315" s="12">
        <f t="shared" si="78"/>
        <v>14</v>
      </c>
      <c r="I315" s="14">
        <f t="shared" si="79"/>
        <v>48</v>
      </c>
    </row>
    <row r="316">
      <c r="A316" s="11" t="s">
        <v>26</v>
      </c>
      <c r="B316" s="12">
        <f t="shared" si="76"/>
        <v>6</v>
      </c>
      <c r="C316" s="11"/>
      <c r="D316" s="13">
        <v>28.0</v>
      </c>
      <c r="E316" s="13">
        <v>6.0</v>
      </c>
      <c r="F316" s="13">
        <v>3.0</v>
      </c>
      <c r="G316" s="12">
        <f t="shared" si="77"/>
        <v>3</v>
      </c>
      <c r="H316" s="12">
        <f t="shared" si="78"/>
        <v>31</v>
      </c>
      <c r="I316" s="14">
        <f t="shared" si="79"/>
        <v>18</v>
      </c>
    </row>
    <row r="317">
      <c r="A317" s="11" t="s">
        <v>27</v>
      </c>
      <c r="B317" s="12">
        <f t="shared" si="76"/>
        <v>20</v>
      </c>
      <c r="C317" s="11"/>
      <c r="D317" s="11"/>
      <c r="E317" s="13">
        <v>4.0</v>
      </c>
      <c r="F317" s="13">
        <v>4.0</v>
      </c>
      <c r="G317" s="12">
        <f t="shared" si="77"/>
        <v>0</v>
      </c>
      <c r="H317" s="12">
        <f t="shared" si="78"/>
        <v>20</v>
      </c>
      <c r="I317" s="14">
        <f t="shared" si="79"/>
        <v>0</v>
      </c>
    </row>
    <row r="318">
      <c r="A318" s="11" t="s">
        <v>28</v>
      </c>
      <c r="B318" s="12">
        <f t="shared" si="76"/>
        <v>37</v>
      </c>
      <c r="C318" s="11"/>
      <c r="D318" s="11"/>
      <c r="E318" s="13">
        <v>8.0</v>
      </c>
      <c r="F318" s="13">
        <v>0.0</v>
      </c>
      <c r="G318" s="12">
        <f t="shared" si="77"/>
        <v>8</v>
      </c>
      <c r="H318" s="12">
        <f t="shared" si="78"/>
        <v>29</v>
      </c>
      <c r="I318" s="14">
        <f t="shared" si="79"/>
        <v>48</v>
      </c>
    </row>
    <row r="319">
      <c r="A319" s="11" t="s">
        <v>30</v>
      </c>
      <c r="B319" s="12">
        <f t="shared" si="76"/>
        <v>23</v>
      </c>
      <c r="C319" s="11"/>
      <c r="D319" s="11"/>
      <c r="E319" s="13">
        <v>2.0</v>
      </c>
      <c r="F319" s="13">
        <v>2.0</v>
      </c>
      <c r="G319" s="12">
        <f t="shared" si="77"/>
        <v>0</v>
      </c>
      <c r="H319" s="12">
        <f t="shared" si="78"/>
        <v>23</v>
      </c>
      <c r="I319" s="14">
        <f t="shared" si="79"/>
        <v>0</v>
      </c>
    </row>
    <row r="320">
      <c r="A320" s="18" t="s">
        <v>86</v>
      </c>
      <c r="B320" s="12">
        <f t="shared" si="76"/>
        <v>31</v>
      </c>
      <c r="C320" s="11"/>
      <c r="D320" s="11"/>
      <c r="E320" s="13">
        <v>4.0</v>
      </c>
      <c r="F320" s="13">
        <v>4.0</v>
      </c>
      <c r="G320" s="12">
        <f t="shared" si="77"/>
        <v>0</v>
      </c>
      <c r="H320" s="12">
        <f t="shared" si="78"/>
        <v>31</v>
      </c>
      <c r="I320" s="14">
        <f t="shared" si="79"/>
        <v>0</v>
      </c>
    </row>
    <row r="321">
      <c r="A321" s="19" t="s">
        <v>33</v>
      </c>
      <c r="B321" s="20">
        <f>SUM(B300:B320)</f>
        <v>489</v>
      </c>
      <c r="C321" s="19"/>
      <c r="D321" s="19"/>
      <c r="E321" s="20">
        <f t="shared" ref="E321:G321" si="80">SUM(E299:E320)</f>
        <v>111</v>
      </c>
      <c r="F321" s="20">
        <f t="shared" si="80"/>
        <v>73</v>
      </c>
      <c r="G321" s="20">
        <f t="shared" si="80"/>
        <v>38</v>
      </c>
      <c r="H321" s="20">
        <f>SUM(H300:H320)</f>
        <v>478</v>
      </c>
      <c r="I321" s="21">
        <f>SUM(I299:I320)</f>
        <v>228</v>
      </c>
    </row>
    <row r="322">
      <c r="A322" s="22"/>
      <c r="B322" s="22"/>
      <c r="C322" s="22"/>
      <c r="D322" s="22"/>
      <c r="E322" s="22"/>
      <c r="F322" s="23" t="s">
        <v>34</v>
      </c>
      <c r="G322" s="4"/>
      <c r="H322" s="24"/>
      <c r="I322" s="25"/>
    </row>
    <row r="323">
      <c r="A323" s="22"/>
      <c r="B323" s="32"/>
      <c r="C323" s="32"/>
      <c r="D323" s="32"/>
      <c r="E323" s="33" t="s">
        <v>87</v>
      </c>
      <c r="F323" s="3"/>
      <c r="G323" s="4"/>
      <c r="H323" s="34"/>
      <c r="I323" s="35">
        <f>SUM(I300:I320)</f>
        <v>228</v>
      </c>
    </row>
    <row r="325">
      <c r="A325" s="1"/>
      <c r="B325" s="2" t="s">
        <v>117</v>
      </c>
      <c r="C325" s="3"/>
      <c r="D325" s="3"/>
      <c r="E325" s="3"/>
      <c r="F325" s="3"/>
      <c r="G325" s="3"/>
      <c r="H325" s="3"/>
      <c r="I325" s="4"/>
    </row>
    <row r="326">
      <c r="A326" s="5" t="s">
        <v>1</v>
      </c>
      <c r="B326" s="6" t="s">
        <v>2</v>
      </c>
      <c r="C326" s="7" t="s">
        <v>3</v>
      </c>
      <c r="D326" s="8" t="s">
        <v>4</v>
      </c>
      <c r="E326" s="5" t="s">
        <v>5</v>
      </c>
      <c r="F326" s="5" t="s">
        <v>6</v>
      </c>
      <c r="G326" s="5" t="s">
        <v>7</v>
      </c>
      <c r="H326" s="9" t="s">
        <v>8</v>
      </c>
      <c r="I326" s="10" t="s">
        <v>9</v>
      </c>
    </row>
    <row r="327">
      <c r="A327" s="11" t="s">
        <v>10</v>
      </c>
      <c r="B327" s="12">
        <f t="shared" ref="B327:B347" si="81">H300</f>
        <v>17</v>
      </c>
      <c r="C327" s="11"/>
      <c r="D327" s="11"/>
      <c r="E327" s="13">
        <v>6.0</v>
      </c>
      <c r="F327" s="13">
        <v>2.0</v>
      </c>
      <c r="G327" s="12">
        <f t="shared" ref="G327:G332" si="82">E327-F327</f>
        <v>4</v>
      </c>
      <c r="H327" s="12">
        <f t="shared" ref="H327:H347" si="83">B327-C327+D327-G327</f>
        <v>13</v>
      </c>
      <c r="I327" s="14">
        <f t="shared" ref="I327:I347" si="84">G327*6</f>
        <v>24</v>
      </c>
    </row>
    <row r="328">
      <c r="A328" s="11" t="s">
        <v>11</v>
      </c>
      <c r="B328" s="12">
        <f t="shared" si="81"/>
        <v>28</v>
      </c>
      <c r="C328" s="11"/>
      <c r="D328" s="11"/>
      <c r="E328" s="13">
        <v>6.0</v>
      </c>
      <c r="F328" s="13">
        <v>5.0</v>
      </c>
      <c r="G328" s="12">
        <f t="shared" si="82"/>
        <v>1</v>
      </c>
      <c r="H328" s="12">
        <f t="shared" si="83"/>
        <v>27</v>
      </c>
      <c r="I328" s="14">
        <f t="shared" si="84"/>
        <v>6</v>
      </c>
    </row>
    <row r="329">
      <c r="A329" s="11" t="s">
        <v>12</v>
      </c>
      <c r="B329" s="12">
        <f t="shared" si="81"/>
        <v>43</v>
      </c>
      <c r="C329" s="13">
        <v>1.0</v>
      </c>
      <c r="D329" s="11"/>
      <c r="E329" s="13">
        <v>6.0</v>
      </c>
      <c r="F329" s="13">
        <v>5.0</v>
      </c>
      <c r="G329" s="12">
        <f t="shared" si="82"/>
        <v>1</v>
      </c>
      <c r="H329" s="12">
        <f t="shared" si="83"/>
        <v>41</v>
      </c>
      <c r="I329" s="14">
        <f t="shared" si="84"/>
        <v>6</v>
      </c>
    </row>
    <row r="330">
      <c r="A330" s="11" t="s">
        <v>13</v>
      </c>
      <c r="B330" s="12">
        <f t="shared" si="81"/>
        <v>38</v>
      </c>
      <c r="C330" s="11"/>
      <c r="D330" s="11"/>
      <c r="E330" s="13">
        <v>7.0</v>
      </c>
      <c r="F330" s="13">
        <v>4.0</v>
      </c>
      <c r="G330" s="12">
        <f t="shared" si="82"/>
        <v>3</v>
      </c>
      <c r="H330" s="12">
        <f t="shared" si="83"/>
        <v>35</v>
      </c>
      <c r="I330" s="14">
        <f t="shared" si="84"/>
        <v>18</v>
      </c>
    </row>
    <row r="331">
      <c r="A331" s="11" t="s">
        <v>14</v>
      </c>
      <c r="B331" s="12">
        <f t="shared" si="81"/>
        <v>8</v>
      </c>
      <c r="C331" s="13">
        <v>4.0</v>
      </c>
      <c r="D331" s="13">
        <v>29.0</v>
      </c>
      <c r="E331" s="13">
        <v>4.0</v>
      </c>
      <c r="F331" s="13">
        <v>4.0</v>
      </c>
      <c r="G331" s="12">
        <f t="shared" si="82"/>
        <v>0</v>
      </c>
      <c r="H331" s="12">
        <f t="shared" si="83"/>
        <v>33</v>
      </c>
      <c r="I331" s="14">
        <f t="shared" si="84"/>
        <v>0</v>
      </c>
    </row>
    <row r="332">
      <c r="A332" s="11" t="s">
        <v>15</v>
      </c>
      <c r="B332" s="12">
        <f t="shared" si="81"/>
        <v>17</v>
      </c>
      <c r="C332" s="11"/>
      <c r="D332" s="11"/>
      <c r="E332" s="13">
        <v>7.0</v>
      </c>
      <c r="F332" s="13">
        <v>7.0</v>
      </c>
      <c r="G332" s="12">
        <f t="shared" si="82"/>
        <v>0</v>
      </c>
      <c r="H332" s="12">
        <f t="shared" si="83"/>
        <v>17</v>
      </c>
      <c r="I332" s="14">
        <f t="shared" si="84"/>
        <v>0</v>
      </c>
    </row>
    <row r="333">
      <c r="A333" s="11" t="s">
        <v>16</v>
      </c>
      <c r="B333" s="12">
        <f t="shared" si="81"/>
        <v>14</v>
      </c>
      <c r="C333" s="11"/>
      <c r="D333" s="11"/>
      <c r="E333" s="13">
        <v>5.0</v>
      </c>
      <c r="F333" s="13">
        <v>4.0</v>
      </c>
      <c r="G333" s="12">
        <f>E333-C333</f>
        <v>5</v>
      </c>
      <c r="H333" s="12">
        <f t="shared" si="83"/>
        <v>9</v>
      </c>
      <c r="I333" s="14">
        <f t="shared" si="84"/>
        <v>30</v>
      </c>
    </row>
    <row r="334">
      <c r="A334" s="11" t="s">
        <v>17</v>
      </c>
      <c r="B334" s="12">
        <f t="shared" si="81"/>
        <v>30</v>
      </c>
      <c r="C334" s="11"/>
      <c r="D334" s="11"/>
      <c r="E334" s="13">
        <v>4.0</v>
      </c>
      <c r="F334" s="13">
        <v>3.0</v>
      </c>
      <c r="G334" s="12">
        <f t="shared" ref="G334:G347" si="85">E334-F334</f>
        <v>1</v>
      </c>
      <c r="H334" s="12">
        <f t="shared" si="83"/>
        <v>29</v>
      </c>
      <c r="I334" s="14">
        <f t="shared" si="84"/>
        <v>6</v>
      </c>
    </row>
    <row r="335">
      <c r="A335" s="11" t="s">
        <v>18</v>
      </c>
      <c r="B335" s="12">
        <f t="shared" si="81"/>
        <v>23</v>
      </c>
      <c r="C335" s="11"/>
      <c r="D335" s="11"/>
      <c r="E335" s="13">
        <v>6.0</v>
      </c>
      <c r="F335" s="13">
        <v>5.0</v>
      </c>
      <c r="G335" s="12">
        <f t="shared" si="85"/>
        <v>1</v>
      </c>
      <c r="H335" s="12">
        <f t="shared" si="83"/>
        <v>22</v>
      </c>
      <c r="I335" s="14">
        <f t="shared" si="84"/>
        <v>6</v>
      </c>
    </row>
    <row r="336">
      <c r="A336" s="11" t="s">
        <v>19</v>
      </c>
      <c r="B336" s="12">
        <f t="shared" si="81"/>
        <v>16</v>
      </c>
      <c r="C336" s="13">
        <v>1.0</v>
      </c>
      <c r="D336" s="11"/>
      <c r="E336" s="13">
        <v>6.0</v>
      </c>
      <c r="F336" s="13">
        <v>4.0</v>
      </c>
      <c r="G336" s="12">
        <f t="shared" si="85"/>
        <v>2</v>
      </c>
      <c r="H336" s="12">
        <f t="shared" si="83"/>
        <v>13</v>
      </c>
      <c r="I336" s="14">
        <f t="shared" si="84"/>
        <v>12</v>
      </c>
    </row>
    <row r="337">
      <c r="A337" s="11" t="s">
        <v>20</v>
      </c>
      <c r="B337" s="12">
        <f t="shared" si="81"/>
        <v>28</v>
      </c>
      <c r="C337" s="11"/>
      <c r="D337" s="11"/>
      <c r="E337" s="13">
        <v>6.0</v>
      </c>
      <c r="F337" s="13">
        <v>5.0</v>
      </c>
      <c r="G337" s="12">
        <f t="shared" si="85"/>
        <v>1</v>
      </c>
      <c r="H337" s="12">
        <f t="shared" si="83"/>
        <v>27</v>
      </c>
      <c r="I337" s="14">
        <f t="shared" si="84"/>
        <v>6</v>
      </c>
    </row>
    <row r="338">
      <c r="A338" s="11" t="s">
        <v>21</v>
      </c>
      <c r="B338" s="12">
        <f t="shared" si="81"/>
        <v>17</v>
      </c>
      <c r="C338" s="11"/>
      <c r="D338" s="11"/>
      <c r="E338" s="13">
        <v>2.0</v>
      </c>
      <c r="F338" s="13">
        <v>1.0</v>
      </c>
      <c r="G338" s="12">
        <f t="shared" si="85"/>
        <v>1</v>
      </c>
      <c r="H338" s="12">
        <f t="shared" si="83"/>
        <v>16</v>
      </c>
      <c r="I338" s="14">
        <f t="shared" si="84"/>
        <v>6</v>
      </c>
    </row>
    <row r="339">
      <c r="A339" s="11" t="s">
        <v>22</v>
      </c>
      <c r="B339" s="12">
        <f t="shared" si="81"/>
        <v>10</v>
      </c>
      <c r="C339" s="11"/>
      <c r="D339" s="11"/>
      <c r="E339" s="13">
        <v>5.0</v>
      </c>
      <c r="F339" s="13">
        <v>5.0</v>
      </c>
      <c r="G339" s="12">
        <f t="shared" si="85"/>
        <v>0</v>
      </c>
      <c r="H339" s="12">
        <f t="shared" si="83"/>
        <v>10</v>
      </c>
      <c r="I339" s="14">
        <f t="shared" si="84"/>
        <v>0</v>
      </c>
    </row>
    <row r="340">
      <c r="A340" s="11" t="s">
        <v>23</v>
      </c>
      <c r="B340" s="12">
        <f t="shared" si="81"/>
        <v>25</v>
      </c>
      <c r="C340" s="11"/>
      <c r="D340" s="11"/>
      <c r="E340" s="13">
        <v>6.0</v>
      </c>
      <c r="F340" s="13">
        <v>5.0</v>
      </c>
      <c r="G340" s="12">
        <f t="shared" si="85"/>
        <v>1</v>
      </c>
      <c r="H340" s="12">
        <f t="shared" si="83"/>
        <v>24</v>
      </c>
      <c r="I340" s="14">
        <f t="shared" si="84"/>
        <v>6</v>
      </c>
    </row>
    <row r="341">
      <c r="A341" s="11" t="s">
        <v>24</v>
      </c>
      <c r="B341" s="12">
        <f t="shared" si="81"/>
        <v>16</v>
      </c>
      <c r="C341" s="13">
        <v>1.0</v>
      </c>
      <c r="D341" s="11"/>
      <c r="E341" s="13">
        <v>4.0</v>
      </c>
      <c r="F341" s="13">
        <v>3.0</v>
      </c>
      <c r="G341" s="12">
        <f t="shared" si="85"/>
        <v>1</v>
      </c>
      <c r="H341" s="12">
        <f t="shared" si="83"/>
        <v>14</v>
      </c>
      <c r="I341" s="14">
        <f t="shared" si="84"/>
        <v>6</v>
      </c>
    </row>
    <row r="342">
      <c r="A342" s="11" t="s">
        <v>25</v>
      </c>
      <c r="B342" s="12">
        <f t="shared" si="81"/>
        <v>14</v>
      </c>
      <c r="C342" s="13">
        <v>3.0</v>
      </c>
      <c r="D342" s="13">
        <v>29.0</v>
      </c>
      <c r="E342" s="13">
        <v>11.0</v>
      </c>
      <c r="F342" s="13">
        <v>4.0</v>
      </c>
      <c r="G342" s="12">
        <f t="shared" si="85"/>
        <v>7</v>
      </c>
      <c r="H342" s="12">
        <f t="shared" si="83"/>
        <v>33</v>
      </c>
      <c r="I342" s="14">
        <f t="shared" si="84"/>
        <v>42</v>
      </c>
    </row>
    <row r="343">
      <c r="A343" s="11" t="s">
        <v>26</v>
      </c>
      <c r="B343" s="12">
        <f t="shared" si="81"/>
        <v>31</v>
      </c>
      <c r="C343" s="11"/>
      <c r="D343" s="11"/>
      <c r="E343" s="13">
        <v>6.0</v>
      </c>
      <c r="F343" s="13">
        <v>5.0</v>
      </c>
      <c r="G343" s="12">
        <f t="shared" si="85"/>
        <v>1</v>
      </c>
      <c r="H343" s="12">
        <f t="shared" si="83"/>
        <v>30</v>
      </c>
      <c r="I343" s="14">
        <f t="shared" si="84"/>
        <v>6</v>
      </c>
    </row>
    <row r="344">
      <c r="A344" s="11" t="s">
        <v>27</v>
      </c>
      <c r="B344" s="12">
        <f t="shared" si="81"/>
        <v>20</v>
      </c>
      <c r="C344" s="11"/>
      <c r="D344" s="11"/>
      <c r="E344" s="13">
        <v>5.0</v>
      </c>
      <c r="F344" s="13">
        <v>5.0</v>
      </c>
      <c r="G344" s="12">
        <f t="shared" si="85"/>
        <v>0</v>
      </c>
      <c r="H344" s="12">
        <f t="shared" si="83"/>
        <v>20</v>
      </c>
      <c r="I344" s="14">
        <f t="shared" si="84"/>
        <v>0</v>
      </c>
    </row>
    <row r="345">
      <c r="A345" s="11" t="s">
        <v>28</v>
      </c>
      <c r="B345" s="12">
        <f t="shared" si="81"/>
        <v>29</v>
      </c>
      <c r="C345" s="11"/>
      <c r="D345" s="11"/>
      <c r="E345" s="13">
        <v>8.0</v>
      </c>
      <c r="F345" s="13">
        <v>6.0</v>
      </c>
      <c r="G345" s="12">
        <f t="shared" si="85"/>
        <v>2</v>
      </c>
      <c r="H345" s="12">
        <f t="shared" si="83"/>
        <v>27</v>
      </c>
      <c r="I345" s="14">
        <f t="shared" si="84"/>
        <v>12</v>
      </c>
    </row>
    <row r="346">
      <c r="A346" s="11" t="s">
        <v>30</v>
      </c>
      <c r="B346" s="12">
        <f t="shared" si="81"/>
        <v>23</v>
      </c>
      <c r="C346" s="11"/>
      <c r="D346" s="11"/>
      <c r="E346" s="13">
        <v>2.0</v>
      </c>
      <c r="F346" s="13">
        <v>1.0</v>
      </c>
      <c r="G346" s="12">
        <f t="shared" si="85"/>
        <v>1</v>
      </c>
      <c r="H346" s="12">
        <f t="shared" si="83"/>
        <v>22</v>
      </c>
      <c r="I346" s="14">
        <f t="shared" si="84"/>
        <v>6</v>
      </c>
    </row>
    <row r="347">
      <c r="A347" s="18" t="s">
        <v>86</v>
      </c>
      <c r="B347" s="12">
        <f t="shared" si="81"/>
        <v>31</v>
      </c>
      <c r="C347" s="11"/>
      <c r="D347" s="11"/>
      <c r="E347" s="13">
        <v>4.0</v>
      </c>
      <c r="F347" s="13">
        <v>4.0</v>
      </c>
      <c r="G347" s="12">
        <f t="shared" si="85"/>
        <v>0</v>
      </c>
      <c r="H347" s="12">
        <f t="shared" si="83"/>
        <v>31</v>
      </c>
      <c r="I347" s="14">
        <f t="shared" si="84"/>
        <v>0</v>
      </c>
    </row>
    <row r="348">
      <c r="A348" s="19" t="s">
        <v>33</v>
      </c>
      <c r="B348" s="20">
        <f>SUM(B327:B347)</f>
        <v>478</v>
      </c>
      <c r="C348" s="19"/>
      <c r="D348" s="19"/>
      <c r="E348" s="20">
        <f t="shared" ref="E348:G348" si="86">SUM(E326:E347)</f>
        <v>116</v>
      </c>
      <c r="F348" s="20">
        <f t="shared" si="86"/>
        <v>87</v>
      </c>
      <c r="G348" s="20">
        <f t="shared" si="86"/>
        <v>33</v>
      </c>
      <c r="H348" s="20">
        <f>SUM(H327:H347)</f>
        <v>493</v>
      </c>
      <c r="I348" s="21">
        <f>SUM(I326:I347)</f>
        <v>198</v>
      </c>
    </row>
    <row r="349">
      <c r="A349" s="22"/>
      <c r="B349" s="22"/>
      <c r="C349" s="22"/>
      <c r="D349" s="22"/>
      <c r="E349" s="22"/>
      <c r="F349" s="23" t="s">
        <v>34</v>
      </c>
      <c r="G349" s="4"/>
      <c r="H349" s="24"/>
      <c r="I349" s="25"/>
    </row>
    <row r="350">
      <c r="A350" s="22"/>
      <c r="B350" s="32"/>
      <c r="C350" s="32"/>
      <c r="D350" s="32"/>
      <c r="E350" s="33" t="s">
        <v>87</v>
      </c>
      <c r="F350" s="3"/>
      <c r="G350" s="4"/>
      <c r="H350" s="34"/>
      <c r="I350" s="35">
        <f>SUM(I327:I347)</f>
        <v>198</v>
      </c>
    </row>
    <row r="352">
      <c r="A352" s="1"/>
      <c r="B352" s="2" t="s">
        <v>118</v>
      </c>
      <c r="C352" s="3"/>
      <c r="D352" s="3"/>
      <c r="E352" s="3"/>
      <c r="F352" s="3"/>
      <c r="G352" s="3"/>
      <c r="H352" s="3"/>
      <c r="I352" s="4"/>
    </row>
    <row r="353">
      <c r="A353" s="5" t="s">
        <v>1</v>
      </c>
      <c r="B353" s="6" t="s">
        <v>2</v>
      </c>
      <c r="C353" s="7" t="s">
        <v>3</v>
      </c>
      <c r="D353" s="8" t="s">
        <v>4</v>
      </c>
      <c r="E353" s="5" t="s">
        <v>5</v>
      </c>
      <c r="F353" s="5" t="s">
        <v>6</v>
      </c>
      <c r="G353" s="5" t="s">
        <v>7</v>
      </c>
      <c r="H353" s="9" t="s">
        <v>8</v>
      </c>
      <c r="I353" s="10" t="s">
        <v>9</v>
      </c>
    </row>
    <row r="354">
      <c r="A354" s="11" t="s">
        <v>10</v>
      </c>
      <c r="B354" s="12">
        <f t="shared" ref="B354:B374" si="87">H327</f>
        <v>13</v>
      </c>
      <c r="C354" s="11"/>
      <c r="D354" s="13">
        <v>34.0</v>
      </c>
      <c r="E354" s="13">
        <v>6.0</v>
      </c>
      <c r="F354" s="13">
        <v>4.0</v>
      </c>
      <c r="G354" s="12">
        <f t="shared" ref="G354:G374" si="88">E354-F354</f>
        <v>2</v>
      </c>
      <c r="H354" s="12">
        <f t="shared" ref="H354:H374" si="89">B354-C354+D354-G354</f>
        <v>45</v>
      </c>
      <c r="I354" s="14">
        <f t="shared" ref="I354:I374" si="90">G354*6</f>
        <v>12</v>
      </c>
    </row>
    <row r="355">
      <c r="A355" s="11" t="s">
        <v>11</v>
      </c>
      <c r="B355" s="12">
        <f t="shared" si="87"/>
        <v>27</v>
      </c>
      <c r="C355" s="11"/>
      <c r="D355" s="11"/>
      <c r="E355" s="13">
        <v>6.0</v>
      </c>
      <c r="F355" s="13">
        <v>3.0</v>
      </c>
      <c r="G355" s="12">
        <f t="shared" si="88"/>
        <v>3</v>
      </c>
      <c r="H355" s="12">
        <f t="shared" si="89"/>
        <v>24</v>
      </c>
      <c r="I355" s="14">
        <f t="shared" si="90"/>
        <v>18</v>
      </c>
    </row>
    <row r="356">
      <c r="A356" s="11" t="s">
        <v>12</v>
      </c>
      <c r="B356" s="12">
        <f t="shared" si="87"/>
        <v>41</v>
      </c>
      <c r="C356" s="11"/>
      <c r="D356" s="11"/>
      <c r="E356" s="13">
        <v>6.0</v>
      </c>
      <c r="F356" s="13">
        <v>6.0</v>
      </c>
      <c r="G356" s="12">
        <f t="shared" si="88"/>
        <v>0</v>
      </c>
      <c r="H356" s="12">
        <f t="shared" si="89"/>
        <v>41</v>
      </c>
      <c r="I356" s="14">
        <f t="shared" si="90"/>
        <v>0</v>
      </c>
    </row>
    <row r="357">
      <c r="A357" s="11" t="s">
        <v>13</v>
      </c>
      <c r="B357" s="12">
        <f t="shared" si="87"/>
        <v>35</v>
      </c>
      <c r="C357" s="11"/>
      <c r="D357" s="11"/>
      <c r="E357" s="13">
        <v>7.0</v>
      </c>
      <c r="F357" s="13">
        <v>7.0</v>
      </c>
      <c r="G357" s="12">
        <f t="shared" si="88"/>
        <v>0</v>
      </c>
      <c r="H357" s="12">
        <f t="shared" si="89"/>
        <v>35</v>
      </c>
      <c r="I357" s="14">
        <f t="shared" si="90"/>
        <v>0</v>
      </c>
    </row>
    <row r="358">
      <c r="A358" s="11" t="s">
        <v>14</v>
      </c>
      <c r="B358" s="12">
        <f t="shared" si="87"/>
        <v>33</v>
      </c>
      <c r="C358" s="11"/>
      <c r="D358" s="11"/>
      <c r="E358" s="13">
        <v>4.0</v>
      </c>
      <c r="F358" s="13">
        <v>2.0</v>
      </c>
      <c r="G358" s="12">
        <f t="shared" si="88"/>
        <v>2</v>
      </c>
      <c r="H358" s="12">
        <f t="shared" si="89"/>
        <v>31</v>
      </c>
      <c r="I358" s="14">
        <f t="shared" si="90"/>
        <v>12</v>
      </c>
    </row>
    <row r="359">
      <c r="A359" s="11" t="s">
        <v>15</v>
      </c>
      <c r="B359" s="12">
        <f t="shared" si="87"/>
        <v>17</v>
      </c>
      <c r="C359" s="11"/>
      <c r="D359" s="11"/>
      <c r="E359" s="13">
        <v>6.0</v>
      </c>
      <c r="F359" s="13">
        <v>2.0</v>
      </c>
      <c r="G359" s="12">
        <f t="shared" si="88"/>
        <v>4</v>
      </c>
      <c r="H359" s="12">
        <f t="shared" si="89"/>
        <v>13</v>
      </c>
      <c r="I359" s="14">
        <f t="shared" si="90"/>
        <v>24</v>
      </c>
    </row>
    <row r="360">
      <c r="A360" s="11" t="s">
        <v>16</v>
      </c>
      <c r="B360" s="12">
        <f t="shared" si="87"/>
        <v>9</v>
      </c>
      <c r="C360" s="11"/>
      <c r="D360" s="11"/>
      <c r="E360" s="13">
        <v>5.0</v>
      </c>
      <c r="F360" s="13">
        <v>5.0</v>
      </c>
      <c r="G360" s="12">
        <f t="shared" si="88"/>
        <v>0</v>
      </c>
      <c r="H360" s="12">
        <f t="shared" si="89"/>
        <v>9</v>
      </c>
      <c r="I360" s="14">
        <f t="shared" si="90"/>
        <v>0</v>
      </c>
    </row>
    <row r="361">
      <c r="A361" s="11" t="s">
        <v>17</v>
      </c>
      <c r="B361" s="12">
        <f t="shared" si="87"/>
        <v>29</v>
      </c>
      <c r="C361" s="11"/>
      <c r="D361" s="11"/>
      <c r="E361" s="13">
        <v>4.0</v>
      </c>
      <c r="F361" s="11"/>
      <c r="G361" s="12">
        <f t="shared" si="88"/>
        <v>4</v>
      </c>
      <c r="H361" s="12">
        <f t="shared" si="89"/>
        <v>25</v>
      </c>
      <c r="I361" s="14">
        <f t="shared" si="90"/>
        <v>24</v>
      </c>
    </row>
    <row r="362">
      <c r="A362" s="11" t="s">
        <v>18</v>
      </c>
      <c r="B362" s="12">
        <f t="shared" si="87"/>
        <v>22</v>
      </c>
      <c r="C362" s="11"/>
      <c r="D362" s="11"/>
      <c r="E362" s="13">
        <v>6.0</v>
      </c>
      <c r="F362" s="13">
        <v>6.0</v>
      </c>
      <c r="G362" s="12">
        <f t="shared" si="88"/>
        <v>0</v>
      </c>
      <c r="H362" s="12">
        <f t="shared" si="89"/>
        <v>22</v>
      </c>
      <c r="I362" s="14">
        <f t="shared" si="90"/>
        <v>0</v>
      </c>
    </row>
    <row r="363">
      <c r="A363" s="11" t="s">
        <v>19</v>
      </c>
      <c r="B363" s="12">
        <f t="shared" si="87"/>
        <v>13</v>
      </c>
      <c r="C363" s="11"/>
      <c r="D363" s="11"/>
      <c r="E363" s="13">
        <v>6.0</v>
      </c>
      <c r="F363" s="13">
        <v>5.0</v>
      </c>
      <c r="G363" s="12">
        <f t="shared" si="88"/>
        <v>1</v>
      </c>
      <c r="H363" s="12">
        <f t="shared" si="89"/>
        <v>12</v>
      </c>
      <c r="I363" s="14">
        <f t="shared" si="90"/>
        <v>6</v>
      </c>
    </row>
    <row r="364">
      <c r="A364" s="11" t="s">
        <v>20</v>
      </c>
      <c r="B364" s="12">
        <f t="shared" si="87"/>
        <v>27</v>
      </c>
      <c r="C364" s="11"/>
      <c r="D364" s="11"/>
      <c r="E364" s="13">
        <v>6.0</v>
      </c>
      <c r="F364" s="13">
        <v>5.0</v>
      </c>
      <c r="G364" s="12">
        <f t="shared" si="88"/>
        <v>1</v>
      </c>
      <c r="H364" s="12">
        <f t="shared" si="89"/>
        <v>26</v>
      </c>
      <c r="I364" s="14">
        <f t="shared" si="90"/>
        <v>6</v>
      </c>
    </row>
    <row r="365">
      <c r="A365" s="11" t="s">
        <v>21</v>
      </c>
      <c r="B365" s="12">
        <f t="shared" si="87"/>
        <v>16</v>
      </c>
      <c r="C365" s="11"/>
      <c r="D365" s="11"/>
      <c r="E365" s="13">
        <v>2.0</v>
      </c>
      <c r="F365" s="13">
        <v>1.0</v>
      </c>
      <c r="G365" s="12">
        <f t="shared" si="88"/>
        <v>1</v>
      </c>
      <c r="H365" s="12">
        <f t="shared" si="89"/>
        <v>15</v>
      </c>
      <c r="I365" s="14">
        <f t="shared" si="90"/>
        <v>6</v>
      </c>
    </row>
    <row r="366">
      <c r="A366" s="11" t="s">
        <v>22</v>
      </c>
      <c r="B366" s="12">
        <f t="shared" si="87"/>
        <v>10</v>
      </c>
      <c r="C366" s="11"/>
      <c r="D366" s="11"/>
      <c r="E366" s="13">
        <v>5.0</v>
      </c>
      <c r="F366" s="13">
        <v>3.0</v>
      </c>
      <c r="G366" s="12">
        <f t="shared" si="88"/>
        <v>2</v>
      </c>
      <c r="H366" s="12">
        <f t="shared" si="89"/>
        <v>8</v>
      </c>
      <c r="I366" s="14">
        <f t="shared" si="90"/>
        <v>12</v>
      </c>
    </row>
    <row r="367">
      <c r="A367" s="11" t="s">
        <v>23</v>
      </c>
      <c r="B367" s="12">
        <f t="shared" si="87"/>
        <v>24</v>
      </c>
      <c r="C367" s="11"/>
      <c r="D367" s="11"/>
      <c r="E367" s="13">
        <v>6.0</v>
      </c>
      <c r="F367" s="13">
        <v>6.0</v>
      </c>
      <c r="G367" s="12">
        <f t="shared" si="88"/>
        <v>0</v>
      </c>
      <c r="H367" s="12">
        <f t="shared" si="89"/>
        <v>24</v>
      </c>
      <c r="I367" s="14">
        <f t="shared" si="90"/>
        <v>0</v>
      </c>
    </row>
    <row r="368">
      <c r="A368" s="11" t="s">
        <v>24</v>
      </c>
      <c r="B368" s="12">
        <f t="shared" si="87"/>
        <v>14</v>
      </c>
      <c r="C368" s="11"/>
      <c r="D368" s="11"/>
      <c r="E368" s="13">
        <v>4.0</v>
      </c>
      <c r="F368" s="13">
        <v>3.0</v>
      </c>
      <c r="G368" s="12">
        <f t="shared" si="88"/>
        <v>1</v>
      </c>
      <c r="H368" s="12">
        <f t="shared" si="89"/>
        <v>13</v>
      </c>
      <c r="I368" s="14">
        <f t="shared" si="90"/>
        <v>6</v>
      </c>
    </row>
    <row r="369">
      <c r="A369" s="11" t="s">
        <v>25</v>
      </c>
      <c r="B369" s="12">
        <f t="shared" si="87"/>
        <v>33</v>
      </c>
      <c r="C369" s="11"/>
      <c r="D369" s="11"/>
      <c r="E369" s="13">
        <v>10.0</v>
      </c>
      <c r="F369" s="13">
        <v>5.0</v>
      </c>
      <c r="G369" s="12">
        <f t="shared" si="88"/>
        <v>5</v>
      </c>
      <c r="H369" s="12">
        <f t="shared" si="89"/>
        <v>28</v>
      </c>
      <c r="I369" s="14">
        <f t="shared" si="90"/>
        <v>30</v>
      </c>
    </row>
    <row r="370">
      <c r="A370" s="11" t="s">
        <v>26</v>
      </c>
      <c r="B370" s="12">
        <f t="shared" si="87"/>
        <v>30</v>
      </c>
      <c r="C370" s="11"/>
      <c r="D370" s="11"/>
      <c r="E370" s="13">
        <v>6.0</v>
      </c>
      <c r="F370" s="13">
        <v>6.0</v>
      </c>
      <c r="G370" s="12">
        <f t="shared" si="88"/>
        <v>0</v>
      </c>
      <c r="H370" s="12">
        <f t="shared" si="89"/>
        <v>30</v>
      </c>
      <c r="I370" s="14">
        <f t="shared" si="90"/>
        <v>0</v>
      </c>
    </row>
    <row r="371">
      <c r="A371" s="11" t="s">
        <v>27</v>
      </c>
      <c r="B371" s="12">
        <f t="shared" si="87"/>
        <v>20</v>
      </c>
      <c r="C371" s="11"/>
      <c r="D371" s="11"/>
      <c r="E371" s="13">
        <v>4.0</v>
      </c>
      <c r="F371" s="13">
        <v>3.0</v>
      </c>
      <c r="G371" s="12">
        <f t="shared" si="88"/>
        <v>1</v>
      </c>
      <c r="H371" s="12">
        <f t="shared" si="89"/>
        <v>19</v>
      </c>
      <c r="I371" s="14">
        <f t="shared" si="90"/>
        <v>6</v>
      </c>
    </row>
    <row r="372">
      <c r="A372" s="11" t="s">
        <v>28</v>
      </c>
      <c r="B372" s="12">
        <f t="shared" si="87"/>
        <v>27</v>
      </c>
      <c r="C372" s="11"/>
      <c r="D372" s="11"/>
      <c r="E372" s="13">
        <v>8.0</v>
      </c>
      <c r="F372" s="13">
        <v>5.0</v>
      </c>
      <c r="G372" s="12">
        <f t="shared" si="88"/>
        <v>3</v>
      </c>
      <c r="H372" s="12">
        <f t="shared" si="89"/>
        <v>24</v>
      </c>
      <c r="I372" s="14">
        <f t="shared" si="90"/>
        <v>18</v>
      </c>
    </row>
    <row r="373">
      <c r="A373" s="11" t="s">
        <v>30</v>
      </c>
      <c r="B373" s="12">
        <f t="shared" si="87"/>
        <v>22</v>
      </c>
      <c r="C373" s="11"/>
      <c r="D373" s="11"/>
      <c r="E373" s="13">
        <v>2.0</v>
      </c>
      <c r="F373" s="13">
        <v>0.0</v>
      </c>
      <c r="G373" s="12">
        <f t="shared" si="88"/>
        <v>2</v>
      </c>
      <c r="H373" s="12">
        <f t="shared" si="89"/>
        <v>20</v>
      </c>
      <c r="I373" s="14">
        <f t="shared" si="90"/>
        <v>12</v>
      </c>
    </row>
    <row r="374">
      <c r="A374" s="18" t="s">
        <v>86</v>
      </c>
      <c r="B374" s="12">
        <f t="shared" si="87"/>
        <v>31</v>
      </c>
      <c r="C374" s="11"/>
      <c r="D374" s="11"/>
      <c r="E374" s="13">
        <v>4.0</v>
      </c>
      <c r="F374" s="13">
        <v>4.0</v>
      </c>
      <c r="G374" s="12">
        <f t="shared" si="88"/>
        <v>0</v>
      </c>
      <c r="H374" s="12">
        <f t="shared" si="89"/>
        <v>31</v>
      </c>
      <c r="I374" s="14">
        <f t="shared" si="90"/>
        <v>0</v>
      </c>
    </row>
    <row r="375">
      <c r="A375" s="19" t="s">
        <v>33</v>
      </c>
      <c r="B375" s="20">
        <f>SUM(B354:B374)</f>
        <v>493</v>
      </c>
      <c r="C375" s="19"/>
      <c r="D375" s="19"/>
      <c r="E375" s="20">
        <f t="shared" ref="E375:G375" si="91">SUM(E353:E374)</f>
        <v>113</v>
      </c>
      <c r="F375" s="20">
        <f t="shared" si="91"/>
        <v>81</v>
      </c>
      <c r="G375" s="20">
        <f t="shared" si="91"/>
        <v>32</v>
      </c>
      <c r="H375" s="20">
        <f>SUM(H354:H374)</f>
        <v>495</v>
      </c>
      <c r="I375" s="21">
        <f>SUM(I353:I374)</f>
        <v>192</v>
      </c>
    </row>
    <row r="376">
      <c r="A376" s="22"/>
      <c r="B376" s="22"/>
      <c r="C376" s="22"/>
      <c r="D376" s="22"/>
      <c r="E376" s="22"/>
      <c r="F376" s="23" t="s">
        <v>34</v>
      </c>
      <c r="G376" s="4"/>
      <c r="H376" s="24"/>
      <c r="I376" s="25"/>
    </row>
    <row r="377">
      <c r="A377" s="22"/>
      <c r="B377" s="32"/>
      <c r="C377" s="32"/>
      <c r="D377" s="32"/>
      <c r="E377" s="33" t="s">
        <v>87</v>
      </c>
      <c r="F377" s="3"/>
      <c r="G377" s="4"/>
      <c r="H377" s="34"/>
      <c r="I377" s="35">
        <f>SUM(I354:I374)</f>
        <v>192</v>
      </c>
    </row>
    <row r="379">
      <c r="A379" s="1"/>
      <c r="B379" s="2" t="s">
        <v>119</v>
      </c>
      <c r="C379" s="3"/>
      <c r="D379" s="3"/>
      <c r="E379" s="3"/>
      <c r="F379" s="3"/>
      <c r="G379" s="3"/>
      <c r="H379" s="3"/>
      <c r="I379" s="4"/>
    </row>
    <row r="380">
      <c r="A380" s="5" t="s">
        <v>1</v>
      </c>
      <c r="B380" s="6" t="s">
        <v>2</v>
      </c>
      <c r="C380" s="7" t="s">
        <v>3</v>
      </c>
      <c r="D380" s="8" t="s">
        <v>4</v>
      </c>
      <c r="E380" s="5" t="s">
        <v>5</v>
      </c>
      <c r="F380" s="5" t="s">
        <v>6</v>
      </c>
      <c r="G380" s="5" t="s">
        <v>7</v>
      </c>
      <c r="H380" s="9" t="s">
        <v>8</v>
      </c>
      <c r="I380" s="10" t="s">
        <v>9</v>
      </c>
    </row>
    <row r="381">
      <c r="A381" s="11" t="s">
        <v>10</v>
      </c>
      <c r="B381" s="12">
        <f t="shared" ref="B381:B401" si="92">H354</f>
        <v>45</v>
      </c>
      <c r="C381" s="13">
        <v>1.0</v>
      </c>
      <c r="D381" s="11"/>
      <c r="E381" s="13">
        <v>6.0</v>
      </c>
      <c r="F381" s="13">
        <v>1.0</v>
      </c>
      <c r="G381" s="12">
        <f t="shared" ref="G381:G401" si="93">E381-F381</f>
        <v>5</v>
      </c>
      <c r="H381" s="12">
        <f t="shared" ref="H381:H401" si="94">B381-C381+D381-G381</f>
        <v>39</v>
      </c>
      <c r="I381" s="14">
        <f t="shared" ref="I381:I401" si="95">G381*6</f>
        <v>30</v>
      </c>
    </row>
    <row r="382">
      <c r="A382" s="11" t="s">
        <v>11</v>
      </c>
      <c r="B382" s="12">
        <f t="shared" si="92"/>
        <v>24</v>
      </c>
      <c r="C382" s="11"/>
      <c r="D382" s="11"/>
      <c r="E382" s="13">
        <v>6.0</v>
      </c>
      <c r="F382" s="13">
        <v>0.0</v>
      </c>
      <c r="G382" s="12">
        <f t="shared" si="93"/>
        <v>6</v>
      </c>
      <c r="H382" s="12">
        <f t="shared" si="94"/>
        <v>18</v>
      </c>
      <c r="I382" s="14">
        <f t="shared" si="95"/>
        <v>36</v>
      </c>
    </row>
    <row r="383">
      <c r="A383" s="11" t="s">
        <v>12</v>
      </c>
      <c r="B383" s="12">
        <f t="shared" si="92"/>
        <v>41</v>
      </c>
      <c r="C383" s="11"/>
      <c r="D383" s="11"/>
      <c r="E383" s="13">
        <v>6.0</v>
      </c>
      <c r="F383" s="13">
        <v>4.0</v>
      </c>
      <c r="G383" s="12">
        <f t="shared" si="93"/>
        <v>2</v>
      </c>
      <c r="H383" s="12">
        <f t="shared" si="94"/>
        <v>39</v>
      </c>
      <c r="I383" s="14">
        <f t="shared" si="95"/>
        <v>12</v>
      </c>
    </row>
    <row r="384">
      <c r="A384" s="11" t="s">
        <v>13</v>
      </c>
      <c r="B384" s="12">
        <f t="shared" si="92"/>
        <v>35</v>
      </c>
      <c r="C384" s="11"/>
      <c r="D384" s="11"/>
      <c r="E384" s="13">
        <v>7.0</v>
      </c>
      <c r="F384" s="13">
        <v>3.0</v>
      </c>
      <c r="G384" s="12">
        <f t="shared" si="93"/>
        <v>4</v>
      </c>
      <c r="H384" s="12">
        <f t="shared" si="94"/>
        <v>31</v>
      </c>
      <c r="I384" s="14">
        <f t="shared" si="95"/>
        <v>24</v>
      </c>
    </row>
    <row r="385">
      <c r="A385" s="11" t="s">
        <v>14</v>
      </c>
      <c r="B385" s="12">
        <f t="shared" si="92"/>
        <v>31</v>
      </c>
      <c r="C385" s="13">
        <v>1.0</v>
      </c>
      <c r="D385" s="11"/>
      <c r="E385" s="13">
        <v>4.0</v>
      </c>
      <c r="F385" s="13">
        <v>2.0</v>
      </c>
      <c r="G385" s="12">
        <f t="shared" si="93"/>
        <v>2</v>
      </c>
      <c r="H385" s="12">
        <f t="shared" si="94"/>
        <v>28</v>
      </c>
      <c r="I385" s="14">
        <f t="shared" si="95"/>
        <v>12</v>
      </c>
    </row>
    <row r="386">
      <c r="A386" s="11" t="s">
        <v>15</v>
      </c>
      <c r="B386" s="12">
        <f t="shared" si="92"/>
        <v>13</v>
      </c>
      <c r="C386" s="11"/>
      <c r="D386" s="11"/>
      <c r="E386" s="13">
        <v>6.0</v>
      </c>
      <c r="F386" s="13">
        <v>6.0</v>
      </c>
      <c r="G386" s="12">
        <f t="shared" si="93"/>
        <v>0</v>
      </c>
      <c r="H386" s="12">
        <f t="shared" si="94"/>
        <v>13</v>
      </c>
      <c r="I386" s="14">
        <f t="shared" si="95"/>
        <v>0</v>
      </c>
    </row>
    <row r="387">
      <c r="A387" s="11" t="s">
        <v>16</v>
      </c>
      <c r="B387" s="12">
        <f t="shared" si="92"/>
        <v>9</v>
      </c>
      <c r="C387" s="11"/>
      <c r="D387" s="11"/>
      <c r="E387" s="13">
        <v>5.0</v>
      </c>
      <c r="F387" s="13">
        <v>3.0</v>
      </c>
      <c r="G387" s="12">
        <f t="shared" si="93"/>
        <v>2</v>
      </c>
      <c r="H387" s="12">
        <f t="shared" si="94"/>
        <v>7</v>
      </c>
      <c r="I387" s="14">
        <f t="shared" si="95"/>
        <v>12</v>
      </c>
    </row>
    <row r="388">
      <c r="A388" s="11" t="s">
        <v>17</v>
      </c>
      <c r="B388" s="12">
        <f t="shared" si="92"/>
        <v>25</v>
      </c>
      <c r="C388" s="11"/>
      <c r="D388" s="11"/>
      <c r="E388" s="13">
        <v>4.0</v>
      </c>
      <c r="F388" s="13">
        <v>4.0</v>
      </c>
      <c r="G388" s="12">
        <f t="shared" si="93"/>
        <v>0</v>
      </c>
      <c r="H388" s="12">
        <f t="shared" si="94"/>
        <v>25</v>
      </c>
      <c r="I388" s="14">
        <f t="shared" si="95"/>
        <v>0</v>
      </c>
    </row>
    <row r="389">
      <c r="A389" s="11" t="s">
        <v>18</v>
      </c>
      <c r="B389" s="12">
        <f t="shared" si="92"/>
        <v>22</v>
      </c>
      <c r="C389" s="11"/>
      <c r="D389" s="11"/>
      <c r="E389" s="13">
        <v>6.0</v>
      </c>
      <c r="F389" s="13">
        <v>3.0</v>
      </c>
      <c r="G389" s="12">
        <f t="shared" si="93"/>
        <v>3</v>
      </c>
      <c r="H389" s="12">
        <f t="shared" si="94"/>
        <v>19</v>
      </c>
      <c r="I389" s="14">
        <f t="shared" si="95"/>
        <v>18</v>
      </c>
    </row>
    <row r="390">
      <c r="A390" s="11" t="s">
        <v>19</v>
      </c>
      <c r="B390" s="12">
        <f t="shared" si="92"/>
        <v>12</v>
      </c>
      <c r="C390" s="11"/>
      <c r="D390" s="11"/>
      <c r="E390" s="13">
        <v>6.0</v>
      </c>
      <c r="F390" s="13">
        <v>3.0</v>
      </c>
      <c r="G390" s="12">
        <f t="shared" si="93"/>
        <v>3</v>
      </c>
      <c r="H390" s="12">
        <f t="shared" si="94"/>
        <v>9</v>
      </c>
      <c r="I390" s="14">
        <f t="shared" si="95"/>
        <v>18</v>
      </c>
    </row>
    <row r="391">
      <c r="A391" s="11" t="s">
        <v>20</v>
      </c>
      <c r="B391" s="12">
        <f t="shared" si="92"/>
        <v>26</v>
      </c>
      <c r="C391" s="11"/>
      <c r="D391" s="11"/>
      <c r="E391" s="13">
        <v>6.0</v>
      </c>
      <c r="F391" s="13">
        <v>4.0</v>
      </c>
      <c r="G391" s="12">
        <f t="shared" si="93"/>
        <v>2</v>
      </c>
      <c r="H391" s="12">
        <f t="shared" si="94"/>
        <v>24</v>
      </c>
      <c r="I391" s="14">
        <f t="shared" si="95"/>
        <v>12</v>
      </c>
    </row>
    <row r="392">
      <c r="A392" s="11" t="s">
        <v>21</v>
      </c>
      <c r="B392" s="12">
        <f t="shared" si="92"/>
        <v>15</v>
      </c>
      <c r="C392" s="11"/>
      <c r="D392" s="11"/>
      <c r="E392" s="13">
        <v>2.0</v>
      </c>
      <c r="F392" s="13">
        <v>2.0</v>
      </c>
      <c r="G392" s="12">
        <f t="shared" si="93"/>
        <v>0</v>
      </c>
      <c r="H392" s="12">
        <f t="shared" si="94"/>
        <v>15</v>
      </c>
      <c r="I392" s="14">
        <f t="shared" si="95"/>
        <v>0</v>
      </c>
    </row>
    <row r="393">
      <c r="A393" s="11" t="s">
        <v>22</v>
      </c>
      <c r="B393" s="12">
        <f t="shared" si="92"/>
        <v>8</v>
      </c>
      <c r="C393" s="11"/>
      <c r="D393" s="11"/>
      <c r="E393" s="13">
        <v>5.0</v>
      </c>
      <c r="F393" s="13">
        <v>3.0</v>
      </c>
      <c r="G393" s="12">
        <f t="shared" si="93"/>
        <v>2</v>
      </c>
      <c r="H393" s="12">
        <f t="shared" si="94"/>
        <v>6</v>
      </c>
      <c r="I393" s="14">
        <f t="shared" si="95"/>
        <v>12</v>
      </c>
    </row>
    <row r="394">
      <c r="A394" s="11" t="s">
        <v>23</v>
      </c>
      <c r="B394" s="12">
        <f t="shared" si="92"/>
        <v>24</v>
      </c>
      <c r="C394" s="11"/>
      <c r="D394" s="11"/>
      <c r="E394" s="13">
        <v>6.0</v>
      </c>
      <c r="F394" s="13">
        <v>4.0</v>
      </c>
      <c r="G394" s="12">
        <f t="shared" si="93"/>
        <v>2</v>
      </c>
      <c r="H394" s="12">
        <f t="shared" si="94"/>
        <v>22</v>
      </c>
      <c r="I394" s="14">
        <f t="shared" si="95"/>
        <v>12</v>
      </c>
    </row>
    <row r="395">
      <c r="A395" s="11" t="s">
        <v>24</v>
      </c>
      <c r="B395" s="12">
        <f t="shared" si="92"/>
        <v>13</v>
      </c>
      <c r="C395" s="13">
        <v>1.0</v>
      </c>
      <c r="D395" s="11"/>
      <c r="E395" s="13">
        <v>4.0</v>
      </c>
      <c r="F395" s="13">
        <v>4.0</v>
      </c>
      <c r="G395" s="12">
        <f t="shared" si="93"/>
        <v>0</v>
      </c>
      <c r="H395" s="12">
        <f t="shared" si="94"/>
        <v>12</v>
      </c>
      <c r="I395" s="14">
        <f t="shared" si="95"/>
        <v>0</v>
      </c>
    </row>
    <row r="396">
      <c r="A396" s="11" t="s">
        <v>25</v>
      </c>
      <c r="B396" s="12">
        <f t="shared" si="92"/>
        <v>28</v>
      </c>
      <c r="C396" s="11"/>
      <c r="D396" s="11"/>
      <c r="E396" s="13">
        <v>10.0</v>
      </c>
      <c r="F396" s="13">
        <v>2.0</v>
      </c>
      <c r="G396" s="12">
        <f t="shared" si="93"/>
        <v>8</v>
      </c>
      <c r="H396" s="12">
        <f t="shared" si="94"/>
        <v>20</v>
      </c>
      <c r="I396" s="14">
        <f t="shared" si="95"/>
        <v>48</v>
      </c>
    </row>
    <row r="397">
      <c r="A397" s="11" t="s">
        <v>26</v>
      </c>
      <c r="B397" s="12">
        <f t="shared" si="92"/>
        <v>30</v>
      </c>
      <c r="C397" s="11"/>
      <c r="D397" s="11"/>
      <c r="E397" s="13">
        <v>6.0</v>
      </c>
      <c r="F397" s="13">
        <v>0.0</v>
      </c>
      <c r="G397" s="12">
        <f t="shared" si="93"/>
        <v>6</v>
      </c>
      <c r="H397" s="12">
        <f t="shared" si="94"/>
        <v>24</v>
      </c>
      <c r="I397" s="14">
        <f t="shared" si="95"/>
        <v>36</v>
      </c>
    </row>
    <row r="398">
      <c r="A398" s="11" t="s">
        <v>27</v>
      </c>
      <c r="B398" s="12">
        <f t="shared" si="92"/>
        <v>19</v>
      </c>
      <c r="C398" s="11"/>
      <c r="D398" s="11"/>
      <c r="E398" s="13">
        <v>4.0</v>
      </c>
      <c r="F398" s="13">
        <v>3.0</v>
      </c>
      <c r="G398" s="12">
        <f t="shared" si="93"/>
        <v>1</v>
      </c>
      <c r="H398" s="12">
        <f t="shared" si="94"/>
        <v>18</v>
      </c>
      <c r="I398" s="14">
        <f t="shared" si="95"/>
        <v>6</v>
      </c>
    </row>
    <row r="399">
      <c r="A399" s="11" t="s">
        <v>28</v>
      </c>
      <c r="B399" s="12">
        <f t="shared" si="92"/>
        <v>24</v>
      </c>
      <c r="C399" s="11"/>
      <c r="D399" s="11"/>
      <c r="E399" s="13">
        <v>8.0</v>
      </c>
      <c r="F399" s="13">
        <v>2.0</v>
      </c>
      <c r="G399" s="12">
        <f t="shared" si="93"/>
        <v>6</v>
      </c>
      <c r="H399" s="12">
        <f t="shared" si="94"/>
        <v>18</v>
      </c>
      <c r="I399" s="14">
        <f t="shared" si="95"/>
        <v>36</v>
      </c>
    </row>
    <row r="400">
      <c r="A400" s="11" t="s">
        <v>30</v>
      </c>
      <c r="B400" s="12">
        <f t="shared" si="92"/>
        <v>20</v>
      </c>
      <c r="C400" s="13">
        <v>1.0</v>
      </c>
      <c r="D400" s="11"/>
      <c r="E400" s="13">
        <v>2.0</v>
      </c>
      <c r="F400" s="13">
        <v>2.0</v>
      </c>
      <c r="G400" s="12">
        <f t="shared" si="93"/>
        <v>0</v>
      </c>
      <c r="H400" s="12">
        <f t="shared" si="94"/>
        <v>19</v>
      </c>
      <c r="I400" s="14">
        <f t="shared" si="95"/>
        <v>0</v>
      </c>
    </row>
    <row r="401">
      <c r="A401" s="18" t="s">
        <v>86</v>
      </c>
      <c r="B401" s="12">
        <f t="shared" si="92"/>
        <v>31</v>
      </c>
      <c r="C401" s="11"/>
      <c r="D401" s="11"/>
      <c r="E401" s="13">
        <v>4.0</v>
      </c>
      <c r="F401" s="13">
        <v>2.0</v>
      </c>
      <c r="G401" s="12">
        <f t="shared" si="93"/>
        <v>2</v>
      </c>
      <c r="H401" s="12">
        <f t="shared" si="94"/>
        <v>29</v>
      </c>
      <c r="I401" s="14">
        <f t="shared" si="95"/>
        <v>12</v>
      </c>
    </row>
    <row r="402">
      <c r="A402" s="19" t="s">
        <v>33</v>
      </c>
      <c r="B402" s="20">
        <f>SUM(B381:B401)</f>
        <v>495</v>
      </c>
      <c r="C402" s="19"/>
      <c r="D402" s="19"/>
      <c r="E402" s="20">
        <f t="shared" ref="E402:G402" si="96">SUM(E380:E401)</f>
        <v>113</v>
      </c>
      <c r="F402" s="20">
        <f t="shared" si="96"/>
        <v>57</v>
      </c>
      <c r="G402" s="20">
        <f t="shared" si="96"/>
        <v>56</v>
      </c>
      <c r="H402" s="20">
        <f>SUM(H381:H401)</f>
        <v>435</v>
      </c>
      <c r="I402" s="21">
        <f>SUM(I380:I401)</f>
        <v>336</v>
      </c>
    </row>
    <row r="403">
      <c r="A403" s="22"/>
      <c r="B403" s="22"/>
      <c r="C403" s="22"/>
      <c r="D403" s="22"/>
      <c r="E403" s="22"/>
      <c r="F403" s="23" t="s">
        <v>34</v>
      </c>
      <c r="G403" s="4"/>
      <c r="H403" s="24"/>
      <c r="I403" s="25"/>
    </row>
    <row r="404">
      <c r="A404" s="22"/>
      <c r="B404" s="32"/>
      <c r="C404" s="32"/>
      <c r="D404" s="32"/>
      <c r="E404" s="33" t="s">
        <v>87</v>
      </c>
      <c r="F404" s="3"/>
      <c r="G404" s="4"/>
      <c r="H404" s="34"/>
      <c r="I404" s="35">
        <f>SUM(I381:I401)</f>
        <v>336</v>
      </c>
    </row>
    <row r="406">
      <c r="A406" s="1"/>
      <c r="B406" s="2" t="s">
        <v>120</v>
      </c>
      <c r="C406" s="3"/>
      <c r="D406" s="3"/>
      <c r="E406" s="3"/>
      <c r="F406" s="3"/>
      <c r="G406" s="3"/>
      <c r="H406" s="3"/>
      <c r="I406" s="4"/>
    </row>
    <row r="407">
      <c r="A407" s="5" t="s">
        <v>1</v>
      </c>
      <c r="B407" s="6" t="s">
        <v>2</v>
      </c>
      <c r="C407" s="7" t="s">
        <v>3</v>
      </c>
      <c r="D407" s="8" t="s">
        <v>4</v>
      </c>
      <c r="E407" s="5" t="s">
        <v>5</v>
      </c>
      <c r="F407" s="5" t="s">
        <v>6</v>
      </c>
      <c r="G407" s="5" t="s">
        <v>7</v>
      </c>
      <c r="H407" s="9" t="s">
        <v>8</v>
      </c>
      <c r="I407" s="10" t="s">
        <v>9</v>
      </c>
    </row>
    <row r="408">
      <c r="A408" s="11" t="s">
        <v>10</v>
      </c>
      <c r="B408" s="12">
        <f t="shared" ref="B408:B428" si="97">H381</f>
        <v>39</v>
      </c>
      <c r="C408" s="11"/>
      <c r="D408" s="11"/>
      <c r="E408" s="13">
        <v>6.0</v>
      </c>
      <c r="F408" s="13">
        <v>5.0</v>
      </c>
      <c r="G408" s="12">
        <f t="shared" ref="G408:G428" si="98">E408-F408</f>
        <v>1</v>
      </c>
      <c r="H408" s="12">
        <f t="shared" ref="H408:H428" si="99">B408-C408+D408-G408</f>
        <v>38</v>
      </c>
      <c r="I408" s="14">
        <f t="shared" ref="I408:I428" si="100">G408*6</f>
        <v>6</v>
      </c>
    </row>
    <row r="409">
      <c r="A409" s="11" t="s">
        <v>11</v>
      </c>
      <c r="B409" s="12">
        <f t="shared" si="97"/>
        <v>18</v>
      </c>
      <c r="C409" s="11"/>
      <c r="D409" s="11"/>
      <c r="E409" s="13">
        <v>6.0</v>
      </c>
      <c r="F409" s="13">
        <v>5.0</v>
      </c>
      <c r="G409" s="12">
        <f t="shared" si="98"/>
        <v>1</v>
      </c>
      <c r="H409" s="12">
        <f t="shared" si="99"/>
        <v>17</v>
      </c>
      <c r="I409" s="14">
        <f t="shared" si="100"/>
        <v>6</v>
      </c>
    </row>
    <row r="410">
      <c r="A410" s="11" t="s">
        <v>12</v>
      </c>
      <c r="B410" s="12">
        <f t="shared" si="97"/>
        <v>39</v>
      </c>
      <c r="C410" s="11"/>
      <c r="D410" s="11"/>
      <c r="E410" s="13">
        <v>6.0</v>
      </c>
      <c r="F410" s="13">
        <v>5.0</v>
      </c>
      <c r="G410" s="12">
        <f t="shared" si="98"/>
        <v>1</v>
      </c>
      <c r="H410" s="12">
        <f t="shared" si="99"/>
        <v>38</v>
      </c>
      <c r="I410" s="14">
        <f t="shared" si="100"/>
        <v>6</v>
      </c>
    </row>
    <row r="411">
      <c r="A411" s="11" t="s">
        <v>13</v>
      </c>
      <c r="B411" s="12">
        <f t="shared" si="97"/>
        <v>31</v>
      </c>
      <c r="C411" s="11"/>
      <c r="D411" s="11"/>
      <c r="E411" s="13">
        <v>7.0</v>
      </c>
      <c r="F411" s="13">
        <v>4.0</v>
      </c>
      <c r="G411" s="12">
        <f t="shared" si="98"/>
        <v>3</v>
      </c>
      <c r="H411" s="12">
        <f t="shared" si="99"/>
        <v>28</v>
      </c>
      <c r="I411" s="14">
        <f t="shared" si="100"/>
        <v>18</v>
      </c>
    </row>
    <row r="412">
      <c r="A412" s="11" t="s">
        <v>14</v>
      </c>
      <c r="B412" s="12">
        <f t="shared" si="97"/>
        <v>28</v>
      </c>
      <c r="C412" s="11"/>
      <c r="D412" s="11"/>
      <c r="E412" s="13">
        <v>4.0</v>
      </c>
      <c r="F412" s="13">
        <v>4.0</v>
      </c>
      <c r="G412" s="12">
        <f t="shared" si="98"/>
        <v>0</v>
      </c>
      <c r="H412" s="12">
        <f t="shared" si="99"/>
        <v>28</v>
      </c>
      <c r="I412" s="14">
        <f t="shared" si="100"/>
        <v>0</v>
      </c>
    </row>
    <row r="413">
      <c r="A413" s="11" t="s">
        <v>15</v>
      </c>
      <c r="B413" s="12">
        <f t="shared" si="97"/>
        <v>13</v>
      </c>
      <c r="C413" s="11"/>
      <c r="D413" s="11"/>
      <c r="E413" s="13">
        <v>6.0</v>
      </c>
      <c r="F413" s="13">
        <v>6.0</v>
      </c>
      <c r="G413" s="12">
        <f t="shared" si="98"/>
        <v>0</v>
      </c>
      <c r="H413" s="12">
        <f t="shared" si="99"/>
        <v>13</v>
      </c>
      <c r="I413" s="14">
        <f t="shared" si="100"/>
        <v>0</v>
      </c>
    </row>
    <row r="414">
      <c r="A414" s="11" t="s">
        <v>16</v>
      </c>
      <c r="B414" s="12">
        <f t="shared" si="97"/>
        <v>7</v>
      </c>
      <c r="C414" s="11"/>
      <c r="D414" s="11"/>
      <c r="E414" s="13">
        <v>5.0</v>
      </c>
      <c r="F414" s="13">
        <v>5.0</v>
      </c>
      <c r="G414" s="12">
        <f t="shared" si="98"/>
        <v>0</v>
      </c>
      <c r="H414" s="12">
        <f t="shared" si="99"/>
        <v>7</v>
      </c>
      <c r="I414" s="14">
        <f t="shared" si="100"/>
        <v>0</v>
      </c>
    </row>
    <row r="415">
      <c r="A415" s="11" t="s">
        <v>17</v>
      </c>
      <c r="B415" s="12">
        <f t="shared" si="97"/>
        <v>25</v>
      </c>
      <c r="C415" s="11"/>
      <c r="D415" s="11"/>
      <c r="E415" s="13">
        <v>4.0</v>
      </c>
      <c r="F415" s="13">
        <v>3.0</v>
      </c>
      <c r="G415" s="12">
        <f t="shared" si="98"/>
        <v>1</v>
      </c>
      <c r="H415" s="12">
        <f t="shared" si="99"/>
        <v>24</v>
      </c>
      <c r="I415" s="14">
        <f t="shared" si="100"/>
        <v>6</v>
      </c>
    </row>
    <row r="416">
      <c r="A416" s="11" t="s">
        <v>18</v>
      </c>
      <c r="B416" s="12">
        <f t="shared" si="97"/>
        <v>19</v>
      </c>
      <c r="C416" s="11"/>
      <c r="D416" s="11"/>
      <c r="E416" s="13">
        <v>6.0</v>
      </c>
      <c r="F416" s="13">
        <v>4.0</v>
      </c>
      <c r="G416" s="12">
        <f t="shared" si="98"/>
        <v>2</v>
      </c>
      <c r="H416" s="12">
        <f t="shared" si="99"/>
        <v>17</v>
      </c>
      <c r="I416" s="14">
        <f t="shared" si="100"/>
        <v>12</v>
      </c>
    </row>
    <row r="417">
      <c r="A417" s="11" t="s">
        <v>19</v>
      </c>
      <c r="B417" s="12">
        <f t="shared" si="97"/>
        <v>9</v>
      </c>
      <c r="C417" s="13">
        <v>1.0</v>
      </c>
      <c r="D417" s="13">
        <v>28.0</v>
      </c>
      <c r="E417" s="13">
        <v>6.0</v>
      </c>
      <c r="F417" s="13">
        <v>6.0</v>
      </c>
      <c r="G417" s="12">
        <f t="shared" si="98"/>
        <v>0</v>
      </c>
      <c r="H417" s="12">
        <f t="shared" si="99"/>
        <v>36</v>
      </c>
      <c r="I417" s="14">
        <f t="shared" si="100"/>
        <v>0</v>
      </c>
    </row>
    <row r="418">
      <c r="A418" s="11" t="s">
        <v>20</v>
      </c>
      <c r="B418" s="12">
        <f t="shared" si="97"/>
        <v>24</v>
      </c>
      <c r="C418" s="11"/>
      <c r="D418" s="11"/>
      <c r="E418" s="13">
        <v>6.0</v>
      </c>
      <c r="F418" s="13">
        <v>3.0</v>
      </c>
      <c r="G418" s="12">
        <f t="shared" si="98"/>
        <v>3</v>
      </c>
      <c r="H418" s="12">
        <f t="shared" si="99"/>
        <v>21</v>
      </c>
      <c r="I418" s="14">
        <f t="shared" si="100"/>
        <v>18</v>
      </c>
    </row>
    <row r="419">
      <c r="A419" s="11" t="s">
        <v>21</v>
      </c>
      <c r="B419" s="12">
        <f t="shared" si="97"/>
        <v>15</v>
      </c>
      <c r="C419" s="11"/>
      <c r="D419" s="11"/>
      <c r="E419" s="13">
        <v>2.0</v>
      </c>
      <c r="F419" s="13">
        <v>2.0</v>
      </c>
      <c r="G419" s="12">
        <f t="shared" si="98"/>
        <v>0</v>
      </c>
      <c r="H419" s="12">
        <f t="shared" si="99"/>
        <v>15</v>
      </c>
      <c r="I419" s="14">
        <f t="shared" si="100"/>
        <v>0</v>
      </c>
    </row>
    <row r="420">
      <c r="A420" s="11" t="s">
        <v>22</v>
      </c>
      <c r="B420" s="12">
        <f t="shared" si="97"/>
        <v>6</v>
      </c>
      <c r="C420" s="11"/>
      <c r="D420" s="11"/>
      <c r="E420" s="13">
        <v>5.0</v>
      </c>
      <c r="F420" s="13">
        <v>2.0</v>
      </c>
      <c r="G420" s="12">
        <f t="shared" si="98"/>
        <v>3</v>
      </c>
      <c r="H420" s="12">
        <f t="shared" si="99"/>
        <v>3</v>
      </c>
      <c r="I420" s="14">
        <f t="shared" si="100"/>
        <v>18</v>
      </c>
    </row>
    <row r="421">
      <c r="A421" s="11" t="s">
        <v>23</v>
      </c>
      <c r="B421" s="12">
        <f t="shared" si="97"/>
        <v>22</v>
      </c>
      <c r="C421" s="11"/>
      <c r="D421" s="11"/>
      <c r="E421" s="13">
        <v>6.0</v>
      </c>
      <c r="F421" s="13">
        <v>2.0</v>
      </c>
      <c r="G421" s="12">
        <f t="shared" si="98"/>
        <v>4</v>
      </c>
      <c r="H421" s="12">
        <f t="shared" si="99"/>
        <v>18</v>
      </c>
      <c r="I421" s="14">
        <f t="shared" si="100"/>
        <v>24</v>
      </c>
    </row>
    <row r="422">
      <c r="A422" s="11" t="s">
        <v>24</v>
      </c>
      <c r="B422" s="12">
        <f t="shared" si="97"/>
        <v>12</v>
      </c>
      <c r="C422" s="11"/>
      <c r="D422" s="11"/>
      <c r="E422" s="13">
        <v>4.0</v>
      </c>
      <c r="F422" s="13">
        <v>3.0</v>
      </c>
      <c r="G422" s="12">
        <f t="shared" si="98"/>
        <v>1</v>
      </c>
      <c r="H422" s="12">
        <f t="shared" si="99"/>
        <v>11</v>
      </c>
      <c r="I422" s="14">
        <f t="shared" si="100"/>
        <v>6</v>
      </c>
    </row>
    <row r="423">
      <c r="A423" s="11" t="s">
        <v>25</v>
      </c>
      <c r="B423" s="12">
        <f t="shared" si="97"/>
        <v>20</v>
      </c>
      <c r="C423" s="11"/>
      <c r="D423" s="11"/>
      <c r="E423" s="13">
        <v>10.0</v>
      </c>
      <c r="F423" s="13">
        <v>5.0</v>
      </c>
      <c r="G423" s="12">
        <f t="shared" si="98"/>
        <v>5</v>
      </c>
      <c r="H423" s="12">
        <f t="shared" si="99"/>
        <v>15</v>
      </c>
      <c r="I423" s="14">
        <f t="shared" si="100"/>
        <v>30</v>
      </c>
    </row>
    <row r="424">
      <c r="A424" s="11" t="s">
        <v>26</v>
      </c>
      <c r="B424" s="12">
        <f t="shared" si="97"/>
        <v>24</v>
      </c>
      <c r="C424" s="11"/>
      <c r="D424" s="11"/>
      <c r="E424" s="13">
        <v>6.0</v>
      </c>
      <c r="F424" s="13">
        <v>2.0</v>
      </c>
      <c r="G424" s="12">
        <f t="shared" si="98"/>
        <v>4</v>
      </c>
      <c r="H424" s="12">
        <f t="shared" si="99"/>
        <v>20</v>
      </c>
      <c r="I424" s="14">
        <f t="shared" si="100"/>
        <v>24</v>
      </c>
    </row>
    <row r="425">
      <c r="A425" s="11" t="s">
        <v>27</v>
      </c>
      <c r="B425" s="12">
        <f t="shared" si="97"/>
        <v>18</v>
      </c>
      <c r="C425" s="11"/>
      <c r="D425" s="11"/>
      <c r="E425" s="13">
        <v>4.0</v>
      </c>
      <c r="F425" s="13">
        <v>3.0</v>
      </c>
      <c r="G425" s="12">
        <f t="shared" si="98"/>
        <v>1</v>
      </c>
      <c r="H425" s="12">
        <f t="shared" si="99"/>
        <v>17</v>
      </c>
      <c r="I425" s="14">
        <f t="shared" si="100"/>
        <v>6</v>
      </c>
    </row>
    <row r="426">
      <c r="A426" s="11" t="s">
        <v>28</v>
      </c>
      <c r="B426" s="12">
        <f t="shared" si="97"/>
        <v>18</v>
      </c>
      <c r="C426" s="11"/>
      <c r="D426" s="11"/>
      <c r="E426" s="13">
        <v>8.0</v>
      </c>
      <c r="F426" s="13">
        <v>6.0</v>
      </c>
      <c r="G426" s="12">
        <f t="shared" si="98"/>
        <v>2</v>
      </c>
      <c r="H426" s="12">
        <f t="shared" si="99"/>
        <v>16</v>
      </c>
      <c r="I426" s="14">
        <f t="shared" si="100"/>
        <v>12</v>
      </c>
    </row>
    <row r="427">
      <c r="A427" s="11" t="s">
        <v>30</v>
      </c>
      <c r="B427" s="12">
        <f t="shared" si="97"/>
        <v>19</v>
      </c>
      <c r="C427" s="11"/>
      <c r="D427" s="11"/>
      <c r="E427" s="13">
        <v>2.0</v>
      </c>
      <c r="F427" s="13">
        <v>1.0</v>
      </c>
      <c r="G427" s="12">
        <f t="shared" si="98"/>
        <v>1</v>
      </c>
      <c r="H427" s="12">
        <f t="shared" si="99"/>
        <v>18</v>
      </c>
      <c r="I427" s="14">
        <f t="shared" si="100"/>
        <v>6</v>
      </c>
    </row>
    <row r="428">
      <c r="A428" s="18" t="s">
        <v>86</v>
      </c>
      <c r="B428" s="12">
        <f t="shared" si="97"/>
        <v>29</v>
      </c>
      <c r="C428" s="11"/>
      <c r="D428" s="11"/>
      <c r="E428" s="13">
        <v>4.0</v>
      </c>
      <c r="F428" s="13">
        <v>2.0</v>
      </c>
      <c r="G428" s="12">
        <f t="shared" si="98"/>
        <v>2</v>
      </c>
      <c r="H428" s="12">
        <f t="shared" si="99"/>
        <v>27</v>
      </c>
      <c r="I428" s="14">
        <f t="shared" si="100"/>
        <v>12</v>
      </c>
    </row>
    <row r="429">
      <c r="A429" s="19" t="s">
        <v>33</v>
      </c>
      <c r="B429" s="20">
        <f>SUM(B408:B428)</f>
        <v>435</v>
      </c>
      <c r="C429" s="19"/>
      <c r="D429" s="19"/>
      <c r="E429" s="20">
        <f t="shared" ref="E429:G429" si="101">SUM(E407:E428)</f>
        <v>113</v>
      </c>
      <c r="F429" s="20">
        <f t="shared" si="101"/>
        <v>78</v>
      </c>
      <c r="G429" s="20">
        <f t="shared" si="101"/>
        <v>35</v>
      </c>
      <c r="H429" s="20">
        <f>SUM(H408:H428)</f>
        <v>427</v>
      </c>
      <c r="I429" s="21">
        <f>SUM(I407:I428)</f>
        <v>210</v>
      </c>
    </row>
    <row r="430">
      <c r="A430" s="22"/>
      <c r="B430" s="22"/>
      <c r="C430" s="22"/>
      <c r="D430" s="22"/>
      <c r="E430" s="22"/>
      <c r="F430" s="23" t="s">
        <v>34</v>
      </c>
      <c r="G430" s="4"/>
      <c r="H430" s="24"/>
      <c r="I430" s="25"/>
    </row>
    <row r="431">
      <c r="A431" s="22"/>
      <c r="B431" s="32"/>
      <c r="C431" s="32"/>
      <c r="D431" s="32"/>
      <c r="E431" s="33" t="s">
        <v>87</v>
      </c>
      <c r="F431" s="3"/>
      <c r="G431" s="4"/>
      <c r="H431" s="34"/>
      <c r="I431" s="35">
        <f>SUM(I408:I428)</f>
        <v>210</v>
      </c>
    </row>
    <row r="433">
      <c r="A433" s="1"/>
      <c r="B433" s="2" t="s">
        <v>121</v>
      </c>
      <c r="C433" s="3"/>
      <c r="D433" s="3"/>
      <c r="E433" s="3"/>
      <c r="F433" s="3"/>
      <c r="G433" s="3"/>
      <c r="H433" s="3"/>
      <c r="I433" s="4"/>
    </row>
    <row r="434">
      <c r="A434" s="5" t="s">
        <v>1</v>
      </c>
      <c r="B434" s="6" t="s">
        <v>2</v>
      </c>
      <c r="C434" s="7" t="s">
        <v>3</v>
      </c>
      <c r="D434" s="8" t="s">
        <v>4</v>
      </c>
      <c r="E434" s="5" t="s">
        <v>5</v>
      </c>
      <c r="F434" s="5" t="s">
        <v>6</v>
      </c>
      <c r="G434" s="5" t="s">
        <v>7</v>
      </c>
      <c r="H434" s="9" t="s">
        <v>8</v>
      </c>
      <c r="I434" s="10" t="s">
        <v>9</v>
      </c>
    </row>
    <row r="435">
      <c r="A435" s="11" t="s">
        <v>10</v>
      </c>
      <c r="B435" s="12">
        <f t="shared" ref="B435:B455" si="102">H408</f>
        <v>38</v>
      </c>
      <c r="C435" s="11"/>
      <c r="D435" s="11"/>
      <c r="E435" s="13">
        <v>6.0</v>
      </c>
      <c r="F435" s="13">
        <v>4.0</v>
      </c>
      <c r="G435" s="12">
        <f t="shared" ref="G435:G455" si="103">E435-F435</f>
        <v>2</v>
      </c>
      <c r="H435" s="12">
        <f t="shared" ref="H435:H455" si="104">B435-C435+D435-G435</f>
        <v>36</v>
      </c>
      <c r="I435" s="14">
        <f t="shared" ref="I435:I455" si="105">G435*6</f>
        <v>12</v>
      </c>
    </row>
    <row r="436">
      <c r="A436" s="11" t="s">
        <v>11</v>
      </c>
      <c r="B436" s="12">
        <f t="shared" si="102"/>
        <v>17</v>
      </c>
      <c r="C436" s="13">
        <v>1.0</v>
      </c>
      <c r="D436" s="11"/>
      <c r="E436" s="13">
        <v>6.0</v>
      </c>
      <c r="F436" s="13">
        <v>3.0</v>
      </c>
      <c r="G436" s="12">
        <f t="shared" si="103"/>
        <v>3</v>
      </c>
      <c r="H436" s="12">
        <f t="shared" si="104"/>
        <v>13</v>
      </c>
      <c r="I436" s="14">
        <f t="shared" si="105"/>
        <v>18</v>
      </c>
    </row>
    <row r="437">
      <c r="A437" s="11" t="s">
        <v>12</v>
      </c>
      <c r="B437" s="12">
        <f t="shared" si="102"/>
        <v>38</v>
      </c>
      <c r="C437" s="11"/>
      <c r="D437" s="11"/>
      <c r="E437" s="13">
        <v>6.0</v>
      </c>
      <c r="F437" s="13">
        <v>5.0</v>
      </c>
      <c r="G437" s="12">
        <f t="shared" si="103"/>
        <v>1</v>
      </c>
      <c r="H437" s="12">
        <f t="shared" si="104"/>
        <v>37</v>
      </c>
      <c r="I437" s="14">
        <f t="shared" si="105"/>
        <v>6</v>
      </c>
    </row>
    <row r="438">
      <c r="A438" s="11" t="s">
        <v>13</v>
      </c>
      <c r="B438" s="12">
        <f t="shared" si="102"/>
        <v>28</v>
      </c>
      <c r="C438" s="11"/>
      <c r="D438" s="11"/>
      <c r="E438" s="13">
        <v>7.0</v>
      </c>
      <c r="F438" s="13">
        <v>2.0</v>
      </c>
      <c r="G438" s="12">
        <f t="shared" si="103"/>
        <v>5</v>
      </c>
      <c r="H438" s="12">
        <f t="shared" si="104"/>
        <v>23</v>
      </c>
      <c r="I438" s="14">
        <f t="shared" si="105"/>
        <v>30</v>
      </c>
    </row>
    <row r="439">
      <c r="A439" s="11" t="s">
        <v>14</v>
      </c>
      <c r="B439" s="12">
        <f t="shared" si="102"/>
        <v>28</v>
      </c>
      <c r="C439" s="11"/>
      <c r="D439" s="11"/>
      <c r="E439" s="13">
        <v>4.0</v>
      </c>
      <c r="F439" s="13">
        <v>3.0</v>
      </c>
      <c r="G439" s="12">
        <f t="shared" si="103"/>
        <v>1</v>
      </c>
      <c r="H439" s="12">
        <f t="shared" si="104"/>
        <v>27</v>
      </c>
      <c r="I439" s="14">
        <f t="shared" si="105"/>
        <v>6</v>
      </c>
    </row>
    <row r="440">
      <c r="A440" s="11" t="s">
        <v>15</v>
      </c>
      <c r="B440" s="12">
        <f t="shared" si="102"/>
        <v>13</v>
      </c>
      <c r="C440" s="11"/>
      <c r="D440" s="11"/>
      <c r="E440" s="13">
        <v>6.0</v>
      </c>
      <c r="F440" s="13">
        <v>5.0</v>
      </c>
      <c r="G440" s="12">
        <f t="shared" si="103"/>
        <v>1</v>
      </c>
      <c r="H440" s="12">
        <f t="shared" si="104"/>
        <v>12</v>
      </c>
      <c r="I440" s="14">
        <f t="shared" si="105"/>
        <v>6</v>
      </c>
    </row>
    <row r="441">
      <c r="A441" s="11" t="s">
        <v>16</v>
      </c>
      <c r="B441" s="12">
        <f t="shared" si="102"/>
        <v>7</v>
      </c>
      <c r="C441" s="11"/>
      <c r="D441" s="13">
        <v>27.0</v>
      </c>
      <c r="E441" s="13">
        <v>5.0</v>
      </c>
      <c r="F441" s="13">
        <v>5.0</v>
      </c>
      <c r="G441" s="12">
        <f t="shared" si="103"/>
        <v>0</v>
      </c>
      <c r="H441" s="12">
        <f t="shared" si="104"/>
        <v>34</v>
      </c>
      <c r="I441" s="14">
        <f t="shared" si="105"/>
        <v>0</v>
      </c>
    </row>
    <row r="442">
      <c r="A442" s="11" t="s">
        <v>17</v>
      </c>
      <c r="B442" s="12">
        <f t="shared" si="102"/>
        <v>24</v>
      </c>
      <c r="C442" s="11"/>
      <c r="D442" s="11"/>
      <c r="E442" s="13">
        <v>4.0</v>
      </c>
      <c r="F442" s="13">
        <v>4.0</v>
      </c>
      <c r="G442" s="12">
        <f t="shared" si="103"/>
        <v>0</v>
      </c>
      <c r="H442" s="12">
        <f t="shared" si="104"/>
        <v>24</v>
      </c>
      <c r="I442" s="14">
        <f t="shared" si="105"/>
        <v>0</v>
      </c>
    </row>
    <row r="443">
      <c r="A443" s="11" t="s">
        <v>18</v>
      </c>
      <c r="B443" s="12">
        <f t="shared" si="102"/>
        <v>17</v>
      </c>
      <c r="C443" s="11"/>
      <c r="D443" s="11"/>
      <c r="E443" s="13">
        <v>6.0</v>
      </c>
      <c r="F443" s="13">
        <v>5.0</v>
      </c>
      <c r="G443" s="12">
        <f t="shared" si="103"/>
        <v>1</v>
      </c>
      <c r="H443" s="12">
        <f t="shared" si="104"/>
        <v>16</v>
      </c>
      <c r="I443" s="14">
        <f t="shared" si="105"/>
        <v>6</v>
      </c>
    </row>
    <row r="444">
      <c r="A444" s="11" t="s">
        <v>19</v>
      </c>
      <c r="B444" s="12">
        <f t="shared" si="102"/>
        <v>36</v>
      </c>
      <c r="C444" s="11"/>
      <c r="D444" s="11"/>
      <c r="E444" s="13">
        <v>6.0</v>
      </c>
      <c r="F444" s="13">
        <v>5.0</v>
      </c>
      <c r="G444" s="12">
        <f t="shared" si="103"/>
        <v>1</v>
      </c>
      <c r="H444" s="12">
        <f t="shared" si="104"/>
        <v>35</v>
      </c>
      <c r="I444" s="14">
        <f t="shared" si="105"/>
        <v>6</v>
      </c>
    </row>
    <row r="445">
      <c r="A445" s="11" t="s">
        <v>20</v>
      </c>
      <c r="B445" s="12">
        <f t="shared" si="102"/>
        <v>21</v>
      </c>
      <c r="C445" s="11"/>
      <c r="D445" s="11"/>
      <c r="E445" s="13">
        <v>6.0</v>
      </c>
      <c r="F445" s="13">
        <v>5.0</v>
      </c>
      <c r="G445" s="12">
        <f t="shared" si="103"/>
        <v>1</v>
      </c>
      <c r="H445" s="12">
        <f t="shared" si="104"/>
        <v>20</v>
      </c>
      <c r="I445" s="14">
        <f t="shared" si="105"/>
        <v>6</v>
      </c>
    </row>
    <row r="446">
      <c r="A446" s="11" t="s">
        <v>21</v>
      </c>
      <c r="B446" s="12">
        <f t="shared" si="102"/>
        <v>15</v>
      </c>
      <c r="C446" s="11"/>
      <c r="D446" s="11"/>
      <c r="E446" s="13">
        <v>2.0</v>
      </c>
      <c r="F446" s="13">
        <v>2.0</v>
      </c>
      <c r="G446" s="12">
        <f t="shared" si="103"/>
        <v>0</v>
      </c>
      <c r="H446" s="12">
        <f t="shared" si="104"/>
        <v>15</v>
      </c>
      <c r="I446" s="14">
        <f t="shared" si="105"/>
        <v>0</v>
      </c>
    </row>
    <row r="447">
      <c r="A447" s="11" t="s">
        <v>22</v>
      </c>
      <c r="B447" s="12">
        <f t="shared" si="102"/>
        <v>3</v>
      </c>
      <c r="C447" s="11"/>
      <c r="D447" s="13">
        <v>27.0</v>
      </c>
      <c r="E447" s="13">
        <v>5.0</v>
      </c>
      <c r="F447" s="13">
        <v>4.0</v>
      </c>
      <c r="G447" s="12">
        <f t="shared" si="103"/>
        <v>1</v>
      </c>
      <c r="H447" s="12">
        <f t="shared" si="104"/>
        <v>29</v>
      </c>
      <c r="I447" s="14">
        <f t="shared" si="105"/>
        <v>6</v>
      </c>
    </row>
    <row r="448">
      <c r="A448" s="11" t="s">
        <v>23</v>
      </c>
      <c r="B448" s="12">
        <f t="shared" si="102"/>
        <v>18</v>
      </c>
      <c r="C448" s="11"/>
      <c r="D448" s="11"/>
      <c r="E448" s="13">
        <v>6.0</v>
      </c>
      <c r="F448" s="13">
        <v>5.0</v>
      </c>
      <c r="G448" s="12">
        <f t="shared" si="103"/>
        <v>1</v>
      </c>
      <c r="H448" s="12">
        <f t="shared" si="104"/>
        <v>17</v>
      </c>
      <c r="I448" s="14">
        <f t="shared" si="105"/>
        <v>6</v>
      </c>
    </row>
    <row r="449">
      <c r="A449" s="11" t="s">
        <v>24</v>
      </c>
      <c r="B449" s="12">
        <f t="shared" si="102"/>
        <v>11</v>
      </c>
      <c r="C449" s="11"/>
      <c r="D449" s="11"/>
      <c r="E449" s="13">
        <v>4.0</v>
      </c>
      <c r="F449" s="13">
        <v>4.0</v>
      </c>
      <c r="G449" s="12">
        <f t="shared" si="103"/>
        <v>0</v>
      </c>
      <c r="H449" s="12">
        <f t="shared" si="104"/>
        <v>11</v>
      </c>
      <c r="I449" s="14">
        <f t="shared" si="105"/>
        <v>0</v>
      </c>
    </row>
    <row r="450">
      <c r="A450" s="11" t="s">
        <v>25</v>
      </c>
      <c r="B450" s="12">
        <f t="shared" si="102"/>
        <v>15</v>
      </c>
      <c r="C450" s="11"/>
      <c r="D450" s="13">
        <v>29.0</v>
      </c>
      <c r="E450" s="13">
        <v>10.0</v>
      </c>
      <c r="F450" s="13">
        <v>4.0</v>
      </c>
      <c r="G450" s="12">
        <f t="shared" si="103"/>
        <v>6</v>
      </c>
      <c r="H450" s="12">
        <f t="shared" si="104"/>
        <v>38</v>
      </c>
      <c r="I450" s="14">
        <f t="shared" si="105"/>
        <v>36</v>
      </c>
    </row>
    <row r="451">
      <c r="A451" s="11" t="s">
        <v>26</v>
      </c>
      <c r="B451" s="12">
        <f t="shared" si="102"/>
        <v>20</v>
      </c>
      <c r="C451" s="11"/>
      <c r="D451" s="11"/>
      <c r="E451" s="13">
        <v>6.0</v>
      </c>
      <c r="F451" s="13">
        <v>6.0</v>
      </c>
      <c r="G451" s="12">
        <f t="shared" si="103"/>
        <v>0</v>
      </c>
      <c r="H451" s="12">
        <f t="shared" si="104"/>
        <v>20</v>
      </c>
      <c r="I451" s="14">
        <f t="shared" si="105"/>
        <v>0</v>
      </c>
    </row>
    <row r="452">
      <c r="A452" s="11" t="s">
        <v>27</v>
      </c>
      <c r="B452" s="12">
        <f t="shared" si="102"/>
        <v>17</v>
      </c>
      <c r="C452" s="11"/>
      <c r="D452" s="11"/>
      <c r="E452" s="13">
        <v>4.0</v>
      </c>
      <c r="F452" s="13">
        <v>4.0</v>
      </c>
      <c r="G452" s="12">
        <f t="shared" si="103"/>
        <v>0</v>
      </c>
      <c r="H452" s="12">
        <f t="shared" si="104"/>
        <v>17</v>
      </c>
      <c r="I452" s="14">
        <f t="shared" si="105"/>
        <v>0</v>
      </c>
    </row>
    <row r="453">
      <c r="A453" s="11" t="s">
        <v>28</v>
      </c>
      <c r="B453" s="12">
        <f t="shared" si="102"/>
        <v>16</v>
      </c>
      <c r="C453" s="13">
        <v>1.0</v>
      </c>
      <c r="D453" s="11"/>
      <c r="E453" s="13">
        <v>8.0</v>
      </c>
      <c r="F453" s="13">
        <v>3.0</v>
      </c>
      <c r="G453" s="12">
        <f t="shared" si="103"/>
        <v>5</v>
      </c>
      <c r="H453" s="12">
        <f t="shared" si="104"/>
        <v>10</v>
      </c>
      <c r="I453" s="14">
        <f t="shared" si="105"/>
        <v>30</v>
      </c>
    </row>
    <row r="454">
      <c r="A454" s="11" t="s">
        <v>30</v>
      </c>
      <c r="B454" s="12">
        <f t="shared" si="102"/>
        <v>18</v>
      </c>
      <c r="C454" s="11"/>
      <c r="D454" s="11"/>
      <c r="E454" s="13">
        <v>2.0</v>
      </c>
      <c r="F454" s="13">
        <v>2.0</v>
      </c>
      <c r="G454" s="12">
        <f t="shared" si="103"/>
        <v>0</v>
      </c>
      <c r="H454" s="12">
        <f t="shared" si="104"/>
        <v>18</v>
      </c>
      <c r="I454" s="14">
        <f t="shared" si="105"/>
        <v>0</v>
      </c>
    </row>
    <row r="455">
      <c r="A455" s="18" t="s">
        <v>86</v>
      </c>
      <c r="B455" s="12">
        <f t="shared" si="102"/>
        <v>27</v>
      </c>
      <c r="C455" s="11"/>
      <c r="D455" s="11"/>
      <c r="E455" s="13">
        <v>4.0</v>
      </c>
      <c r="F455" s="13">
        <v>4.0</v>
      </c>
      <c r="G455" s="12">
        <f t="shared" si="103"/>
        <v>0</v>
      </c>
      <c r="H455" s="12">
        <f t="shared" si="104"/>
        <v>27</v>
      </c>
      <c r="I455" s="14">
        <f t="shared" si="105"/>
        <v>0</v>
      </c>
    </row>
    <row r="456">
      <c r="A456" s="19" t="s">
        <v>33</v>
      </c>
      <c r="B456" s="20">
        <f>SUM(B435:B455)</f>
        <v>427</v>
      </c>
      <c r="C456" s="19"/>
      <c r="D456" s="19"/>
      <c r="E456" s="20">
        <f t="shared" ref="E456:G456" si="106">SUM(E434:E455)</f>
        <v>113</v>
      </c>
      <c r="F456" s="20">
        <f t="shared" si="106"/>
        <v>84</v>
      </c>
      <c r="G456" s="20">
        <f t="shared" si="106"/>
        <v>29</v>
      </c>
      <c r="H456" s="20">
        <f>SUM(H435:H455)</f>
        <v>479</v>
      </c>
      <c r="I456" s="21">
        <f>SUM(I434:I455)</f>
        <v>174</v>
      </c>
    </row>
    <row r="457">
      <c r="A457" s="22"/>
      <c r="B457" s="22"/>
      <c r="C457" s="22"/>
      <c r="D457" s="22"/>
      <c r="E457" s="22"/>
      <c r="F457" s="23" t="s">
        <v>34</v>
      </c>
      <c r="G457" s="4"/>
      <c r="H457" s="24"/>
      <c r="I457" s="25"/>
    </row>
    <row r="458">
      <c r="A458" s="22"/>
      <c r="B458" s="32"/>
      <c r="C458" s="32"/>
      <c r="D458" s="32"/>
      <c r="E458" s="33" t="s">
        <v>87</v>
      </c>
      <c r="F458" s="3"/>
      <c r="G458" s="4"/>
      <c r="H458" s="34"/>
      <c r="I458" s="35">
        <f>SUM(I435:I455)</f>
        <v>174</v>
      </c>
    </row>
    <row r="460">
      <c r="A460" s="1"/>
      <c r="B460" s="2" t="s">
        <v>122</v>
      </c>
      <c r="C460" s="3"/>
      <c r="D460" s="3"/>
      <c r="E460" s="3"/>
      <c r="F460" s="3"/>
      <c r="G460" s="3"/>
      <c r="H460" s="3"/>
      <c r="I460" s="4"/>
    </row>
    <row r="461">
      <c r="A461" s="5" t="s">
        <v>1</v>
      </c>
      <c r="B461" s="6" t="s">
        <v>2</v>
      </c>
      <c r="C461" s="7" t="s">
        <v>3</v>
      </c>
      <c r="D461" s="8" t="s">
        <v>4</v>
      </c>
      <c r="E461" s="5" t="s">
        <v>5</v>
      </c>
      <c r="F461" s="5" t="s">
        <v>6</v>
      </c>
      <c r="G461" s="5" t="s">
        <v>7</v>
      </c>
      <c r="H461" s="9" t="s">
        <v>8</v>
      </c>
      <c r="I461" s="10" t="s">
        <v>9</v>
      </c>
    </row>
    <row r="462">
      <c r="A462" s="11" t="s">
        <v>10</v>
      </c>
      <c r="B462" s="12">
        <f t="shared" ref="B462:B482" si="107">H435</f>
        <v>36</v>
      </c>
      <c r="C462" s="11"/>
      <c r="D462" s="11"/>
      <c r="E462" s="13">
        <v>6.0</v>
      </c>
      <c r="F462" s="13">
        <v>5.0</v>
      </c>
      <c r="G462" s="12">
        <f t="shared" ref="G462:G482" si="108">E462-F462</f>
        <v>1</v>
      </c>
      <c r="H462" s="12">
        <f t="shared" ref="H462:H482" si="109">B462-C462+D462-G462</f>
        <v>35</v>
      </c>
      <c r="I462" s="14">
        <f t="shared" ref="I462:I482" si="110">G462*6</f>
        <v>6</v>
      </c>
    </row>
    <row r="463">
      <c r="A463" s="11" t="s">
        <v>11</v>
      </c>
      <c r="B463" s="12">
        <f t="shared" si="107"/>
        <v>13</v>
      </c>
      <c r="C463" s="11"/>
      <c r="D463" s="11"/>
      <c r="E463" s="13">
        <v>6.0</v>
      </c>
      <c r="F463" s="13">
        <v>5.0</v>
      </c>
      <c r="G463" s="12">
        <f t="shared" si="108"/>
        <v>1</v>
      </c>
      <c r="H463" s="12">
        <f t="shared" si="109"/>
        <v>12</v>
      </c>
      <c r="I463" s="14">
        <f t="shared" si="110"/>
        <v>6</v>
      </c>
    </row>
    <row r="464">
      <c r="A464" s="11" t="s">
        <v>12</v>
      </c>
      <c r="B464" s="12">
        <f t="shared" si="107"/>
        <v>37</v>
      </c>
      <c r="C464" s="11"/>
      <c r="D464" s="11"/>
      <c r="E464" s="13">
        <v>6.0</v>
      </c>
      <c r="F464" s="13">
        <v>6.0</v>
      </c>
      <c r="G464" s="12">
        <f t="shared" si="108"/>
        <v>0</v>
      </c>
      <c r="H464" s="12">
        <f t="shared" si="109"/>
        <v>37</v>
      </c>
      <c r="I464" s="14">
        <f t="shared" si="110"/>
        <v>0</v>
      </c>
    </row>
    <row r="465">
      <c r="A465" s="11" t="s">
        <v>13</v>
      </c>
      <c r="B465" s="12">
        <f t="shared" si="107"/>
        <v>23</v>
      </c>
      <c r="C465" s="11"/>
      <c r="D465" s="11"/>
      <c r="E465" s="13">
        <v>7.0</v>
      </c>
      <c r="F465" s="13">
        <v>7.0</v>
      </c>
      <c r="G465" s="12">
        <f t="shared" si="108"/>
        <v>0</v>
      </c>
      <c r="H465" s="12">
        <f t="shared" si="109"/>
        <v>23</v>
      </c>
      <c r="I465" s="14">
        <f t="shared" si="110"/>
        <v>0</v>
      </c>
    </row>
    <row r="466">
      <c r="A466" s="11" t="s">
        <v>14</v>
      </c>
      <c r="B466" s="12">
        <f t="shared" si="107"/>
        <v>27</v>
      </c>
      <c r="C466" s="11"/>
      <c r="D466" s="11"/>
      <c r="E466" s="13">
        <v>4.0</v>
      </c>
      <c r="F466" s="13">
        <v>2.0</v>
      </c>
      <c r="G466" s="12">
        <f t="shared" si="108"/>
        <v>2</v>
      </c>
      <c r="H466" s="12">
        <f t="shared" si="109"/>
        <v>25</v>
      </c>
      <c r="I466" s="14">
        <f t="shared" si="110"/>
        <v>12</v>
      </c>
    </row>
    <row r="467">
      <c r="A467" s="11" t="s">
        <v>15</v>
      </c>
      <c r="B467" s="12">
        <f t="shared" si="107"/>
        <v>12</v>
      </c>
      <c r="C467" s="11"/>
      <c r="D467" s="13">
        <v>31.0</v>
      </c>
      <c r="E467" s="13">
        <v>6.0</v>
      </c>
      <c r="F467" s="13">
        <v>3.0</v>
      </c>
      <c r="G467" s="12">
        <f t="shared" si="108"/>
        <v>3</v>
      </c>
      <c r="H467" s="12">
        <f t="shared" si="109"/>
        <v>40</v>
      </c>
      <c r="I467" s="14">
        <f t="shared" si="110"/>
        <v>18</v>
      </c>
    </row>
    <row r="468">
      <c r="A468" s="11" t="s">
        <v>16</v>
      </c>
      <c r="B468" s="12">
        <f t="shared" si="107"/>
        <v>34</v>
      </c>
      <c r="C468" s="11"/>
      <c r="D468" s="11"/>
      <c r="E468" s="13">
        <v>5.0</v>
      </c>
      <c r="F468" s="13">
        <v>4.0</v>
      </c>
      <c r="G468" s="12">
        <f t="shared" si="108"/>
        <v>1</v>
      </c>
      <c r="H468" s="12">
        <f t="shared" si="109"/>
        <v>33</v>
      </c>
      <c r="I468" s="14">
        <f t="shared" si="110"/>
        <v>6</v>
      </c>
    </row>
    <row r="469">
      <c r="A469" s="11" t="s">
        <v>17</v>
      </c>
      <c r="B469" s="12">
        <f t="shared" si="107"/>
        <v>24</v>
      </c>
      <c r="C469" s="11"/>
      <c r="D469" s="11"/>
      <c r="E469" s="13">
        <v>4.0</v>
      </c>
      <c r="F469" s="13">
        <v>2.0</v>
      </c>
      <c r="G469" s="12">
        <f t="shared" si="108"/>
        <v>2</v>
      </c>
      <c r="H469" s="12">
        <f t="shared" si="109"/>
        <v>22</v>
      </c>
      <c r="I469" s="14">
        <f t="shared" si="110"/>
        <v>12</v>
      </c>
    </row>
    <row r="470">
      <c r="A470" s="11" t="s">
        <v>18</v>
      </c>
      <c r="B470" s="12">
        <f t="shared" si="107"/>
        <v>16</v>
      </c>
      <c r="C470" s="11"/>
      <c r="D470" s="11"/>
      <c r="E470" s="13">
        <v>6.0</v>
      </c>
      <c r="F470" s="13">
        <v>3.0</v>
      </c>
      <c r="G470" s="12">
        <f t="shared" si="108"/>
        <v>3</v>
      </c>
      <c r="H470" s="12">
        <f t="shared" si="109"/>
        <v>13</v>
      </c>
      <c r="I470" s="14">
        <f t="shared" si="110"/>
        <v>18</v>
      </c>
    </row>
    <row r="471">
      <c r="A471" s="11" t="s">
        <v>19</v>
      </c>
      <c r="B471" s="12">
        <f t="shared" si="107"/>
        <v>35</v>
      </c>
      <c r="C471" s="11"/>
      <c r="D471" s="11"/>
      <c r="E471" s="13">
        <v>6.0</v>
      </c>
      <c r="F471" s="13">
        <v>3.0</v>
      </c>
      <c r="G471" s="12">
        <f t="shared" si="108"/>
        <v>3</v>
      </c>
      <c r="H471" s="12">
        <f t="shared" si="109"/>
        <v>32</v>
      </c>
      <c r="I471" s="14">
        <f t="shared" si="110"/>
        <v>18</v>
      </c>
    </row>
    <row r="472">
      <c r="A472" s="11" t="s">
        <v>20</v>
      </c>
      <c r="B472" s="12">
        <f t="shared" si="107"/>
        <v>20</v>
      </c>
      <c r="C472" s="11"/>
      <c r="D472" s="11"/>
      <c r="E472" s="13">
        <v>6.0</v>
      </c>
      <c r="F472" s="13">
        <v>6.0</v>
      </c>
      <c r="G472" s="12">
        <f t="shared" si="108"/>
        <v>0</v>
      </c>
      <c r="H472" s="12">
        <f t="shared" si="109"/>
        <v>20</v>
      </c>
      <c r="I472" s="14">
        <f t="shared" si="110"/>
        <v>0</v>
      </c>
    </row>
    <row r="473">
      <c r="A473" s="11" t="s">
        <v>21</v>
      </c>
      <c r="B473" s="12">
        <f t="shared" si="107"/>
        <v>15</v>
      </c>
      <c r="C473" s="11"/>
      <c r="D473" s="11"/>
      <c r="E473" s="13">
        <v>2.0</v>
      </c>
      <c r="F473" s="13">
        <v>1.0</v>
      </c>
      <c r="G473" s="12">
        <f t="shared" si="108"/>
        <v>1</v>
      </c>
      <c r="H473" s="12">
        <f t="shared" si="109"/>
        <v>14</v>
      </c>
      <c r="I473" s="14">
        <f t="shared" si="110"/>
        <v>6</v>
      </c>
    </row>
    <row r="474">
      <c r="A474" s="11" t="s">
        <v>22</v>
      </c>
      <c r="B474" s="12">
        <f t="shared" si="107"/>
        <v>29</v>
      </c>
      <c r="C474" s="11"/>
      <c r="D474" s="11"/>
      <c r="E474" s="13">
        <v>5.0</v>
      </c>
      <c r="F474" s="13">
        <v>5.0</v>
      </c>
      <c r="G474" s="12">
        <f t="shared" si="108"/>
        <v>0</v>
      </c>
      <c r="H474" s="12">
        <f t="shared" si="109"/>
        <v>29</v>
      </c>
      <c r="I474" s="14">
        <f t="shared" si="110"/>
        <v>0</v>
      </c>
    </row>
    <row r="475">
      <c r="A475" s="11" t="s">
        <v>23</v>
      </c>
      <c r="B475" s="12">
        <f t="shared" si="107"/>
        <v>17</v>
      </c>
      <c r="C475" s="11"/>
      <c r="D475" s="11"/>
      <c r="E475" s="13">
        <v>6.0</v>
      </c>
      <c r="F475" s="13">
        <v>6.0</v>
      </c>
      <c r="G475" s="12">
        <f t="shared" si="108"/>
        <v>0</v>
      </c>
      <c r="H475" s="12">
        <f t="shared" si="109"/>
        <v>17</v>
      </c>
      <c r="I475" s="14">
        <f t="shared" si="110"/>
        <v>0</v>
      </c>
      <c r="K475" s="30"/>
    </row>
    <row r="476">
      <c r="A476" s="11" t="s">
        <v>24</v>
      </c>
      <c r="B476" s="12">
        <f t="shared" si="107"/>
        <v>11</v>
      </c>
      <c r="C476" s="11"/>
      <c r="D476" s="11"/>
      <c r="E476" s="13">
        <v>4.0</v>
      </c>
      <c r="F476" s="13">
        <v>3.0</v>
      </c>
      <c r="G476" s="12">
        <f t="shared" si="108"/>
        <v>1</v>
      </c>
      <c r="H476" s="12">
        <f t="shared" si="109"/>
        <v>10</v>
      </c>
      <c r="I476" s="14">
        <f t="shared" si="110"/>
        <v>6</v>
      </c>
    </row>
    <row r="477">
      <c r="A477" s="11" t="s">
        <v>25</v>
      </c>
      <c r="B477" s="12">
        <f t="shared" si="107"/>
        <v>38</v>
      </c>
      <c r="C477" s="11"/>
      <c r="D477" s="11"/>
      <c r="E477" s="13">
        <v>10.0</v>
      </c>
      <c r="F477" s="13">
        <v>7.0</v>
      </c>
      <c r="G477" s="12">
        <f t="shared" si="108"/>
        <v>3</v>
      </c>
      <c r="H477" s="12">
        <f t="shared" si="109"/>
        <v>35</v>
      </c>
      <c r="I477" s="14">
        <f t="shared" si="110"/>
        <v>18</v>
      </c>
    </row>
    <row r="478">
      <c r="A478" s="11" t="s">
        <v>26</v>
      </c>
      <c r="B478" s="12">
        <f t="shared" si="107"/>
        <v>20</v>
      </c>
      <c r="C478" s="11"/>
      <c r="D478" s="11"/>
      <c r="E478" s="13">
        <v>6.0</v>
      </c>
      <c r="F478" s="13">
        <v>5.0</v>
      </c>
      <c r="G478" s="12">
        <f t="shared" si="108"/>
        <v>1</v>
      </c>
      <c r="H478" s="12">
        <f t="shared" si="109"/>
        <v>19</v>
      </c>
      <c r="I478" s="14">
        <f t="shared" si="110"/>
        <v>6</v>
      </c>
    </row>
    <row r="479">
      <c r="A479" s="11" t="s">
        <v>27</v>
      </c>
      <c r="B479" s="12">
        <f t="shared" si="107"/>
        <v>17</v>
      </c>
      <c r="C479" s="11"/>
      <c r="D479" s="11"/>
      <c r="E479" s="13">
        <v>4.0</v>
      </c>
      <c r="F479" s="13">
        <v>4.0</v>
      </c>
      <c r="G479" s="12">
        <f t="shared" si="108"/>
        <v>0</v>
      </c>
      <c r="H479" s="12">
        <f t="shared" si="109"/>
        <v>17</v>
      </c>
      <c r="I479" s="14">
        <f t="shared" si="110"/>
        <v>0</v>
      </c>
    </row>
    <row r="480">
      <c r="A480" s="11" t="s">
        <v>28</v>
      </c>
      <c r="B480" s="12">
        <f t="shared" si="107"/>
        <v>10</v>
      </c>
      <c r="C480" s="11"/>
      <c r="D480" s="13">
        <v>33.0</v>
      </c>
      <c r="E480" s="13">
        <v>8.0</v>
      </c>
      <c r="F480" s="13">
        <v>4.0</v>
      </c>
      <c r="G480" s="12">
        <f t="shared" si="108"/>
        <v>4</v>
      </c>
      <c r="H480" s="12">
        <f t="shared" si="109"/>
        <v>39</v>
      </c>
      <c r="I480" s="14">
        <f t="shared" si="110"/>
        <v>24</v>
      </c>
    </row>
    <row r="481">
      <c r="A481" s="11" t="s">
        <v>30</v>
      </c>
      <c r="B481" s="12">
        <f t="shared" si="107"/>
        <v>18</v>
      </c>
      <c r="C481" s="11"/>
      <c r="D481" s="11"/>
      <c r="E481" s="13">
        <v>2.0</v>
      </c>
      <c r="F481" s="13">
        <v>0.0</v>
      </c>
      <c r="G481" s="12">
        <f t="shared" si="108"/>
        <v>2</v>
      </c>
      <c r="H481" s="12">
        <f t="shared" si="109"/>
        <v>16</v>
      </c>
      <c r="I481" s="14">
        <f t="shared" si="110"/>
        <v>12</v>
      </c>
    </row>
    <row r="482">
      <c r="A482" s="18" t="s">
        <v>86</v>
      </c>
      <c r="B482" s="12">
        <f t="shared" si="107"/>
        <v>27</v>
      </c>
      <c r="C482" s="11"/>
      <c r="D482" s="11"/>
      <c r="E482" s="13">
        <v>4.0</v>
      </c>
      <c r="F482" s="13">
        <v>1.0</v>
      </c>
      <c r="G482" s="12">
        <f t="shared" si="108"/>
        <v>3</v>
      </c>
      <c r="H482" s="12">
        <f t="shared" si="109"/>
        <v>24</v>
      </c>
      <c r="I482" s="14">
        <f t="shared" si="110"/>
        <v>18</v>
      </c>
    </row>
    <row r="483">
      <c r="A483" s="19" t="s">
        <v>33</v>
      </c>
      <c r="B483" s="20">
        <f>SUM(B462:B482)</f>
        <v>479</v>
      </c>
      <c r="C483" s="19"/>
      <c r="D483" s="19"/>
      <c r="E483" s="20">
        <f t="shared" ref="E483:G483" si="111">SUM(E461:E482)</f>
        <v>113</v>
      </c>
      <c r="F483" s="20">
        <f t="shared" si="111"/>
        <v>82</v>
      </c>
      <c r="G483" s="20">
        <f t="shared" si="111"/>
        <v>31</v>
      </c>
      <c r="H483" s="20">
        <f>SUM(H462:H482)</f>
        <v>512</v>
      </c>
      <c r="I483" s="21">
        <f>SUM(I461:I482)</f>
        <v>186</v>
      </c>
    </row>
    <row r="484">
      <c r="A484" s="22"/>
      <c r="B484" s="22"/>
      <c r="C484" s="22"/>
      <c r="D484" s="22"/>
      <c r="E484" s="22"/>
      <c r="F484" s="23" t="s">
        <v>34</v>
      </c>
      <c r="G484" s="4"/>
      <c r="H484" s="24"/>
      <c r="I484" s="25"/>
    </row>
    <row r="485">
      <c r="A485" s="22"/>
      <c r="B485" s="32"/>
      <c r="C485" s="32"/>
      <c r="D485" s="32"/>
      <c r="E485" s="33" t="s">
        <v>87</v>
      </c>
      <c r="F485" s="3"/>
      <c r="G485" s="4"/>
      <c r="H485" s="34"/>
      <c r="I485" s="35">
        <f>SUM(I462:I482)</f>
        <v>186</v>
      </c>
    </row>
  </sheetData>
  <mergeCells count="54">
    <mergeCell ref="B1:I1"/>
    <mergeCell ref="F25:G25"/>
    <mergeCell ref="E26:G26"/>
    <mergeCell ref="B28:I28"/>
    <mergeCell ref="F52:G52"/>
    <mergeCell ref="E53:G53"/>
    <mergeCell ref="B55:I55"/>
    <mergeCell ref="F79:G79"/>
    <mergeCell ref="E80:G80"/>
    <mergeCell ref="B82:I82"/>
    <mergeCell ref="F106:G106"/>
    <mergeCell ref="E107:G107"/>
    <mergeCell ref="B109:I109"/>
    <mergeCell ref="F133:G133"/>
    <mergeCell ref="E134:G134"/>
    <mergeCell ref="B136:I136"/>
    <mergeCell ref="F160:G160"/>
    <mergeCell ref="E161:G161"/>
    <mergeCell ref="B163:I163"/>
    <mergeCell ref="E188:G188"/>
    <mergeCell ref="B190:I190"/>
    <mergeCell ref="F187:G187"/>
    <mergeCell ref="F214:G214"/>
    <mergeCell ref="E215:G215"/>
    <mergeCell ref="B217:I217"/>
    <mergeCell ref="F241:G241"/>
    <mergeCell ref="E242:G242"/>
    <mergeCell ref="B244:I244"/>
    <mergeCell ref="F268:G268"/>
    <mergeCell ref="E269:G269"/>
    <mergeCell ref="B271:I271"/>
    <mergeCell ref="F295:G295"/>
    <mergeCell ref="E296:G296"/>
    <mergeCell ref="B298:I298"/>
    <mergeCell ref="F322:G322"/>
    <mergeCell ref="E323:G323"/>
    <mergeCell ref="B325:I325"/>
    <mergeCell ref="F349:G349"/>
    <mergeCell ref="E350:G350"/>
    <mergeCell ref="B352:I352"/>
    <mergeCell ref="E377:G377"/>
    <mergeCell ref="B379:I379"/>
    <mergeCell ref="F457:G457"/>
    <mergeCell ref="E458:G458"/>
    <mergeCell ref="B460:I460"/>
    <mergeCell ref="F484:G484"/>
    <mergeCell ref="E485:G485"/>
    <mergeCell ref="F376:G376"/>
    <mergeCell ref="F403:G403"/>
    <mergeCell ref="E404:G404"/>
    <mergeCell ref="B406:I406"/>
    <mergeCell ref="F430:G430"/>
    <mergeCell ref="E431:G431"/>
    <mergeCell ref="B433:I433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3.75"/>
    <col customWidth="1" min="7" max="7" width="4.63"/>
    <col customWidth="1" min="11" max="11" width="17.5"/>
  </cols>
  <sheetData>
    <row r="1">
      <c r="A1" s="39" t="s">
        <v>123</v>
      </c>
      <c r="B1" s="40"/>
      <c r="C1" s="40"/>
      <c r="D1" s="40"/>
      <c r="E1" s="40"/>
      <c r="F1" s="40"/>
      <c r="G1" s="40"/>
      <c r="H1" s="41"/>
    </row>
    <row r="2">
      <c r="A2" s="42"/>
      <c r="B2" s="43"/>
      <c r="C2" s="43"/>
      <c r="D2" s="43"/>
      <c r="E2" s="43"/>
      <c r="F2" s="43"/>
      <c r="G2" s="43"/>
      <c r="H2" s="44"/>
    </row>
    <row r="3">
      <c r="A3" s="45" t="s">
        <v>18</v>
      </c>
      <c r="B3" s="3"/>
      <c r="C3" s="3"/>
      <c r="D3" s="3"/>
      <c r="E3" s="3"/>
      <c r="F3" s="3"/>
      <c r="G3" s="3"/>
      <c r="H3" s="4"/>
    </row>
    <row r="4">
      <c r="A4" s="46" t="s">
        <v>124</v>
      </c>
      <c r="B4" s="46" t="s">
        <v>125</v>
      </c>
      <c r="C4" s="46" t="s">
        <v>126</v>
      </c>
      <c r="D4" s="46" t="s">
        <v>127</v>
      </c>
      <c r="E4" s="47" t="s">
        <v>128</v>
      </c>
      <c r="F4" s="47"/>
      <c r="G4" s="47" t="s">
        <v>129</v>
      </c>
      <c r="H4" s="47" t="s">
        <v>130</v>
      </c>
    </row>
    <row r="5">
      <c r="A5" s="48" t="s">
        <v>131</v>
      </c>
      <c r="B5" s="49">
        <v>8.0</v>
      </c>
      <c r="C5" s="48">
        <v>2000.0</v>
      </c>
      <c r="D5" s="50">
        <f t="shared" ref="D5:D13" si="1">B5/C5</f>
        <v>0.004</v>
      </c>
      <c r="E5" s="48">
        <v>400.0</v>
      </c>
      <c r="F5" s="48"/>
      <c r="G5" s="51" t="s">
        <v>132</v>
      </c>
      <c r="H5" s="49">
        <f t="shared" ref="H5:H13" si="2">D5*E5</f>
        <v>1.6</v>
      </c>
    </row>
    <row r="6">
      <c r="A6" s="48" t="s">
        <v>133</v>
      </c>
      <c r="B6" s="49">
        <v>3.0</v>
      </c>
      <c r="C6" s="48">
        <v>1.0</v>
      </c>
      <c r="D6" s="50">
        <f t="shared" si="1"/>
        <v>3</v>
      </c>
      <c r="E6" s="48">
        <v>1.0</v>
      </c>
      <c r="F6" s="48"/>
      <c r="G6" s="51" t="s">
        <v>134</v>
      </c>
      <c r="H6" s="49">
        <f t="shared" si="2"/>
        <v>3</v>
      </c>
    </row>
    <row r="7">
      <c r="A7" s="52" t="s">
        <v>135</v>
      </c>
      <c r="B7" s="53">
        <v>35.0</v>
      </c>
      <c r="C7" s="52">
        <v>1000.0</v>
      </c>
      <c r="D7" s="50">
        <f t="shared" si="1"/>
        <v>0.035</v>
      </c>
      <c r="E7" s="52">
        <v>20.0</v>
      </c>
      <c r="F7" s="52"/>
      <c r="G7" s="54" t="s">
        <v>136</v>
      </c>
      <c r="H7" s="49">
        <f t="shared" si="2"/>
        <v>0.7</v>
      </c>
      <c r="J7" s="55"/>
      <c r="K7" s="55"/>
      <c r="L7" s="55"/>
      <c r="M7" s="56"/>
      <c r="N7" s="56"/>
    </row>
    <row r="8">
      <c r="A8" s="52" t="s">
        <v>137</v>
      </c>
      <c r="B8" s="53">
        <v>120.0</v>
      </c>
      <c r="C8" s="52">
        <v>1000.0</v>
      </c>
      <c r="D8" s="57">
        <f t="shared" si="1"/>
        <v>0.12</v>
      </c>
      <c r="E8" s="52">
        <v>20.0</v>
      </c>
      <c r="F8" s="52"/>
      <c r="G8" s="54" t="s">
        <v>129</v>
      </c>
      <c r="H8" s="53">
        <f t="shared" si="2"/>
        <v>2.4</v>
      </c>
      <c r="J8" s="58" t="s">
        <v>138</v>
      </c>
      <c r="K8" s="58" t="s">
        <v>139</v>
      </c>
      <c r="L8" s="58" t="s">
        <v>140</v>
      </c>
      <c r="M8" s="59" t="s">
        <v>141</v>
      </c>
      <c r="N8" s="59" t="s">
        <v>142</v>
      </c>
    </row>
    <row r="9">
      <c r="A9" s="48" t="s">
        <v>143</v>
      </c>
      <c r="B9" s="49">
        <v>4.5</v>
      </c>
      <c r="C9" s="48">
        <v>1.0</v>
      </c>
      <c r="D9" s="50">
        <f t="shared" si="1"/>
        <v>4.5</v>
      </c>
      <c r="E9" s="48">
        <v>1.0</v>
      </c>
      <c r="F9" s="48"/>
      <c r="G9" s="51" t="s">
        <v>134</v>
      </c>
      <c r="H9" s="49">
        <f t="shared" si="2"/>
        <v>4.5</v>
      </c>
      <c r="J9" s="60">
        <f>H14</f>
        <v>30.12</v>
      </c>
      <c r="K9" s="61">
        <v>20.0</v>
      </c>
      <c r="L9" s="49">
        <v>6.0</v>
      </c>
      <c r="M9" s="62">
        <f>K9*L9</f>
        <v>120</v>
      </c>
      <c r="N9" s="63">
        <f>M9-J9</f>
        <v>89.88</v>
      </c>
    </row>
    <row r="10">
      <c r="A10" s="48" t="s">
        <v>144</v>
      </c>
      <c r="B10" s="49">
        <v>38.0</v>
      </c>
      <c r="C10" s="48">
        <v>1000.0</v>
      </c>
      <c r="D10" s="50">
        <f t="shared" si="1"/>
        <v>0.038</v>
      </c>
      <c r="E10" s="64">
        <v>60.0</v>
      </c>
      <c r="F10" s="64"/>
      <c r="G10" s="51" t="s">
        <v>132</v>
      </c>
      <c r="H10" s="49">
        <f t="shared" si="2"/>
        <v>2.28</v>
      </c>
    </row>
    <row r="11">
      <c r="A11" s="48" t="s">
        <v>145</v>
      </c>
      <c r="B11" s="49">
        <v>5.0</v>
      </c>
      <c r="C11" s="48">
        <v>1.0</v>
      </c>
      <c r="D11" s="50">
        <f t="shared" si="1"/>
        <v>5</v>
      </c>
      <c r="E11" s="48">
        <v>1.5</v>
      </c>
      <c r="F11" s="48"/>
      <c r="G11" s="51" t="s">
        <v>146</v>
      </c>
      <c r="H11" s="49">
        <f t="shared" si="2"/>
        <v>7.5</v>
      </c>
    </row>
    <row r="12">
      <c r="A12" s="36" t="s">
        <v>147</v>
      </c>
      <c r="B12" s="49">
        <v>32.0</v>
      </c>
      <c r="C12" s="48">
        <v>1000.0</v>
      </c>
      <c r="D12" s="50">
        <f t="shared" si="1"/>
        <v>0.032</v>
      </c>
      <c r="E12" s="64">
        <v>20.0</v>
      </c>
      <c r="F12" s="64"/>
      <c r="G12" s="51" t="s">
        <v>132</v>
      </c>
      <c r="H12" s="49">
        <f t="shared" si="2"/>
        <v>0.64</v>
      </c>
    </row>
    <row r="13">
      <c r="A13" s="48" t="s">
        <v>148</v>
      </c>
      <c r="B13" s="49">
        <v>25.0</v>
      </c>
      <c r="C13" s="48">
        <v>1000.0</v>
      </c>
      <c r="D13" s="50">
        <f t="shared" si="1"/>
        <v>0.025</v>
      </c>
      <c r="E13" s="48">
        <v>300.0</v>
      </c>
      <c r="F13" s="48"/>
      <c r="G13" s="51" t="s">
        <v>149</v>
      </c>
      <c r="H13" s="49">
        <f t="shared" si="2"/>
        <v>7.5</v>
      </c>
    </row>
    <row r="14">
      <c r="B14" s="65"/>
      <c r="C14" s="65"/>
      <c r="E14" s="65" t="s">
        <v>150</v>
      </c>
      <c r="F14" s="65"/>
      <c r="G14" s="65"/>
      <c r="H14" s="66">
        <f>SUM(H5:H13)</f>
        <v>30.12</v>
      </c>
    </row>
    <row r="15" ht="20.25" customHeight="1">
      <c r="A15" s="67" t="s">
        <v>123</v>
      </c>
      <c r="B15" s="40"/>
      <c r="C15" s="40"/>
      <c r="D15" s="40"/>
      <c r="E15" s="40"/>
      <c r="F15" s="40"/>
      <c r="G15" s="40"/>
      <c r="H15" s="41"/>
    </row>
    <row r="16">
      <c r="A16" s="42"/>
      <c r="B16" s="43"/>
      <c r="C16" s="43"/>
      <c r="D16" s="43"/>
      <c r="E16" s="43"/>
      <c r="F16" s="43"/>
      <c r="G16" s="43"/>
      <c r="H16" s="44"/>
    </row>
    <row r="17">
      <c r="A17" s="45" t="s">
        <v>12</v>
      </c>
      <c r="B17" s="3"/>
      <c r="C17" s="3"/>
      <c r="D17" s="3"/>
      <c r="E17" s="3"/>
      <c r="F17" s="3"/>
      <c r="G17" s="3"/>
      <c r="H17" s="4"/>
    </row>
    <row r="18">
      <c r="A18" s="48" t="s">
        <v>131</v>
      </c>
      <c r="B18" s="49">
        <v>8.0</v>
      </c>
      <c r="C18" s="48">
        <v>2000.0</v>
      </c>
      <c r="D18" s="50">
        <f t="shared" ref="D18:D28" si="3">B18/C18</f>
        <v>0.004</v>
      </c>
      <c r="E18" s="48">
        <v>500.0</v>
      </c>
      <c r="F18" s="48"/>
      <c r="G18" s="51" t="s">
        <v>132</v>
      </c>
      <c r="H18" s="49">
        <f t="shared" ref="H18:H28" si="4">D18*E18</f>
        <v>2</v>
      </c>
    </row>
    <row r="19">
      <c r="A19" s="48" t="s">
        <v>133</v>
      </c>
      <c r="B19" s="49">
        <v>3.0</v>
      </c>
      <c r="C19" s="48">
        <v>1.0</v>
      </c>
      <c r="D19" s="50">
        <f t="shared" si="3"/>
        <v>3</v>
      </c>
      <c r="E19" s="48">
        <v>1.0</v>
      </c>
      <c r="F19" s="48"/>
      <c r="G19" s="51" t="s">
        <v>134</v>
      </c>
      <c r="H19" s="49">
        <f t="shared" si="4"/>
        <v>3</v>
      </c>
    </row>
    <row r="20">
      <c r="A20" s="52" t="s">
        <v>151</v>
      </c>
      <c r="B20" s="49">
        <v>6.0</v>
      </c>
      <c r="C20" s="48">
        <v>1000.0</v>
      </c>
      <c r="D20" s="50">
        <f t="shared" si="3"/>
        <v>0.006</v>
      </c>
      <c r="E20" s="48">
        <v>96.0</v>
      </c>
      <c r="F20" s="48"/>
      <c r="G20" s="51" t="s">
        <v>152</v>
      </c>
      <c r="H20" s="49">
        <f t="shared" si="4"/>
        <v>0.576</v>
      </c>
      <c r="J20" s="55"/>
      <c r="K20" s="55"/>
      <c r="L20" s="55"/>
      <c r="M20" s="56"/>
      <c r="N20" s="56"/>
    </row>
    <row r="21">
      <c r="A21" s="52" t="s">
        <v>153</v>
      </c>
      <c r="B21" s="53">
        <v>40.0</v>
      </c>
      <c r="C21" s="52">
        <v>1000.0</v>
      </c>
      <c r="D21" s="50">
        <f t="shared" si="3"/>
        <v>0.04</v>
      </c>
      <c r="E21" s="52">
        <v>75.0</v>
      </c>
      <c r="F21" s="52"/>
      <c r="G21" s="54" t="s">
        <v>152</v>
      </c>
      <c r="H21" s="49">
        <f t="shared" si="4"/>
        <v>3</v>
      </c>
      <c r="J21" s="55"/>
      <c r="K21" s="55"/>
      <c r="L21" s="55"/>
      <c r="M21" s="56"/>
      <c r="N21" s="56"/>
    </row>
    <row r="22">
      <c r="A22" s="52" t="s">
        <v>135</v>
      </c>
      <c r="B22" s="53">
        <v>35.0</v>
      </c>
      <c r="C22" s="52">
        <v>1000.0</v>
      </c>
      <c r="D22" s="50">
        <f t="shared" si="3"/>
        <v>0.035</v>
      </c>
      <c r="E22" s="52">
        <v>30.0</v>
      </c>
      <c r="F22" s="52"/>
      <c r="G22" s="54" t="s">
        <v>136</v>
      </c>
      <c r="H22" s="49">
        <f t="shared" si="4"/>
        <v>1.05</v>
      </c>
      <c r="J22" s="55"/>
      <c r="K22" s="55"/>
      <c r="L22" s="55"/>
      <c r="M22" s="56"/>
      <c r="N22" s="56"/>
    </row>
    <row r="23">
      <c r="A23" s="52" t="s">
        <v>137</v>
      </c>
      <c r="B23" s="53">
        <v>120.0</v>
      </c>
      <c r="C23" s="52">
        <v>1000.0</v>
      </c>
      <c r="D23" s="57">
        <f t="shared" si="3"/>
        <v>0.12</v>
      </c>
      <c r="E23" s="52">
        <v>30.0</v>
      </c>
      <c r="F23" s="52"/>
      <c r="G23" s="54" t="s">
        <v>129</v>
      </c>
      <c r="H23" s="53">
        <f t="shared" si="4"/>
        <v>3.6</v>
      </c>
      <c r="J23" s="58" t="s">
        <v>138</v>
      </c>
      <c r="K23" s="58" t="s">
        <v>139</v>
      </c>
      <c r="L23" s="58" t="s">
        <v>140</v>
      </c>
      <c r="M23" s="59" t="s">
        <v>141</v>
      </c>
      <c r="N23" s="59" t="s">
        <v>142</v>
      </c>
    </row>
    <row r="24">
      <c r="A24" s="48" t="s">
        <v>154</v>
      </c>
      <c r="B24" s="49">
        <v>4.5</v>
      </c>
      <c r="C24" s="48">
        <v>1.0</v>
      </c>
      <c r="D24" s="50">
        <f t="shared" si="3"/>
        <v>4.5</v>
      </c>
      <c r="E24" s="48">
        <v>2.0</v>
      </c>
      <c r="F24" s="48"/>
      <c r="G24" s="51" t="s">
        <v>134</v>
      </c>
      <c r="H24" s="49">
        <f t="shared" si="4"/>
        <v>9</v>
      </c>
      <c r="J24" s="60">
        <f>H29</f>
        <v>62.486</v>
      </c>
      <c r="K24" s="61">
        <v>30.0</v>
      </c>
      <c r="L24" s="49">
        <v>6.0</v>
      </c>
      <c r="M24" s="62">
        <f>K24*L24</f>
        <v>180</v>
      </c>
      <c r="N24" s="63">
        <f>M24-J24</f>
        <v>117.514</v>
      </c>
    </row>
    <row r="25">
      <c r="A25" s="48" t="s">
        <v>144</v>
      </c>
      <c r="B25" s="49">
        <v>38.0</v>
      </c>
      <c r="C25" s="48">
        <v>1000.0</v>
      </c>
      <c r="D25" s="50">
        <f t="shared" si="3"/>
        <v>0.038</v>
      </c>
      <c r="E25" s="64">
        <v>60.0</v>
      </c>
      <c r="F25" s="64"/>
      <c r="G25" s="51" t="s">
        <v>132</v>
      </c>
      <c r="H25" s="49">
        <f t="shared" si="4"/>
        <v>2.28</v>
      </c>
    </row>
    <row r="26">
      <c r="A26" s="48" t="s">
        <v>145</v>
      </c>
      <c r="B26" s="49">
        <v>5.0</v>
      </c>
      <c r="C26" s="48">
        <v>1.0</v>
      </c>
      <c r="D26" s="50">
        <f t="shared" si="3"/>
        <v>5</v>
      </c>
      <c r="E26" s="48">
        <v>1.5</v>
      </c>
      <c r="F26" s="48"/>
      <c r="G26" s="51" t="s">
        <v>146</v>
      </c>
      <c r="H26" s="49">
        <f t="shared" si="4"/>
        <v>7.5</v>
      </c>
    </row>
    <row r="27">
      <c r="A27" s="36" t="s">
        <v>147</v>
      </c>
      <c r="B27" s="49">
        <v>32.0</v>
      </c>
      <c r="C27" s="48">
        <v>1000.0</v>
      </c>
      <c r="D27" s="50">
        <f t="shared" si="3"/>
        <v>0.032</v>
      </c>
      <c r="E27" s="64">
        <v>15.0</v>
      </c>
      <c r="F27" s="64"/>
      <c r="G27" s="51" t="s">
        <v>132</v>
      </c>
      <c r="H27" s="49">
        <f t="shared" si="4"/>
        <v>0.48</v>
      </c>
    </row>
    <row r="28">
      <c r="A28" s="48" t="s">
        <v>148</v>
      </c>
      <c r="B28" s="49">
        <v>30.0</v>
      </c>
      <c r="C28" s="48">
        <v>1000.0</v>
      </c>
      <c r="D28" s="50">
        <f t="shared" si="3"/>
        <v>0.03</v>
      </c>
      <c r="E28" s="48">
        <v>1000.0</v>
      </c>
      <c r="F28" s="48"/>
      <c r="G28" s="51" t="s">
        <v>149</v>
      </c>
      <c r="H28" s="49">
        <f t="shared" si="4"/>
        <v>30</v>
      </c>
    </row>
    <row r="29">
      <c r="B29" s="65"/>
      <c r="C29" s="65"/>
      <c r="E29" s="65" t="s">
        <v>150</v>
      </c>
      <c r="F29" s="65"/>
      <c r="G29" s="65"/>
      <c r="H29" s="66">
        <f>SUM(H18:H28)</f>
        <v>62.486</v>
      </c>
    </row>
    <row r="30">
      <c r="H30" s="30"/>
    </row>
    <row r="31">
      <c r="A31" s="68" t="s">
        <v>123</v>
      </c>
      <c r="B31" s="40"/>
      <c r="C31" s="40"/>
      <c r="D31" s="40"/>
      <c r="E31" s="40"/>
      <c r="F31" s="40"/>
      <c r="G31" s="40"/>
      <c r="H31" s="41"/>
      <c r="I31" s="22"/>
      <c r="J31" s="22"/>
      <c r="K31" s="22"/>
      <c r="L31" s="22"/>
      <c r="M31" s="22"/>
      <c r="N31" s="22"/>
      <c r="O31" s="22"/>
      <c r="P31" s="22"/>
      <c r="Q31" s="22"/>
      <c r="R31" s="22"/>
      <c r="S31" s="22"/>
      <c r="T31" s="22"/>
      <c r="U31" s="22"/>
      <c r="V31" s="22"/>
      <c r="W31" s="22"/>
      <c r="X31" s="22"/>
      <c r="Y31" s="22"/>
      <c r="Z31" s="22"/>
      <c r="AA31" s="22"/>
      <c r="AB31" s="22"/>
      <c r="AC31" s="22"/>
      <c r="AD31" s="22"/>
      <c r="AE31" s="22"/>
    </row>
    <row r="32">
      <c r="A32" s="42"/>
      <c r="B32" s="43"/>
      <c r="C32" s="43"/>
      <c r="D32" s="43"/>
      <c r="E32" s="43"/>
      <c r="F32" s="43"/>
      <c r="G32" s="43"/>
      <c r="H32" s="44"/>
      <c r="I32" s="22"/>
      <c r="J32" s="22"/>
      <c r="K32" s="22"/>
      <c r="L32" s="22"/>
      <c r="M32" s="22"/>
      <c r="N32" s="22"/>
      <c r="O32" s="22"/>
      <c r="P32" s="22"/>
      <c r="Q32" s="22"/>
      <c r="R32" s="22"/>
      <c r="S32" s="22"/>
      <c r="T32" s="22"/>
      <c r="U32" s="22"/>
      <c r="V32" s="22"/>
      <c r="W32" s="22"/>
      <c r="X32" s="22"/>
      <c r="Y32" s="22"/>
      <c r="Z32" s="22"/>
      <c r="AA32" s="22"/>
      <c r="AB32" s="22"/>
      <c r="AC32" s="22"/>
      <c r="AD32" s="22"/>
      <c r="AE32" s="22"/>
    </row>
    <row r="33">
      <c r="A33" s="69" t="s">
        <v>155</v>
      </c>
      <c r="B33" s="43"/>
      <c r="C33" s="43"/>
      <c r="D33" s="43"/>
      <c r="E33" s="43"/>
      <c r="F33" s="43"/>
      <c r="G33" s="43"/>
      <c r="H33" s="44"/>
      <c r="I33" s="22"/>
      <c r="J33" s="22"/>
      <c r="K33" s="22"/>
      <c r="L33" s="22"/>
      <c r="M33" s="22"/>
      <c r="N33" s="22"/>
      <c r="O33" s="22"/>
      <c r="P33" s="22"/>
      <c r="Q33" s="22"/>
      <c r="R33" s="22"/>
      <c r="S33" s="22"/>
      <c r="T33" s="22"/>
      <c r="U33" s="22"/>
      <c r="V33" s="22"/>
      <c r="W33" s="22"/>
      <c r="X33" s="22"/>
      <c r="Y33" s="22"/>
      <c r="Z33" s="22"/>
      <c r="AA33" s="22"/>
      <c r="AB33" s="22"/>
      <c r="AC33" s="22"/>
      <c r="AD33" s="22"/>
      <c r="AE33" s="22"/>
    </row>
    <row r="34">
      <c r="A34" s="70" t="s">
        <v>124</v>
      </c>
      <c r="B34" s="71" t="s">
        <v>125</v>
      </c>
      <c r="C34" s="71" t="s">
        <v>126</v>
      </c>
      <c r="D34" s="72" t="s">
        <v>127</v>
      </c>
      <c r="E34" s="72" t="s">
        <v>128</v>
      </c>
      <c r="F34" s="72"/>
      <c r="G34" s="73"/>
      <c r="H34" s="72" t="s">
        <v>130</v>
      </c>
      <c r="I34" s="22"/>
      <c r="J34" s="22"/>
      <c r="K34" s="22"/>
      <c r="L34" s="22"/>
      <c r="M34" s="22"/>
      <c r="N34" s="22"/>
      <c r="O34" s="22"/>
      <c r="P34" s="22"/>
      <c r="Q34" s="22"/>
      <c r="R34" s="22"/>
      <c r="S34" s="22"/>
      <c r="T34" s="22"/>
      <c r="U34" s="22"/>
      <c r="V34" s="22"/>
      <c r="W34" s="22"/>
      <c r="X34" s="22"/>
      <c r="Y34" s="22"/>
      <c r="Z34" s="22"/>
      <c r="AA34" s="22"/>
      <c r="AB34" s="22"/>
      <c r="AC34" s="22"/>
      <c r="AD34" s="22"/>
      <c r="AE34" s="22"/>
    </row>
    <row r="35">
      <c r="A35" s="74" t="s">
        <v>131</v>
      </c>
      <c r="B35" s="75">
        <v>8.0</v>
      </c>
      <c r="C35" s="76">
        <v>2000.0</v>
      </c>
      <c r="D35" s="77">
        <f t="shared" ref="D35:D45" si="5">B35/C35</f>
        <v>0.004</v>
      </c>
      <c r="E35" s="78">
        <v>450.0</v>
      </c>
      <c r="F35" s="78"/>
      <c r="G35" s="79" t="s">
        <v>132</v>
      </c>
      <c r="H35" s="49">
        <f t="shared" ref="H35:H45" si="6">D35*E35</f>
        <v>1.8</v>
      </c>
      <c r="I35" s="22"/>
      <c r="J35" s="22"/>
      <c r="K35" s="22"/>
      <c r="L35" s="22"/>
      <c r="M35" s="22"/>
      <c r="N35" s="22"/>
      <c r="O35" s="22"/>
      <c r="P35" s="22"/>
      <c r="Q35" s="22"/>
      <c r="R35" s="22"/>
      <c r="S35" s="22"/>
      <c r="T35" s="22"/>
      <c r="U35" s="22"/>
      <c r="V35" s="22"/>
      <c r="W35" s="22"/>
      <c r="X35" s="22"/>
      <c r="Y35" s="22"/>
      <c r="Z35" s="22"/>
      <c r="AA35" s="22"/>
      <c r="AB35" s="22"/>
      <c r="AC35" s="22"/>
      <c r="AD35" s="22"/>
      <c r="AE35" s="22"/>
    </row>
    <row r="36">
      <c r="A36" s="80" t="s">
        <v>156</v>
      </c>
      <c r="B36" s="75">
        <v>45.0</v>
      </c>
      <c r="C36" s="76">
        <v>1000.0</v>
      </c>
      <c r="D36" s="77">
        <f t="shared" si="5"/>
        <v>0.045</v>
      </c>
      <c r="E36" s="81">
        <v>100.0</v>
      </c>
      <c r="F36" s="81"/>
      <c r="G36" s="79" t="s">
        <v>132</v>
      </c>
      <c r="H36" s="49">
        <f t="shared" si="6"/>
        <v>4.5</v>
      </c>
      <c r="I36" s="22"/>
      <c r="J36" s="82"/>
      <c r="K36" s="82"/>
      <c r="L36" s="82"/>
      <c r="M36" s="82"/>
      <c r="N36" s="82"/>
      <c r="O36" s="22"/>
      <c r="P36" s="22"/>
      <c r="Q36" s="22"/>
      <c r="R36" s="22"/>
      <c r="S36" s="22"/>
      <c r="T36" s="22"/>
      <c r="U36" s="22"/>
      <c r="V36" s="22"/>
      <c r="W36" s="22"/>
      <c r="X36" s="22"/>
      <c r="Y36" s="22"/>
      <c r="Z36" s="22"/>
      <c r="AA36" s="22"/>
      <c r="AB36" s="22"/>
      <c r="AC36" s="22"/>
      <c r="AD36" s="22"/>
      <c r="AE36" s="22"/>
    </row>
    <row r="37">
      <c r="A37" s="80" t="s">
        <v>157</v>
      </c>
      <c r="B37" s="83">
        <v>20.0</v>
      </c>
      <c r="C37" s="76">
        <v>1000.0</v>
      </c>
      <c r="D37" s="77">
        <f t="shared" si="5"/>
        <v>0.02</v>
      </c>
      <c r="E37" s="81">
        <v>100.0</v>
      </c>
      <c r="F37" s="81"/>
      <c r="G37" s="79" t="s">
        <v>132</v>
      </c>
      <c r="H37" s="49">
        <f t="shared" si="6"/>
        <v>2</v>
      </c>
      <c r="I37" s="22"/>
      <c r="J37" s="84"/>
      <c r="K37" s="84"/>
      <c r="L37" s="84"/>
      <c r="M37" s="85"/>
      <c r="N37" s="85"/>
      <c r="O37" s="22"/>
      <c r="P37" s="22"/>
      <c r="Q37" s="22"/>
      <c r="R37" s="22"/>
      <c r="S37" s="22"/>
      <c r="T37" s="22"/>
      <c r="U37" s="22"/>
      <c r="V37" s="22"/>
      <c r="W37" s="22"/>
      <c r="X37" s="22"/>
      <c r="Y37" s="22"/>
      <c r="Z37" s="22"/>
      <c r="AA37" s="22"/>
      <c r="AB37" s="22"/>
      <c r="AC37" s="22"/>
      <c r="AD37" s="22"/>
      <c r="AE37" s="22"/>
    </row>
    <row r="38">
      <c r="A38" s="86" t="s">
        <v>133</v>
      </c>
      <c r="B38" s="87">
        <v>3.0</v>
      </c>
      <c r="C38" s="88">
        <v>1.0</v>
      </c>
      <c r="D38" s="77">
        <f t="shared" si="5"/>
        <v>3</v>
      </c>
      <c r="E38" s="88">
        <v>1.0</v>
      </c>
      <c r="F38" s="88"/>
      <c r="G38" s="89" t="s">
        <v>134</v>
      </c>
      <c r="H38" s="49">
        <f t="shared" si="6"/>
        <v>3</v>
      </c>
      <c r="I38" s="90"/>
      <c r="J38" s="91" t="s">
        <v>138</v>
      </c>
      <c r="K38" s="91" t="s">
        <v>139</v>
      </c>
      <c r="L38" s="91" t="s">
        <v>140</v>
      </c>
      <c r="M38" s="92" t="s">
        <v>141</v>
      </c>
      <c r="N38" s="92" t="s">
        <v>142</v>
      </c>
      <c r="O38" s="22"/>
      <c r="P38" s="22"/>
      <c r="Q38" s="22"/>
      <c r="R38" s="22"/>
      <c r="S38" s="22"/>
      <c r="T38" s="22"/>
      <c r="U38" s="22"/>
      <c r="V38" s="22"/>
      <c r="W38" s="22"/>
      <c r="X38" s="22"/>
      <c r="Y38" s="22"/>
      <c r="Z38" s="22"/>
      <c r="AA38" s="22"/>
      <c r="AB38" s="22"/>
      <c r="AC38" s="22"/>
      <c r="AD38" s="22"/>
      <c r="AE38" s="22"/>
    </row>
    <row r="39">
      <c r="A39" s="86" t="s">
        <v>135</v>
      </c>
      <c r="B39" s="87">
        <v>35.0</v>
      </c>
      <c r="C39" s="88">
        <v>1000.0</v>
      </c>
      <c r="D39" s="77">
        <f t="shared" si="5"/>
        <v>0.035</v>
      </c>
      <c r="E39" s="88">
        <v>25.0</v>
      </c>
      <c r="F39" s="88"/>
      <c r="G39" s="89" t="s">
        <v>136</v>
      </c>
      <c r="H39" s="49">
        <f t="shared" si="6"/>
        <v>0.875</v>
      </c>
      <c r="I39" s="90"/>
      <c r="J39" s="93"/>
      <c r="K39" s="94"/>
      <c r="L39" s="93"/>
      <c r="M39" s="95"/>
      <c r="N39" s="95"/>
      <c r="O39" s="22"/>
      <c r="P39" s="22"/>
      <c r="Q39" s="22"/>
      <c r="R39" s="22"/>
      <c r="S39" s="22"/>
      <c r="T39" s="22"/>
      <c r="U39" s="22"/>
      <c r="V39" s="22"/>
      <c r="W39" s="22"/>
      <c r="X39" s="22"/>
      <c r="Y39" s="22"/>
      <c r="Z39" s="22"/>
      <c r="AA39" s="22"/>
      <c r="AB39" s="22"/>
      <c r="AC39" s="22"/>
      <c r="AD39" s="22"/>
      <c r="AE39" s="22"/>
    </row>
    <row r="40">
      <c r="A40" s="74" t="s">
        <v>137</v>
      </c>
      <c r="B40" s="75">
        <v>120.0</v>
      </c>
      <c r="C40" s="76">
        <v>1000.0</v>
      </c>
      <c r="D40" s="77">
        <f t="shared" si="5"/>
        <v>0.12</v>
      </c>
      <c r="E40" s="96">
        <v>25.0</v>
      </c>
      <c r="F40" s="96"/>
      <c r="G40" s="79" t="s">
        <v>129</v>
      </c>
      <c r="H40" s="49">
        <f t="shared" si="6"/>
        <v>3</v>
      </c>
      <c r="I40" s="90"/>
      <c r="J40" s="75">
        <f>H46</f>
        <v>33.095</v>
      </c>
      <c r="K40" s="76">
        <v>25.0</v>
      </c>
      <c r="L40" s="83">
        <v>6.0</v>
      </c>
      <c r="M40" s="75">
        <v>125.0</v>
      </c>
      <c r="N40" s="97">
        <v>89.69</v>
      </c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</row>
    <row r="41">
      <c r="A41" s="74" t="s">
        <v>143</v>
      </c>
      <c r="B41" s="75">
        <v>4.5</v>
      </c>
      <c r="C41" s="76">
        <v>1.0</v>
      </c>
      <c r="D41" s="77">
        <f t="shared" si="5"/>
        <v>4.5</v>
      </c>
      <c r="E41" s="76">
        <v>1.0</v>
      </c>
      <c r="F41" s="76"/>
      <c r="G41" s="79" t="s">
        <v>134</v>
      </c>
      <c r="H41" s="49">
        <f t="shared" si="6"/>
        <v>4.5</v>
      </c>
      <c r="I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</row>
    <row r="42">
      <c r="A42" s="74" t="s">
        <v>158</v>
      </c>
      <c r="B42" s="75">
        <v>3.0</v>
      </c>
      <c r="C42" s="76">
        <v>1.0</v>
      </c>
      <c r="D42" s="77">
        <f t="shared" si="5"/>
        <v>3</v>
      </c>
      <c r="E42" s="76">
        <v>1.0</v>
      </c>
      <c r="F42" s="76"/>
      <c r="G42" s="79" t="s">
        <v>159</v>
      </c>
      <c r="H42" s="49">
        <f t="shared" si="6"/>
        <v>3</v>
      </c>
      <c r="I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</row>
    <row r="43">
      <c r="A43" s="74" t="s">
        <v>144</v>
      </c>
      <c r="B43" s="75">
        <v>38.0</v>
      </c>
      <c r="C43" s="76">
        <v>1000.0</v>
      </c>
      <c r="D43" s="77">
        <f t="shared" si="5"/>
        <v>0.038</v>
      </c>
      <c r="E43" s="78">
        <v>60.0</v>
      </c>
      <c r="F43" s="78"/>
      <c r="G43" s="79" t="s">
        <v>132</v>
      </c>
      <c r="H43" s="49">
        <f t="shared" si="6"/>
        <v>2.28</v>
      </c>
      <c r="I43" s="22"/>
      <c r="J43" s="22"/>
      <c r="K43" s="22"/>
      <c r="L43" s="98"/>
      <c r="M43" s="98"/>
      <c r="N43" s="98"/>
      <c r="O43" s="98"/>
      <c r="P43" s="98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</row>
    <row r="44">
      <c r="A44" s="74" t="s">
        <v>145</v>
      </c>
      <c r="B44" s="75">
        <v>5.0</v>
      </c>
      <c r="C44" s="76">
        <v>1.0</v>
      </c>
      <c r="D44" s="77">
        <f t="shared" si="5"/>
        <v>5</v>
      </c>
      <c r="E44" s="76">
        <v>1.5</v>
      </c>
      <c r="F44" s="76"/>
      <c r="G44" s="79" t="s">
        <v>160</v>
      </c>
      <c r="H44" s="49">
        <f t="shared" si="6"/>
        <v>7.5</v>
      </c>
      <c r="I44" s="22"/>
      <c r="J44" s="22"/>
      <c r="K44" s="22"/>
      <c r="L44" s="99"/>
      <c r="M44" s="98"/>
      <c r="N44" s="99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</row>
    <row r="45">
      <c r="A45" s="74" t="s">
        <v>147</v>
      </c>
      <c r="B45" s="75">
        <v>32.0</v>
      </c>
      <c r="C45" s="76">
        <v>1000.0</v>
      </c>
      <c r="D45" s="77">
        <f t="shared" si="5"/>
        <v>0.032</v>
      </c>
      <c r="E45" s="81">
        <v>20.0</v>
      </c>
      <c r="F45" s="81"/>
      <c r="G45" s="79" t="s">
        <v>132</v>
      </c>
      <c r="H45" s="49">
        <f t="shared" si="6"/>
        <v>0.64</v>
      </c>
      <c r="I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</row>
    <row r="46" ht="18.75" customHeight="1">
      <c r="A46" s="22"/>
      <c r="B46" s="100"/>
      <c r="C46" s="100"/>
      <c r="D46" s="100"/>
      <c r="E46" s="101" t="s">
        <v>150</v>
      </c>
      <c r="F46" s="101"/>
      <c r="G46" s="100"/>
      <c r="H46" s="102">
        <f>SUM(H35:H45)</f>
        <v>33.095</v>
      </c>
      <c r="I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</row>
    <row r="48">
      <c r="A48" s="67" t="s">
        <v>123</v>
      </c>
      <c r="B48" s="40"/>
      <c r="C48" s="40"/>
      <c r="D48" s="40"/>
      <c r="E48" s="40"/>
      <c r="F48" s="40"/>
      <c r="G48" s="40"/>
      <c r="H48" s="41"/>
    </row>
    <row r="49">
      <c r="A49" s="42"/>
      <c r="B49" s="43"/>
      <c r="C49" s="43"/>
      <c r="D49" s="43"/>
      <c r="E49" s="43"/>
      <c r="F49" s="43"/>
      <c r="G49" s="43"/>
      <c r="H49" s="44"/>
    </row>
    <row r="50">
      <c r="A50" s="103" t="s">
        <v>161</v>
      </c>
      <c r="B50" s="3"/>
      <c r="C50" s="3"/>
      <c r="D50" s="3"/>
      <c r="E50" s="3"/>
      <c r="F50" s="3"/>
      <c r="G50" s="3"/>
      <c r="H50" s="4"/>
    </row>
    <row r="51">
      <c r="A51" s="47" t="s">
        <v>124</v>
      </c>
      <c r="B51" s="46" t="s">
        <v>125</v>
      </c>
      <c r="C51" s="46" t="s">
        <v>126</v>
      </c>
      <c r="D51" s="46" t="s">
        <v>127</v>
      </c>
      <c r="E51" s="47" t="s">
        <v>128</v>
      </c>
      <c r="F51" s="47"/>
      <c r="G51" s="47"/>
      <c r="H51" s="47" t="s">
        <v>130</v>
      </c>
    </row>
    <row r="52">
      <c r="A52" s="48" t="s">
        <v>131</v>
      </c>
      <c r="B52" s="49">
        <v>8.0</v>
      </c>
      <c r="C52" s="48">
        <v>2000.0</v>
      </c>
      <c r="D52" s="50">
        <f t="shared" ref="D52:D62" si="7">B52/C52</f>
        <v>0.004</v>
      </c>
      <c r="E52" s="104">
        <v>300.0</v>
      </c>
      <c r="F52" s="104"/>
      <c r="G52" s="51" t="s">
        <v>132</v>
      </c>
      <c r="H52" s="49">
        <f t="shared" ref="H52:H62" si="8">D52*E52</f>
        <v>1.2</v>
      </c>
    </row>
    <row r="53">
      <c r="A53" s="48" t="s">
        <v>162</v>
      </c>
      <c r="B53" s="49">
        <v>8.0</v>
      </c>
      <c r="C53" s="48">
        <v>2000.0</v>
      </c>
      <c r="D53" s="50">
        <f t="shared" si="7"/>
        <v>0.004</v>
      </c>
      <c r="E53" s="104">
        <v>250.0</v>
      </c>
      <c r="F53" s="104"/>
      <c r="G53" s="51" t="s">
        <v>132</v>
      </c>
      <c r="H53" s="49">
        <f t="shared" si="8"/>
        <v>1</v>
      </c>
    </row>
    <row r="54">
      <c r="A54" s="48" t="s">
        <v>133</v>
      </c>
      <c r="B54" s="49">
        <v>3.5</v>
      </c>
      <c r="C54" s="48">
        <v>1.0</v>
      </c>
      <c r="D54" s="50">
        <f t="shared" si="7"/>
        <v>3.5</v>
      </c>
      <c r="E54" s="48">
        <v>1.0</v>
      </c>
      <c r="F54" s="48"/>
      <c r="G54" s="51" t="s">
        <v>134</v>
      </c>
      <c r="H54" s="49">
        <f t="shared" si="8"/>
        <v>3.5</v>
      </c>
    </row>
    <row r="55">
      <c r="A55" s="52" t="s">
        <v>135</v>
      </c>
      <c r="B55" s="53">
        <v>35.0</v>
      </c>
      <c r="C55" s="52">
        <v>1000.0</v>
      </c>
      <c r="D55" s="50">
        <f t="shared" si="7"/>
        <v>0.035</v>
      </c>
      <c r="E55" s="52">
        <v>20.0</v>
      </c>
      <c r="F55" s="52"/>
      <c r="G55" s="54" t="s">
        <v>136</v>
      </c>
      <c r="H55" s="49">
        <f t="shared" si="8"/>
        <v>0.7</v>
      </c>
      <c r="J55" s="55"/>
      <c r="K55" s="55"/>
      <c r="L55" s="55"/>
      <c r="M55" s="56"/>
      <c r="N55" s="56"/>
    </row>
    <row r="56">
      <c r="A56" s="52" t="s">
        <v>137</v>
      </c>
      <c r="B56" s="53">
        <v>120.0</v>
      </c>
      <c r="C56" s="52">
        <v>1000.0</v>
      </c>
      <c r="D56" s="57">
        <f t="shared" si="7"/>
        <v>0.12</v>
      </c>
      <c r="E56" s="52">
        <v>20.0</v>
      </c>
      <c r="F56" s="52"/>
      <c r="G56" s="54" t="s">
        <v>129</v>
      </c>
      <c r="H56" s="53">
        <f t="shared" si="8"/>
        <v>2.4</v>
      </c>
      <c r="J56" s="58" t="s">
        <v>138</v>
      </c>
      <c r="K56" s="58" t="s">
        <v>139</v>
      </c>
      <c r="L56" s="58" t="s">
        <v>140</v>
      </c>
      <c r="M56" s="59" t="s">
        <v>141</v>
      </c>
      <c r="N56" s="59" t="s">
        <v>142</v>
      </c>
    </row>
    <row r="57">
      <c r="A57" s="48" t="s">
        <v>143</v>
      </c>
      <c r="B57" s="49">
        <v>4.5</v>
      </c>
      <c r="C57" s="48">
        <v>1.0</v>
      </c>
      <c r="D57" s="50">
        <f t="shared" si="7"/>
        <v>4.5</v>
      </c>
      <c r="E57" s="48">
        <v>1.0</v>
      </c>
      <c r="F57" s="48"/>
      <c r="G57" s="51" t="s">
        <v>134</v>
      </c>
      <c r="H57" s="49">
        <f t="shared" si="8"/>
        <v>4.5</v>
      </c>
      <c r="J57" s="60">
        <f>H63</f>
        <v>49.22</v>
      </c>
      <c r="K57" s="61">
        <v>20.0</v>
      </c>
      <c r="L57" s="49">
        <v>6.0</v>
      </c>
      <c r="M57" s="62">
        <f>K57*L57</f>
        <v>120</v>
      </c>
      <c r="N57" s="63">
        <f>M57-J57</f>
        <v>70.78</v>
      </c>
    </row>
    <row r="58">
      <c r="A58" s="48" t="s">
        <v>144</v>
      </c>
      <c r="B58" s="49">
        <v>38.0</v>
      </c>
      <c r="C58" s="48">
        <v>1000.0</v>
      </c>
      <c r="D58" s="50">
        <f t="shared" si="7"/>
        <v>0.038</v>
      </c>
      <c r="E58" s="64">
        <v>60.0</v>
      </c>
      <c r="F58" s="64"/>
      <c r="G58" s="51" t="s">
        <v>132</v>
      </c>
      <c r="H58" s="49">
        <f t="shared" si="8"/>
        <v>2.28</v>
      </c>
    </row>
    <row r="59">
      <c r="A59" s="48" t="s">
        <v>145</v>
      </c>
      <c r="B59" s="49">
        <v>5.0</v>
      </c>
      <c r="C59" s="48">
        <v>1.0</v>
      </c>
      <c r="D59" s="50">
        <f t="shared" si="7"/>
        <v>5</v>
      </c>
      <c r="E59" s="48">
        <v>1.5</v>
      </c>
      <c r="F59" s="48"/>
      <c r="G59" s="51" t="s">
        <v>160</v>
      </c>
      <c r="H59" s="49">
        <f t="shared" si="8"/>
        <v>7.5</v>
      </c>
    </row>
    <row r="60">
      <c r="A60" s="48" t="s">
        <v>147</v>
      </c>
      <c r="B60" s="49">
        <v>32.0</v>
      </c>
      <c r="C60" s="48">
        <v>1000.0</v>
      </c>
      <c r="D60" s="50">
        <f t="shared" si="7"/>
        <v>0.032</v>
      </c>
      <c r="E60" s="64">
        <v>20.0</v>
      </c>
      <c r="F60" s="64"/>
      <c r="G60" s="51" t="s">
        <v>132</v>
      </c>
      <c r="H60" s="49">
        <f t="shared" si="8"/>
        <v>0.64</v>
      </c>
    </row>
    <row r="61">
      <c r="A61" s="48" t="s">
        <v>161</v>
      </c>
      <c r="B61" s="49">
        <v>15.0</v>
      </c>
      <c r="C61" s="48">
        <v>250.0</v>
      </c>
      <c r="D61" s="50">
        <f t="shared" si="7"/>
        <v>0.06</v>
      </c>
      <c r="E61" s="48">
        <v>350.0</v>
      </c>
      <c r="F61" s="48"/>
      <c r="G61" s="51" t="s">
        <v>132</v>
      </c>
      <c r="H61" s="49">
        <f t="shared" si="8"/>
        <v>21</v>
      </c>
    </row>
    <row r="62">
      <c r="A62" s="48" t="s">
        <v>163</v>
      </c>
      <c r="B62" s="49">
        <v>1.5</v>
      </c>
      <c r="C62" s="48">
        <v>1.0</v>
      </c>
      <c r="D62" s="50">
        <f t="shared" si="7"/>
        <v>1.5</v>
      </c>
      <c r="E62" s="105">
        <v>3.0</v>
      </c>
      <c r="F62" s="105"/>
      <c r="G62" s="51" t="s">
        <v>129</v>
      </c>
      <c r="H62" s="49">
        <f t="shared" si="8"/>
        <v>4.5</v>
      </c>
    </row>
    <row r="63">
      <c r="B63" s="106"/>
      <c r="C63" s="65"/>
      <c r="D63" s="65"/>
      <c r="E63" s="65" t="s">
        <v>150</v>
      </c>
      <c r="F63" s="65"/>
      <c r="G63" s="65"/>
      <c r="H63" s="66">
        <f>SUM(H52:H62)</f>
        <v>49.22</v>
      </c>
    </row>
    <row r="65">
      <c r="A65" s="67" t="s">
        <v>123</v>
      </c>
      <c r="B65" s="40"/>
      <c r="C65" s="40"/>
      <c r="D65" s="40"/>
      <c r="E65" s="40"/>
      <c r="F65" s="40"/>
      <c r="G65" s="40"/>
      <c r="H65" s="41"/>
    </row>
    <row r="66">
      <c r="A66" s="42"/>
      <c r="B66" s="43"/>
      <c r="C66" s="43"/>
      <c r="D66" s="43"/>
      <c r="E66" s="43"/>
      <c r="F66" s="43"/>
      <c r="G66" s="43"/>
      <c r="H66" s="44"/>
      <c r="J66" s="30"/>
    </row>
    <row r="67">
      <c r="A67" s="103" t="s">
        <v>13</v>
      </c>
      <c r="B67" s="3"/>
      <c r="C67" s="3"/>
      <c r="D67" s="3"/>
      <c r="E67" s="3"/>
      <c r="F67" s="3"/>
      <c r="G67" s="3"/>
      <c r="H67" s="4"/>
    </row>
    <row r="68">
      <c r="A68" s="47" t="s">
        <v>124</v>
      </c>
      <c r="B68" s="46" t="s">
        <v>125</v>
      </c>
      <c r="C68" s="46" t="s">
        <v>126</v>
      </c>
      <c r="D68" s="46" t="s">
        <v>127</v>
      </c>
      <c r="E68" s="47" t="s">
        <v>128</v>
      </c>
      <c r="F68" s="47"/>
      <c r="G68" s="47" t="s">
        <v>164</v>
      </c>
      <c r="H68" s="47" t="s">
        <v>130</v>
      </c>
    </row>
    <row r="69">
      <c r="A69" s="48" t="s">
        <v>131</v>
      </c>
      <c r="B69" s="49">
        <v>8.0</v>
      </c>
      <c r="C69" s="48">
        <v>2000.0</v>
      </c>
      <c r="D69" s="50">
        <f t="shared" ref="D69:D77" si="9">B69/C69</f>
        <v>0.004</v>
      </c>
      <c r="E69" s="104">
        <v>450.0</v>
      </c>
      <c r="F69" s="104"/>
      <c r="G69" s="51" t="s">
        <v>132</v>
      </c>
      <c r="H69" s="49">
        <f t="shared" ref="H69:H77" si="10">D69*E69</f>
        <v>1.8</v>
      </c>
    </row>
    <row r="70">
      <c r="A70" s="36" t="s">
        <v>13</v>
      </c>
      <c r="B70" s="49">
        <v>13.99</v>
      </c>
      <c r="C70" s="48">
        <v>500.0</v>
      </c>
      <c r="D70" s="50">
        <f t="shared" si="9"/>
        <v>0.02798</v>
      </c>
      <c r="E70" s="104">
        <v>200.0</v>
      </c>
      <c r="F70" s="104"/>
      <c r="G70" s="51" t="s">
        <v>132</v>
      </c>
      <c r="H70" s="49">
        <f t="shared" si="10"/>
        <v>5.596</v>
      </c>
    </row>
    <row r="71">
      <c r="A71" s="48" t="s">
        <v>133</v>
      </c>
      <c r="B71" s="49">
        <v>3.0</v>
      </c>
      <c r="C71" s="48">
        <v>1.0</v>
      </c>
      <c r="D71" s="50">
        <f t="shared" si="9"/>
        <v>3</v>
      </c>
      <c r="E71" s="48">
        <v>1.0</v>
      </c>
      <c r="F71" s="48"/>
      <c r="G71" s="107" t="s">
        <v>134</v>
      </c>
      <c r="H71" s="49">
        <f t="shared" si="10"/>
        <v>3</v>
      </c>
    </row>
    <row r="72">
      <c r="A72" s="52" t="s">
        <v>135</v>
      </c>
      <c r="B72" s="53">
        <v>35.0</v>
      </c>
      <c r="C72" s="52">
        <v>1000.0</v>
      </c>
      <c r="D72" s="50">
        <f t="shared" si="9"/>
        <v>0.035</v>
      </c>
      <c r="E72" s="52">
        <v>20.0</v>
      </c>
      <c r="F72" s="52"/>
      <c r="G72" s="54" t="s">
        <v>136</v>
      </c>
      <c r="H72" s="49">
        <f t="shared" si="10"/>
        <v>0.7</v>
      </c>
      <c r="J72" s="55"/>
      <c r="K72" s="55"/>
      <c r="L72" s="55"/>
      <c r="M72" s="56"/>
      <c r="N72" s="56"/>
    </row>
    <row r="73">
      <c r="A73" s="52" t="s">
        <v>137</v>
      </c>
      <c r="B73" s="53">
        <v>120.0</v>
      </c>
      <c r="C73" s="52">
        <v>1000.0</v>
      </c>
      <c r="D73" s="57">
        <f t="shared" si="9"/>
        <v>0.12</v>
      </c>
      <c r="E73" s="52">
        <v>20.0</v>
      </c>
      <c r="F73" s="52"/>
      <c r="G73" s="54" t="s">
        <v>129</v>
      </c>
      <c r="H73" s="53">
        <f t="shared" si="10"/>
        <v>2.4</v>
      </c>
      <c r="J73" s="58" t="s">
        <v>138</v>
      </c>
      <c r="K73" s="58" t="s">
        <v>139</v>
      </c>
      <c r="L73" s="58" t="s">
        <v>140</v>
      </c>
      <c r="M73" s="59" t="s">
        <v>141</v>
      </c>
      <c r="N73" s="59" t="s">
        <v>142</v>
      </c>
    </row>
    <row r="74">
      <c r="A74" s="48" t="s">
        <v>143</v>
      </c>
      <c r="B74" s="49">
        <v>4.5</v>
      </c>
      <c r="C74" s="48">
        <v>1.0</v>
      </c>
      <c r="D74" s="50">
        <f t="shared" si="9"/>
        <v>4.5</v>
      </c>
      <c r="E74" s="48">
        <v>1.0</v>
      </c>
      <c r="F74" s="48"/>
      <c r="G74" s="107" t="s">
        <v>134</v>
      </c>
      <c r="H74" s="49">
        <f t="shared" si="10"/>
        <v>4.5</v>
      </c>
      <c r="J74" s="60">
        <f>H78</f>
        <v>28.236</v>
      </c>
      <c r="K74" s="61">
        <v>20.0</v>
      </c>
      <c r="L74" s="49">
        <v>6.0</v>
      </c>
      <c r="M74" s="62">
        <f>K74*L74</f>
        <v>120</v>
      </c>
      <c r="N74" s="63">
        <f>M74-J74</f>
        <v>91.764</v>
      </c>
    </row>
    <row r="75">
      <c r="A75" s="48" t="s">
        <v>144</v>
      </c>
      <c r="B75" s="49">
        <v>35.0</v>
      </c>
      <c r="C75" s="48">
        <v>1000.0</v>
      </c>
      <c r="D75" s="50">
        <f t="shared" si="9"/>
        <v>0.035</v>
      </c>
      <c r="E75" s="64">
        <v>60.0</v>
      </c>
      <c r="F75" s="64"/>
      <c r="G75" s="107" t="s">
        <v>132</v>
      </c>
      <c r="H75" s="49">
        <f t="shared" si="10"/>
        <v>2.1</v>
      </c>
    </row>
    <row r="76">
      <c r="A76" s="48" t="s">
        <v>145</v>
      </c>
      <c r="B76" s="49">
        <v>5.0</v>
      </c>
      <c r="C76" s="48">
        <v>1.0</v>
      </c>
      <c r="D76" s="50">
        <f t="shared" si="9"/>
        <v>5</v>
      </c>
      <c r="E76" s="48">
        <v>1.5</v>
      </c>
      <c r="F76" s="48"/>
      <c r="G76" s="107" t="s">
        <v>160</v>
      </c>
      <c r="H76" s="49">
        <f t="shared" si="10"/>
        <v>7.5</v>
      </c>
    </row>
    <row r="77">
      <c r="A77" s="48" t="s">
        <v>147</v>
      </c>
      <c r="B77" s="49">
        <v>32.0</v>
      </c>
      <c r="C77" s="48">
        <v>1000.0</v>
      </c>
      <c r="D77" s="50">
        <f t="shared" si="9"/>
        <v>0.032</v>
      </c>
      <c r="E77" s="64">
        <v>20.0</v>
      </c>
      <c r="F77" s="64"/>
      <c r="G77" s="51" t="s">
        <v>132</v>
      </c>
      <c r="H77" s="49">
        <f t="shared" si="10"/>
        <v>0.64</v>
      </c>
    </row>
    <row r="78">
      <c r="B78" s="65"/>
      <c r="C78" s="65"/>
      <c r="D78" s="65"/>
      <c r="E78" s="65" t="s">
        <v>150</v>
      </c>
      <c r="F78" s="65"/>
      <c r="G78" s="65"/>
      <c r="H78" s="66">
        <f>SUM(H69:H77)</f>
        <v>28.236</v>
      </c>
    </row>
    <row r="79">
      <c r="A79" s="67" t="s">
        <v>123</v>
      </c>
      <c r="B79" s="40"/>
      <c r="C79" s="40"/>
      <c r="D79" s="40"/>
      <c r="E79" s="40"/>
      <c r="F79" s="40"/>
      <c r="G79" s="40"/>
      <c r="H79" s="41"/>
    </row>
    <row r="80">
      <c r="A80" s="42"/>
      <c r="B80" s="43"/>
      <c r="C80" s="43"/>
      <c r="D80" s="43"/>
      <c r="E80" s="43"/>
      <c r="F80" s="43"/>
      <c r="G80" s="43"/>
      <c r="H80" s="44"/>
    </row>
    <row r="81">
      <c r="A81" s="103" t="s">
        <v>28</v>
      </c>
      <c r="B81" s="3"/>
      <c r="C81" s="3"/>
      <c r="D81" s="3"/>
      <c r="E81" s="3"/>
      <c r="F81" s="3"/>
      <c r="G81" s="3"/>
      <c r="H81" s="4"/>
    </row>
    <row r="82">
      <c r="A82" s="47" t="s">
        <v>124</v>
      </c>
      <c r="B82" s="46" t="s">
        <v>125</v>
      </c>
      <c r="C82" s="46" t="s">
        <v>126</v>
      </c>
      <c r="D82" s="46" t="s">
        <v>127</v>
      </c>
      <c r="E82" s="47" t="s">
        <v>128</v>
      </c>
      <c r="F82" s="47"/>
      <c r="G82" s="47"/>
      <c r="H82" s="47" t="s">
        <v>130</v>
      </c>
    </row>
    <row r="83">
      <c r="A83" s="48" t="s">
        <v>131</v>
      </c>
      <c r="B83" s="49">
        <v>8.0</v>
      </c>
      <c r="C83" s="48">
        <v>2000.0</v>
      </c>
      <c r="D83" s="50">
        <f t="shared" ref="D83:D94" si="11">B83/C83</f>
        <v>0.004</v>
      </c>
      <c r="E83" s="64">
        <v>470.0</v>
      </c>
      <c r="F83" s="64"/>
      <c r="G83" s="51" t="s">
        <v>132</v>
      </c>
      <c r="H83" s="49">
        <f t="shared" ref="H83:H94" si="12">D83*E83</f>
        <v>1.88</v>
      </c>
    </row>
    <row r="84">
      <c r="A84" s="48" t="s">
        <v>165</v>
      </c>
      <c r="B84" s="49">
        <v>38.19</v>
      </c>
      <c r="C84" s="48">
        <v>1000.0</v>
      </c>
      <c r="D84" s="50">
        <f t="shared" si="11"/>
        <v>0.03819</v>
      </c>
      <c r="E84" s="48">
        <v>100.0</v>
      </c>
      <c r="F84" s="48"/>
      <c r="G84" s="51" t="s">
        <v>132</v>
      </c>
      <c r="H84" s="49">
        <f t="shared" si="12"/>
        <v>3.819</v>
      </c>
    </row>
    <row r="85">
      <c r="A85" s="52" t="s">
        <v>166</v>
      </c>
      <c r="B85" s="53">
        <v>45.0</v>
      </c>
      <c r="C85" s="52">
        <v>1000.0</v>
      </c>
      <c r="D85" s="57">
        <f t="shared" si="11"/>
        <v>0.045</v>
      </c>
      <c r="E85" s="52">
        <v>100.0</v>
      </c>
      <c r="F85" s="52"/>
      <c r="G85" s="54" t="s">
        <v>132</v>
      </c>
      <c r="H85" s="53">
        <f t="shared" si="12"/>
        <v>4.5</v>
      </c>
      <c r="J85" s="58" t="s">
        <v>138</v>
      </c>
      <c r="K85" s="58" t="s">
        <v>139</v>
      </c>
      <c r="L85" s="58" t="s">
        <v>140</v>
      </c>
      <c r="M85" s="59" t="s">
        <v>141</v>
      </c>
      <c r="N85" s="59" t="s">
        <v>142</v>
      </c>
    </row>
    <row r="86">
      <c r="A86" s="52" t="s">
        <v>167</v>
      </c>
      <c r="B86" s="53">
        <v>20.0</v>
      </c>
      <c r="C86" s="52">
        <v>1000.0</v>
      </c>
      <c r="D86" s="57">
        <f t="shared" si="11"/>
        <v>0.02</v>
      </c>
      <c r="E86" s="52">
        <v>100.0</v>
      </c>
      <c r="F86" s="52"/>
      <c r="G86" s="54" t="s">
        <v>132</v>
      </c>
      <c r="H86" s="53">
        <f t="shared" si="12"/>
        <v>2</v>
      </c>
      <c r="J86" s="60"/>
      <c r="K86" s="61"/>
      <c r="L86" s="49"/>
      <c r="M86" s="108"/>
      <c r="N86" s="109"/>
    </row>
    <row r="87">
      <c r="A87" s="48" t="s">
        <v>133</v>
      </c>
      <c r="B87" s="49">
        <v>3.0</v>
      </c>
      <c r="C87" s="48">
        <v>1.0</v>
      </c>
      <c r="D87" s="50">
        <f t="shared" si="11"/>
        <v>3</v>
      </c>
      <c r="E87" s="48">
        <v>1.0</v>
      </c>
      <c r="F87" s="48"/>
      <c r="G87" s="51" t="s">
        <v>134</v>
      </c>
      <c r="H87" s="49">
        <f t="shared" si="12"/>
        <v>3</v>
      </c>
      <c r="J87" s="110">
        <f>H95</f>
        <v>36.539</v>
      </c>
      <c r="K87" s="61">
        <v>20.0</v>
      </c>
      <c r="L87" s="49">
        <v>6.0</v>
      </c>
      <c r="M87" s="62">
        <f>K87*L87</f>
        <v>120</v>
      </c>
      <c r="N87" s="63">
        <f>M87-J87</f>
        <v>83.461</v>
      </c>
    </row>
    <row r="88">
      <c r="A88" s="52" t="s">
        <v>135</v>
      </c>
      <c r="B88" s="53">
        <v>35.0</v>
      </c>
      <c r="C88" s="52">
        <v>1000.0</v>
      </c>
      <c r="D88" s="50">
        <f t="shared" si="11"/>
        <v>0.035</v>
      </c>
      <c r="E88" s="52">
        <v>20.0</v>
      </c>
      <c r="F88" s="52"/>
      <c r="G88" s="54" t="s">
        <v>136</v>
      </c>
      <c r="H88" s="49">
        <f t="shared" si="12"/>
        <v>0.7</v>
      </c>
    </row>
    <row r="89">
      <c r="A89" s="48" t="s">
        <v>137</v>
      </c>
      <c r="B89" s="49">
        <v>120.0</v>
      </c>
      <c r="C89" s="48">
        <v>1000.0</v>
      </c>
      <c r="D89" s="50">
        <f t="shared" si="11"/>
        <v>0.12</v>
      </c>
      <c r="E89" s="104">
        <v>20.0</v>
      </c>
      <c r="F89" s="104"/>
      <c r="G89" s="51" t="s">
        <v>129</v>
      </c>
      <c r="H89" s="49">
        <f t="shared" si="12"/>
        <v>2.4</v>
      </c>
    </row>
    <row r="90">
      <c r="A90" s="48" t="s">
        <v>143</v>
      </c>
      <c r="B90" s="49">
        <v>4.5</v>
      </c>
      <c r="C90" s="48">
        <v>1.0</v>
      </c>
      <c r="D90" s="50">
        <f t="shared" si="11"/>
        <v>4.5</v>
      </c>
      <c r="E90" s="48">
        <v>1.0</v>
      </c>
      <c r="F90" s="48"/>
      <c r="G90" s="51" t="s">
        <v>134</v>
      </c>
      <c r="H90" s="49">
        <f t="shared" si="12"/>
        <v>4.5</v>
      </c>
    </row>
    <row r="91">
      <c r="A91" s="36" t="s">
        <v>158</v>
      </c>
      <c r="B91" s="49">
        <v>3.5</v>
      </c>
      <c r="C91" s="48">
        <v>1.0</v>
      </c>
      <c r="D91" s="50">
        <f t="shared" si="11"/>
        <v>3.5</v>
      </c>
      <c r="E91" s="48">
        <v>1.0</v>
      </c>
      <c r="F91" s="48"/>
      <c r="G91" s="51" t="s">
        <v>159</v>
      </c>
      <c r="H91" s="49">
        <f t="shared" si="12"/>
        <v>3.5</v>
      </c>
    </row>
    <row r="92">
      <c r="A92" s="48" t="s">
        <v>144</v>
      </c>
      <c r="B92" s="49">
        <v>35.0</v>
      </c>
      <c r="C92" s="48">
        <v>1000.0</v>
      </c>
      <c r="D92" s="50">
        <f t="shared" si="11"/>
        <v>0.035</v>
      </c>
      <c r="E92" s="64">
        <v>60.0</v>
      </c>
      <c r="F92" s="64"/>
      <c r="G92" s="51" t="s">
        <v>132</v>
      </c>
      <c r="H92" s="49">
        <f t="shared" si="12"/>
        <v>2.1</v>
      </c>
    </row>
    <row r="93">
      <c r="A93" s="48" t="s">
        <v>145</v>
      </c>
      <c r="B93" s="49">
        <v>5.0</v>
      </c>
      <c r="C93" s="48">
        <v>1.0</v>
      </c>
      <c r="D93" s="50">
        <f t="shared" si="11"/>
        <v>5</v>
      </c>
      <c r="E93" s="48">
        <v>1.5</v>
      </c>
      <c r="F93" s="48"/>
      <c r="G93" s="51" t="s">
        <v>160</v>
      </c>
      <c r="H93" s="49">
        <f t="shared" si="12"/>
        <v>7.5</v>
      </c>
    </row>
    <row r="94">
      <c r="A94" s="48" t="s">
        <v>147</v>
      </c>
      <c r="B94" s="49">
        <v>32.0</v>
      </c>
      <c r="C94" s="48">
        <v>1000.0</v>
      </c>
      <c r="D94" s="50">
        <f t="shared" si="11"/>
        <v>0.032</v>
      </c>
      <c r="E94" s="64">
        <v>20.0</v>
      </c>
      <c r="F94" s="64"/>
      <c r="G94" s="51" t="s">
        <v>132</v>
      </c>
      <c r="H94" s="49">
        <f t="shared" si="12"/>
        <v>0.64</v>
      </c>
    </row>
    <row r="95">
      <c r="B95" s="65"/>
      <c r="C95" s="65"/>
      <c r="D95" s="65"/>
      <c r="E95" s="65" t="s">
        <v>150</v>
      </c>
      <c r="F95" s="65"/>
      <c r="G95" s="65"/>
      <c r="H95" s="66">
        <f>SUM(H83:H94)</f>
        <v>36.539</v>
      </c>
    </row>
    <row r="97">
      <c r="A97" s="67" t="s">
        <v>123</v>
      </c>
      <c r="B97" s="40"/>
      <c r="C97" s="40"/>
      <c r="D97" s="40"/>
      <c r="E97" s="40"/>
      <c r="F97" s="40"/>
      <c r="G97" s="40"/>
      <c r="H97" s="41"/>
    </row>
    <row r="98">
      <c r="A98" s="42"/>
      <c r="B98" s="43"/>
      <c r="C98" s="43"/>
      <c r="D98" s="43"/>
      <c r="E98" s="43"/>
      <c r="F98" s="43"/>
      <c r="G98" s="43"/>
      <c r="H98" s="44"/>
    </row>
    <row r="99">
      <c r="A99" s="103" t="s">
        <v>14</v>
      </c>
      <c r="B99" s="3"/>
      <c r="C99" s="3"/>
      <c r="D99" s="3"/>
      <c r="E99" s="3"/>
      <c r="F99" s="3"/>
      <c r="G99" s="3"/>
      <c r="H99" s="4"/>
    </row>
    <row r="100">
      <c r="A100" s="47" t="s">
        <v>124</v>
      </c>
      <c r="B100" s="46" t="s">
        <v>125</v>
      </c>
      <c r="C100" s="46" t="s">
        <v>126</v>
      </c>
      <c r="D100" s="46" t="s">
        <v>127</v>
      </c>
      <c r="E100" s="47" t="s">
        <v>128</v>
      </c>
      <c r="F100" s="47"/>
      <c r="G100" s="47"/>
      <c r="H100" s="47" t="s">
        <v>130</v>
      </c>
    </row>
    <row r="101">
      <c r="A101" s="48" t="s">
        <v>131</v>
      </c>
      <c r="B101" s="49">
        <v>8.0</v>
      </c>
      <c r="C101" s="48">
        <v>2000.0</v>
      </c>
      <c r="D101" s="50">
        <f t="shared" ref="D101:D112" si="13">B101/C101</f>
        <v>0.004</v>
      </c>
      <c r="E101" s="64">
        <v>250.0</v>
      </c>
      <c r="F101" s="64"/>
      <c r="G101" s="51" t="s">
        <v>132</v>
      </c>
      <c r="H101" s="49">
        <f t="shared" ref="H101:H112" si="14">D101*E101</f>
        <v>1</v>
      </c>
    </row>
    <row r="102">
      <c r="A102" s="36" t="s">
        <v>168</v>
      </c>
      <c r="B102" s="49">
        <v>23.0</v>
      </c>
      <c r="C102" s="48">
        <v>1000.0</v>
      </c>
      <c r="D102" s="50">
        <f t="shared" si="13"/>
        <v>0.023</v>
      </c>
      <c r="E102" s="48">
        <v>200.0</v>
      </c>
      <c r="F102" s="48"/>
      <c r="G102" s="51" t="s">
        <v>132</v>
      </c>
      <c r="H102" s="49">
        <f t="shared" si="14"/>
        <v>4.6</v>
      </c>
    </row>
    <row r="103">
      <c r="A103" s="52" t="s">
        <v>169</v>
      </c>
      <c r="B103" s="53">
        <v>35.0</v>
      </c>
      <c r="C103" s="52">
        <v>1000.0</v>
      </c>
      <c r="D103" s="57">
        <f t="shared" si="13"/>
        <v>0.035</v>
      </c>
      <c r="E103" s="52">
        <v>180.0</v>
      </c>
      <c r="F103" s="52"/>
      <c r="G103" s="54" t="s">
        <v>132</v>
      </c>
      <c r="H103" s="53">
        <f t="shared" si="14"/>
        <v>6.3</v>
      </c>
      <c r="J103" s="58" t="s">
        <v>138</v>
      </c>
      <c r="K103" s="58" t="s">
        <v>139</v>
      </c>
      <c r="L103" s="58" t="s">
        <v>140</v>
      </c>
      <c r="M103" s="59" t="s">
        <v>141</v>
      </c>
      <c r="N103" s="59" t="s">
        <v>142</v>
      </c>
    </row>
    <row r="104">
      <c r="A104" s="48" t="s">
        <v>133</v>
      </c>
      <c r="B104" s="49">
        <v>3.0</v>
      </c>
      <c r="C104" s="48">
        <v>1.0</v>
      </c>
      <c r="D104" s="50">
        <f t="shared" si="13"/>
        <v>3</v>
      </c>
      <c r="E104" s="48">
        <v>1.0</v>
      </c>
      <c r="F104" s="48"/>
      <c r="G104" s="51" t="s">
        <v>134</v>
      </c>
      <c r="H104" s="49">
        <f t="shared" si="14"/>
        <v>3</v>
      </c>
      <c r="J104" s="60">
        <f>H113</f>
        <v>34.628</v>
      </c>
      <c r="K104" s="61">
        <v>20.0</v>
      </c>
      <c r="L104" s="49">
        <v>6.0</v>
      </c>
      <c r="M104" s="62">
        <f>K104*L104</f>
        <v>120</v>
      </c>
      <c r="N104" s="63">
        <f>M104-J104</f>
        <v>85.372</v>
      </c>
    </row>
    <row r="105">
      <c r="A105" s="52" t="s">
        <v>135</v>
      </c>
      <c r="B105" s="53">
        <v>35.0</v>
      </c>
      <c r="C105" s="52">
        <v>1000.0</v>
      </c>
      <c r="D105" s="50">
        <f t="shared" si="13"/>
        <v>0.035</v>
      </c>
      <c r="E105" s="52">
        <v>20.0</v>
      </c>
      <c r="F105" s="52"/>
      <c r="G105" s="54" t="s">
        <v>136</v>
      </c>
      <c r="H105" s="49">
        <f t="shared" si="14"/>
        <v>0.7</v>
      </c>
    </row>
    <row r="106">
      <c r="A106" s="48" t="s">
        <v>137</v>
      </c>
      <c r="B106" s="49">
        <v>120.0</v>
      </c>
      <c r="C106" s="48">
        <v>1000.0</v>
      </c>
      <c r="D106" s="50">
        <f t="shared" si="13"/>
        <v>0.12</v>
      </c>
      <c r="E106" s="104">
        <v>20.0</v>
      </c>
      <c r="F106" s="104"/>
      <c r="G106" s="51" t="s">
        <v>129</v>
      </c>
      <c r="H106" s="49">
        <f t="shared" si="14"/>
        <v>2.4</v>
      </c>
    </row>
    <row r="107">
      <c r="A107" s="48" t="s">
        <v>170</v>
      </c>
      <c r="B107" s="49">
        <v>23.0</v>
      </c>
      <c r="C107" s="48">
        <v>1000.0</v>
      </c>
      <c r="D107" s="50">
        <f t="shared" si="13"/>
        <v>0.023</v>
      </c>
      <c r="E107" s="48">
        <v>6.0</v>
      </c>
      <c r="F107" s="48"/>
      <c r="G107" s="51" t="s">
        <v>132</v>
      </c>
      <c r="H107" s="49">
        <f t="shared" si="14"/>
        <v>0.138</v>
      </c>
    </row>
    <row r="108">
      <c r="A108" s="48" t="s">
        <v>143</v>
      </c>
      <c r="B108" s="49">
        <v>4.5</v>
      </c>
      <c r="C108" s="48">
        <v>1.0</v>
      </c>
      <c r="D108" s="50">
        <f t="shared" si="13"/>
        <v>4.5</v>
      </c>
      <c r="E108" s="48">
        <v>1.0</v>
      </c>
      <c r="F108" s="48"/>
      <c r="G108" s="51" t="s">
        <v>134</v>
      </c>
      <c r="H108" s="49">
        <f t="shared" si="14"/>
        <v>4.5</v>
      </c>
    </row>
    <row r="109">
      <c r="A109" s="48" t="s">
        <v>144</v>
      </c>
      <c r="B109" s="49">
        <v>35.0</v>
      </c>
      <c r="C109" s="48">
        <v>1000.0</v>
      </c>
      <c r="D109" s="50">
        <f t="shared" si="13"/>
        <v>0.035</v>
      </c>
      <c r="E109" s="64">
        <v>60.0</v>
      </c>
      <c r="F109" s="64"/>
      <c r="G109" s="51" t="s">
        <v>132</v>
      </c>
      <c r="H109" s="49">
        <f t="shared" si="14"/>
        <v>2.1</v>
      </c>
    </row>
    <row r="110">
      <c r="A110" s="48" t="s">
        <v>145</v>
      </c>
      <c r="B110" s="49">
        <v>5.0</v>
      </c>
      <c r="C110" s="48">
        <v>1.0</v>
      </c>
      <c r="D110" s="50">
        <f t="shared" si="13"/>
        <v>5</v>
      </c>
      <c r="E110" s="48">
        <v>1.5</v>
      </c>
      <c r="F110" s="48"/>
      <c r="G110" s="51" t="s">
        <v>160</v>
      </c>
      <c r="H110" s="49">
        <f t="shared" si="14"/>
        <v>7.5</v>
      </c>
    </row>
    <row r="111">
      <c r="A111" s="48" t="s">
        <v>147</v>
      </c>
      <c r="B111" s="49">
        <v>32.0</v>
      </c>
      <c r="C111" s="48">
        <v>1000.0</v>
      </c>
      <c r="D111" s="50">
        <f t="shared" si="13"/>
        <v>0.032</v>
      </c>
      <c r="E111" s="64">
        <v>20.0</v>
      </c>
      <c r="F111" s="64"/>
      <c r="G111" s="51" t="s">
        <v>132</v>
      </c>
      <c r="H111" s="49">
        <f t="shared" si="14"/>
        <v>0.64</v>
      </c>
    </row>
    <row r="112">
      <c r="A112" s="48" t="s">
        <v>171</v>
      </c>
      <c r="B112" s="49">
        <v>35.0</v>
      </c>
      <c r="C112" s="48">
        <v>1000.0</v>
      </c>
      <c r="D112" s="50">
        <f t="shared" si="13"/>
        <v>0.035</v>
      </c>
      <c r="E112" s="111">
        <v>50.0</v>
      </c>
      <c r="F112" s="111"/>
      <c r="G112" s="49"/>
      <c r="H112" s="49">
        <f t="shared" si="14"/>
        <v>1.75</v>
      </c>
    </row>
    <row r="113">
      <c r="B113" s="65"/>
      <c r="C113" s="65"/>
      <c r="D113" s="65"/>
      <c r="E113" s="65" t="s">
        <v>150</v>
      </c>
      <c r="F113" s="65"/>
      <c r="G113" s="65"/>
      <c r="H113" s="66">
        <f>SUM(H101:H112)</f>
        <v>34.628</v>
      </c>
    </row>
    <row r="115">
      <c r="A115" s="67" t="s">
        <v>123</v>
      </c>
      <c r="B115" s="40"/>
      <c r="C115" s="40"/>
      <c r="D115" s="40"/>
      <c r="E115" s="40"/>
      <c r="F115" s="40"/>
      <c r="G115" s="40"/>
      <c r="H115" s="41"/>
    </row>
    <row r="116">
      <c r="A116" s="42"/>
      <c r="B116" s="43"/>
      <c r="C116" s="43"/>
      <c r="D116" s="43"/>
      <c r="E116" s="43"/>
      <c r="F116" s="43"/>
      <c r="G116" s="43"/>
      <c r="H116" s="44"/>
    </row>
    <row r="117">
      <c r="A117" s="103" t="s">
        <v>19</v>
      </c>
      <c r="B117" s="3"/>
      <c r="C117" s="3"/>
      <c r="D117" s="3"/>
      <c r="E117" s="3"/>
      <c r="F117" s="3"/>
      <c r="G117" s="3"/>
      <c r="H117" s="4"/>
    </row>
    <row r="118">
      <c r="A118" s="47" t="s">
        <v>124</v>
      </c>
      <c r="B118" s="46" t="s">
        <v>125</v>
      </c>
      <c r="C118" s="46" t="s">
        <v>126</v>
      </c>
      <c r="D118" s="46" t="s">
        <v>127</v>
      </c>
      <c r="E118" s="47" t="s">
        <v>128</v>
      </c>
      <c r="F118" s="47"/>
      <c r="G118" s="47"/>
      <c r="H118" s="47" t="s">
        <v>130</v>
      </c>
    </row>
    <row r="119">
      <c r="A119" s="48" t="s">
        <v>131</v>
      </c>
      <c r="B119" s="49">
        <v>8.0</v>
      </c>
      <c r="C119" s="48">
        <v>2000.0</v>
      </c>
      <c r="D119" s="50">
        <f t="shared" ref="D119:D129" si="15">B119/C119</f>
        <v>0.004</v>
      </c>
      <c r="E119" s="104">
        <v>200.0</v>
      </c>
      <c r="F119" s="104"/>
      <c r="G119" s="51" t="s">
        <v>132</v>
      </c>
      <c r="H119" s="49">
        <f t="shared" ref="H119:H129" si="16">D119*E119</f>
        <v>0.8</v>
      </c>
    </row>
    <row r="120">
      <c r="A120" s="48" t="s">
        <v>172</v>
      </c>
      <c r="B120" s="49">
        <v>8.0</v>
      </c>
      <c r="C120" s="48">
        <v>2000.0</v>
      </c>
      <c r="D120" s="50">
        <f t="shared" si="15"/>
        <v>0.004</v>
      </c>
      <c r="E120" s="104">
        <v>250.0</v>
      </c>
      <c r="F120" s="104"/>
      <c r="G120" s="51" t="s">
        <v>132</v>
      </c>
      <c r="H120" s="49">
        <f t="shared" si="16"/>
        <v>1</v>
      </c>
    </row>
    <row r="121">
      <c r="A121" s="48" t="s">
        <v>133</v>
      </c>
      <c r="B121" s="49">
        <v>3.0</v>
      </c>
      <c r="C121" s="48">
        <v>1.0</v>
      </c>
      <c r="D121" s="50">
        <f t="shared" si="15"/>
        <v>3</v>
      </c>
      <c r="E121" s="48">
        <v>1.0</v>
      </c>
      <c r="F121" s="48"/>
      <c r="G121" s="51" t="s">
        <v>134</v>
      </c>
      <c r="H121" s="49">
        <f t="shared" si="16"/>
        <v>3</v>
      </c>
    </row>
    <row r="122">
      <c r="A122" s="52" t="s">
        <v>135</v>
      </c>
      <c r="B122" s="53">
        <v>35.0</v>
      </c>
      <c r="C122" s="52">
        <v>1000.0</v>
      </c>
      <c r="D122" s="50">
        <f t="shared" si="15"/>
        <v>0.035</v>
      </c>
      <c r="E122" s="52">
        <v>20.0</v>
      </c>
      <c r="F122" s="52"/>
      <c r="G122" s="54" t="s">
        <v>136</v>
      </c>
      <c r="H122" s="49">
        <f t="shared" si="16"/>
        <v>0.7</v>
      </c>
      <c r="J122" s="55"/>
      <c r="K122" s="55"/>
      <c r="L122" s="55"/>
      <c r="M122" s="56"/>
      <c r="N122" s="56"/>
    </row>
    <row r="123">
      <c r="A123" s="52" t="s">
        <v>137</v>
      </c>
      <c r="B123" s="53">
        <v>120.0</v>
      </c>
      <c r="C123" s="52">
        <v>1000.0</v>
      </c>
      <c r="D123" s="57">
        <f t="shared" si="15"/>
        <v>0.12</v>
      </c>
      <c r="E123" s="52">
        <v>20.0</v>
      </c>
      <c r="F123" s="52"/>
      <c r="G123" s="54" t="s">
        <v>129</v>
      </c>
      <c r="H123" s="53">
        <f t="shared" si="16"/>
        <v>2.4</v>
      </c>
      <c r="J123" s="58" t="s">
        <v>138</v>
      </c>
      <c r="K123" s="58" t="s">
        <v>139</v>
      </c>
      <c r="L123" s="58" t="s">
        <v>140</v>
      </c>
      <c r="M123" s="59" t="s">
        <v>141</v>
      </c>
      <c r="N123" s="59" t="s">
        <v>142</v>
      </c>
    </row>
    <row r="124">
      <c r="A124" s="48" t="s">
        <v>143</v>
      </c>
      <c r="B124" s="49">
        <v>4.5</v>
      </c>
      <c r="C124" s="48">
        <v>1.0</v>
      </c>
      <c r="D124" s="50">
        <f t="shared" si="15"/>
        <v>4.5</v>
      </c>
      <c r="E124" s="48">
        <v>1.0</v>
      </c>
      <c r="F124" s="48"/>
      <c r="G124" s="51" t="s">
        <v>134</v>
      </c>
      <c r="H124" s="49">
        <f t="shared" si="16"/>
        <v>4.5</v>
      </c>
      <c r="J124" s="60">
        <f>H130</f>
        <v>25.64</v>
      </c>
      <c r="K124" s="61">
        <v>20.0</v>
      </c>
      <c r="L124" s="49">
        <v>6.0</v>
      </c>
      <c r="M124" s="62">
        <f>K124*L124</f>
        <v>120</v>
      </c>
      <c r="N124" s="63">
        <f>M124-J124</f>
        <v>94.36</v>
      </c>
    </row>
    <row r="125">
      <c r="A125" s="48" t="s">
        <v>144</v>
      </c>
      <c r="B125" s="49">
        <v>35.0</v>
      </c>
      <c r="C125" s="48">
        <v>1000.0</v>
      </c>
      <c r="D125" s="50">
        <f t="shared" si="15"/>
        <v>0.035</v>
      </c>
      <c r="E125" s="64">
        <v>60.0</v>
      </c>
      <c r="F125" s="64"/>
      <c r="G125" s="51" t="s">
        <v>132</v>
      </c>
      <c r="H125" s="49">
        <f t="shared" si="16"/>
        <v>2.1</v>
      </c>
    </row>
    <row r="126">
      <c r="A126" s="48" t="s">
        <v>145</v>
      </c>
      <c r="B126" s="49">
        <v>5.0</v>
      </c>
      <c r="C126" s="48">
        <v>1.0</v>
      </c>
      <c r="D126" s="50">
        <f t="shared" si="15"/>
        <v>5</v>
      </c>
      <c r="E126" s="48">
        <v>1.0</v>
      </c>
      <c r="F126" s="48"/>
      <c r="G126" s="51" t="s">
        <v>173</v>
      </c>
      <c r="H126" s="49">
        <f t="shared" si="16"/>
        <v>5</v>
      </c>
    </row>
    <row r="127">
      <c r="A127" s="48" t="s">
        <v>147</v>
      </c>
      <c r="B127" s="49">
        <v>32.0</v>
      </c>
      <c r="C127" s="48">
        <v>1000.0</v>
      </c>
      <c r="D127" s="50">
        <f t="shared" si="15"/>
        <v>0.032</v>
      </c>
      <c r="E127" s="64">
        <v>20.0</v>
      </c>
      <c r="F127" s="64"/>
      <c r="G127" s="51" t="s">
        <v>132</v>
      </c>
      <c r="H127" s="49">
        <f t="shared" si="16"/>
        <v>0.64</v>
      </c>
    </row>
    <row r="128">
      <c r="A128" s="48" t="s">
        <v>174</v>
      </c>
      <c r="B128" s="49">
        <v>10.0</v>
      </c>
      <c r="C128" s="48">
        <v>1000.0</v>
      </c>
      <c r="D128" s="50">
        <f t="shared" si="15"/>
        <v>0.01</v>
      </c>
      <c r="E128" s="48">
        <v>100.0</v>
      </c>
      <c r="F128" s="48"/>
      <c r="G128" s="51" t="s">
        <v>132</v>
      </c>
      <c r="H128" s="49">
        <f t="shared" si="16"/>
        <v>1</v>
      </c>
    </row>
    <row r="129">
      <c r="A129" s="48" t="s">
        <v>163</v>
      </c>
      <c r="B129" s="49">
        <v>1.5</v>
      </c>
      <c r="C129" s="48">
        <v>1.0</v>
      </c>
      <c r="D129" s="50">
        <f t="shared" si="15"/>
        <v>1.5</v>
      </c>
      <c r="E129" s="48">
        <v>3.0</v>
      </c>
      <c r="F129" s="48"/>
      <c r="G129" s="51" t="s">
        <v>129</v>
      </c>
      <c r="H129" s="49">
        <f t="shared" si="16"/>
        <v>4.5</v>
      </c>
    </row>
    <row r="130">
      <c r="B130" s="65"/>
      <c r="C130" s="65"/>
      <c r="D130" s="65"/>
      <c r="E130" s="65" t="s">
        <v>150</v>
      </c>
      <c r="F130" s="65"/>
      <c r="G130" s="65"/>
      <c r="H130" s="66">
        <f>SUM(H119:H129)</f>
        <v>25.64</v>
      </c>
    </row>
    <row r="132">
      <c r="A132" s="67" t="s">
        <v>123</v>
      </c>
      <c r="B132" s="40"/>
      <c r="C132" s="40"/>
      <c r="D132" s="40"/>
      <c r="E132" s="40"/>
      <c r="F132" s="40"/>
      <c r="G132" s="40"/>
      <c r="H132" s="41"/>
    </row>
    <row r="133">
      <c r="A133" s="42"/>
      <c r="B133" s="43"/>
      <c r="C133" s="43"/>
      <c r="D133" s="43"/>
      <c r="E133" s="43"/>
      <c r="F133" s="43"/>
      <c r="G133" s="43"/>
      <c r="H133" s="44"/>
    </row>
    <row r="134">
      <c r="A134" s="103" t="s">
        <v>20</v>
      </c>
      <c r="B134" s="3"/>
      <c r="C134" s="3"/>
      <c r="D134" s="3"/>
      <c r="E134" s="3"/>
      <c r="F134" s="3"/>
      <c r="G134" s="3"/>
      <c r="H134" s="4"/>
    </row>
    <row r="135">
      <c r="A135" s="47" t="s">
        <v>124</v>
      </c>
      <c r="B135" s="46" t="s">
        <v>125</v>
      </c>
      <c r="C135" s="46" t="s">
        <v>126</v>
      </c>
      <c r="D135" s="46" t="s">
        <v>127</v>
      </c>
      <c r="E135" s="47" t="s">
        <v>128</v>
      </c>
      <c r="F135" s="47"/>
      <c r="G135" s="47"/>
      <c r="H135" s="47" t="s">
        <v>130</v>
      </c>
    </row>
    <row r="136">
      <c r="A136" s="48" t="s">
        <v>131</v>
      </c>
      <c r="B136" s="49">
        <v>8.0</v>
      </c>
      <c r="C136" s="48">
        <v>2000.0</v>
      </c>
      <c r="D136" s="50">
        <f t="shared" ref="D136:D145" si="17">B136/C136</f>
        <v>0.004</v>
      </c>
      <c r="E136" s="104">
        <v>200.0</v>
      </c>
      <c r="F136" s="104"/>
      <c r="G136" s="51" t="s">
        <v>132</v>
      </c>
      <c r="H136" s="49">
        <f t="shared" ref="H136:H145" si="18">D136*E136</f>
        <v>0.8</v>
      </c>
    </row>
    <row r="137">
      <c r="A137" s="48" t="s">
        <v>133</v>
      </c>
      <c r="B137" s="49">
        <v>3.0</v>
      </c>
      <c r="C137" s="48">
        <v>1.0</v>
      </c>
      <c r="D137" s="50">
        <f t="shared" si="17"/>
        <v>3</v>
      </c>
      <c r="E137" s="48">
        <v>1.0</v>
      </c>
      <c r="F137" s="48"/>
      <c r="G137" s="51" t="s">
        <v>134</v>
      </c>
      <c r="H137" s="49">
        <f t="shared" si="18"/>
        <v>3</v>
      </c>
    </row>
    <row r="138">
      <c r="A138" s="52" t="s">
        <v>135</v>
      </c>
      <c r="B138" s="53">
        <v>35.0</v>
      </c>
      <c r="C138" s="52">
        <v>1000.0</v>
      </c>
      <c r="D138" s="50">
        <f t="shared" si="17"/>
        <v>0.035</v>
      </c>
      <c r="E138" s="52">
        <v>20.0</v>
      </c>
      <c r="F138" s="52"/>
      <c r="G138" s="54" t="s">
        <v>136</v>
      </c>
      <c r="H138" s="49">
        <f t="shared" si="18"/>
        <v>0.7</v>
      </c>
    </row>
    <row r="139">
      <c r="A139" s="52" t="s">
        <v>137</v>
      </c>
      <c r="B139" s="53">
        <v>120.0</v>
      </c>
      <c r="C139" s="52">
        <v>1000.0</v>
      </c>
      <c r="D139" s="57">
        <f t="shared" si="17"/>
        <v>0.12</v>
      </c>
      <c r="E139" s="52">
        <v>20.0</v>
      </c>
      <c r="F139" s="52"/>
      <c r="G139" s="54" t="s">
        <v>129</v>
      </c>
      <c r="H139" s="53">
        <f t="shared" si="18"/>
        <v>2.4</v>
      </c>
      <c r="J139" s="58" t="s">
        <v>138</v>
      </c>
      <c r="K139" s="58" t="s">
        <v>139</v>
      </c>
      <c r="L139" s="58" t="s">
        <v>140</v>
      </c>
      <c r="M139" s="59" t="s">
        <v>141</v>
      </c>
      <c r="N139" s="59" t="s">
        <v>142</v>
      </c>
    </row>
    <row r="140">
      <c r="A140" s="48" t="s">
        <v>143</v>
      </c>
      <c r="B140" s="49">
        <v>4.5</v>
      </c>
      <c r="C140" s="48">
        <v>1.0</v>
      </c>
      <c r="D140" s="50">
        <f t="shared" si="17"/>
        <v>4.5</v>
      </c>
      <c r="E140" s="48">
        <v>1.0</v>
      </c>
      <c r="F140" s="48"/>
      <c r="G140" s="51" t="s">
        <v>134</v>
      </c>
      <c r="H140" s="49">
        <f t="shared" si="18"/>
        <v>4.5</v>
      </c>
      <c r="J140" s="60">
        <f>H146</f>
        <v>39.06857143</v>
      </c>
      <c r="K140" s="61">
        <v>20.0</v>
      </c>
      <c r="L140" s="49">
        <v>6.0</v>
      </c>
      <c r="M140" s="62">
        <f>K140*L140</f>
        <v>120</v>
      </c>
      <c r="N140" s="63">
        <f>M140-J140</f>
        <v>80.93142857</v>
      </c>
    </row>
    <row r="141">
      <c r="A141" s="48" t="s">
        <v>144</v>
      </c>
      <c r="B141" s="49">
        <v>35.0</v>
      </c>
      <c r="C141" s="48">
        <v>1000.0</v>
      </c>
      <c r="D141" s="50">
        <f t="shared" si="17"/>
        <v>0.035</v>
      </c>
      <c r="E141" s="64">
        <v>60.0</v>
      </c>
      <c r="F141" s="64"/>
      <c r="G141" s="51" t="s">
        <v>132</v>
      </c>
      <c r="H141" s="49">
        <f t="shared" si="18"/>
        <v>2.1</v>
      </c>
    </row>
    <row r="142">
      <c r="A142" s="48" t="s">
        <v>145</v>
      </c>
      <c r="B142" s="49">
        <v>5.0</v>
      </c>
      <c r="C142" s="48">
        <v>1.0</v>
      </c>
      <c r="D142" s="50">
        <f t="shared" si="17"/>
        <v>5</v>
      </c>
      <c r="E142" s="48">
        <v>1.0</v>
      </c>
      <c r="F142" s="48"/>
      <c r="G142" s="51" t="s">
        <v>173</v>
      </c>
      <c r="H142" s="49">
        <f t="shared" si="18"/>
        <v>5</v>
      </c>
    </row>
    <row r="143">
      <c r="A143" s="48" t="s">
        <v>147</v>
      </c>
      <c r="B143" s="49">
        <v>32.0</v>
      </c>
      <c r="C143" s="48">
        <v>1000.0</v>
      </c>
      <c r="D143" s="50">
        <f t="shared" si="17"/>
        <v>0.032</v>
      </c>
      <c r="E143" s="64">
        <v>20.0</v>
      </c>
      <c r="F143" s="64"/>
      <c r="G143" s="51" t="s">
        <v>132</v>
      </c>
      <c r="H143" s="49">
        <f t="shared" si="18"/>
        <v>0.64</v>
      </c>
    </row>
    <row r="144">
      <c r="A144" s="48" t="s">
        <v>175</v>
      </c>
      <c r="B144" s="49">
        <v>27.0</v>
      </c>
      <c r="C144" s="48">
        <v>350.0</v>
      </c>
      <c r="D144" s="50">
        <f t="shared" si="17"/>
        <v>0.07714285714</v>
      </c>
      <c r="E144" s="48">
        <v>200.0</v>
      </c>
      <c r="F144" s="48"/>
      <c r="G144" s="51" t="s">
        <v>132</v>
      </c>
      <c r="H144" s="49">
        <f t="shared" si="18"/>
        <v>15.42857143</v>
      </c>
    </row>
    <row r="145">
      <c r="A145" s="48" t="s">
        <v>163</v>
      </c>
      <c r="B145" s="49">
        <v>1.5</v>
      </c>
      <c r="C145" s="48">
        <v>1.0</v>
      </c>
      <c r="D145" s="50">
        <f t="shared" si="17"/>
        <v>1.5</v>
      </c>
      <c r="E145" s="48">
        <v>3.0</v>
      </c>
      <c r="F145" s="48"/>
      <c r="G145" s="51" t="s">
        <v>129</v>
      </c>
      <c r="H145" s="49">
        <f t="shared" si="18"/>
        <v>4.5</v>
      </c>
    </row>
    <row r="146">
      <c r="B146" s="65"/>
      <c r="C146" s="65"/>
      <c r="D146" s="65"/>
      <c r="E146" s="65" t="s">
        <v>150</v>
      </c>
      <c r="F146" s="65"/>
      <c r="G146" s="65"/>
      <c r="H146" s="66">
        <f>SUM(H136:H145)</f>
        <v>39.06857143</v>
      </c>
    </row>
    <row r="147">
      <c r="A147" s="112"/>
      <c r="B147" s="112"/>
      <c r="C147" s="112"/>
      <c r="D147" s="112"/>
      <c r="E147" s="112"/>
      <c r="F147" s="112"/>
      <c r="G147" s="112"/>
      <c r="H147" s="112"/>
    </row>
    <row r="148">
      <c r="A148" s="67" t="s">
        <v>123</v>
      </c>
      <c r="B148" s="40"/>
      <c r="C148" s="40"/>
      <c r="D148" s="40"/>
      <c r="E148" s="40"/>
      <c r="F148" s="40"/>
      <c r="G148" s="40"/>
      <c r="H148" s="41"/>
    </row>
    <row r="149">
      <c r="A149" s="42"/>
      <c r="B149" s="43"/>
      <c r="C149" s="43"/>
      <c r="D149" s="43"/>
      <c r="E149" s="43"/>
      <c r="F149" s="43"/>
      <c r="G149" s="43"/>
      <c r="H149" s="44"/>
    </row>
    <row r="150">
      <c r="A150" s="103" t="s">
        <v>30</v>
      </c>
      <c r="B150" s="3"/>
      <c r="C150" s="3"/>
      <c r="D150" s="3"/>
      <c r="E150" s="3"/>
      <c r="F150" s="3"/>
      <c r="G150" s="3"/>
      <c r="H150" s="4"/>
    </row>
    <row r="151">
      <c r="A151" s="47" t="s">
        <v>124</v>
      </c>
      <c r="B151" s="46" t="s">
        <v>125</v>
      </c>
      <c r="C151" s="46" t="s">
        <v>126</v>
      </c>
      <c r="D151" s="46" t="s">
        <v>127</v>
      </c>
      <c r="E151" s="47" t="s">
        <v>128</v>
      </c>
      <c r="F151" s="47"/>
      <c r="G151" s="47"/>
      <c r="H151" s="47" t="s">
        <v>130</v>
      </c>
    </row>
    <row r="152">
      <c r="A152" s="48" t="s">
        <v>131</v>
      </c>
      <c r="B152" s="49">
        <v>8.0</v>
      </c>
      <c r="C152" s="48">
        <v>2000.0</v>
      </c>
      <c r="D152" s="50">
        <f t="shared" ref="D152:D163" si="19">B152/C152</f>
        <v>0.004</v>
      </c>
      <c r="E152" s="64">
        <v>200.0</v>
      </c>
      <c r="F152" s="64"/>
      <c r="G152" s="51" t="s">
        <v>132</v>
      </c>
      <c r="H152" s="49">
        <f t="shared" ref="H152:H163" si="20">D152*E152</f>
        <v>0.8</v>
      </c>
    </row>
    <row r="153">
      <c r="A153" s="48" t="s">
        <v>172</v>
      </c>
      <c r="B153" s="49">
        <v>8.0</v>
      </c>
      <c r="C153" s="48">
        <v>2000.0</v>
      </c>
      <c r="D153" s="50">
        <f t="shared" si="19"/>
        <v>0.004</v>
      </c>
      <c r="E153" s="64">
        <v>120.0</v>
      </c>
      <c r="F153" s="64"/>
      <c r="G153" s="51" t="s">
        <v>132</v>
      </c>
      <c r="H153" s="49">
        <f t="shared" si="20"/>
        <v>0.48</v>
      </c>
    </row>
    <row r="154">
      <c r="A154" s="36" t="s">
        <v>176</v>
      </c>
      <c r="B154" s="49">
        <v>20.0</v>
      </c>
      <c r="C154" s="48">
        <v>1300.0</v>
      </c>
      <c r="D154" s="50">
        <f t="shared" si="19"/>
        <v>0.01538461538</v>
      </c>
      <c r="E154" s="105">
        <v>15.0</v>
      </c>
      <c r="F154" s="105"/>
      <c r="G154" s="51" t="s">
        <v>132</v>
      </c>
      <c r="H154" s="49">
        <f t="shared" si="20"/>
        <v>0.2307692308</v>
      </c>
    </row>
    <row r="155">
      <c r="A155" s="52" t="s">
        <v>133</v>
      </c>
      <c r="B155" s="53">
        <v>3.0</v>
      </c>
      <c r="C155" s="52">
        <v>1.0</v>
      </c>
      <c r="D155" s="57">
        <f t="shared" si="19"/>
        <v>3</v>
      </c>
      <c r="E155" s="52">
        <v>1.0</v>
      </c>
      <c r="F155" s="52"/>
      <c r="G155" s="54" t="s">
        <v>134</v>
      </c>
      <c r="H155" s="53">
        <f t="shared" si="20"/>
        <v>3</v>
      </c>
      <c r="J155" s="58" t="s">
        <v>138</v>
      </c>
      <c r="K155" s="58" t="s">
        <v>139</v>
      </c>
      <c r="L155" s="58" t="s">
        <v>140</v>
      </c>
      <c r="M155" s="59" t="s">
        <v>141</v>
      </c>
      <c r="N155" s="59" t="s">
        <v>142</v>
      </c>
    </row>
    <row r="156">
      <c r="A156" s="52" t="s">
        <v>135</v>
      </c>
      <c r="B156" s="53">
        <v>35.0</v>
      </c>
      <c r="C156" s="52">
        <v>1000.0</v>
      </c>
      <c r="D156" s="50">
        <f t="shared" si="19"/>
        <v>0.035</v>
      </c>
      <c r="E156" s="52">
        <v>20.0</v>
      </c>
      <c r="F156" s="52"/>
      <c r="G156" s="54" t="s">
        <v>136</v>
      </c>
      <c r="H156" s="49">
        <f t="shared" si="20"/>
        <v>0.7</v>
      </c>
      <c r="J156" s="60"/>
      <c r="K156" s="61"/>
      <c r="L156" s="49"/>
      <c r="M156" s="108"/>
      <c r="N156" s="109"/>
    </row>
    <row r="157">
      <c r="A157" s="48" t="s">
        <v>137</v>
      </c>
      <c r="B157" s="49">
        <v>120.0</v>
      </c>
      <c r="C157" s="48">
        <v>1000.0</v>
      </c>
      <c r="D157" s="50">
        <f t="shared" si="19"/>
        <v>0.12</v>
      </c>
      <c r="E157" s="104">
        <v>20.0</v>
      </c>
      <c r="F157" s="104"/>
      <c r="G157" s="51" t="s">
        <v>129</v>
      </c>
      <c r="H157" s="49">
        <f t="shared" si="20"/>
        <v>2.4</v>
      </c>
      <c r="J157" s="60">
        <f>H164</f>
        <v>26.85076923</v>
      </c>
      <c r="K157" s="61">
        <v>20.0</v>
      </c>
      <c r="L157" s="49">
        <v>6.0</v>
      </c>
      <c r="M157" s="62">
        <f>K157*L157</f>
        <v>120</v>
      </c>
      <c r="N157" s="63">
        <f>M157-J157</f>
        <v>93.14923077</v>
      </c>
    </row>
    <row r="158">
      <c r="A158" s="48" t="s">
        <v>143</v>
      </c>
      <c r="B158" s="49">
        <v>4.5</v>
      </c>
      <c r="C158" s="48">
        <v>1.0</v>
      </c>
      <c r="D158" s="50">
        <f t="shared" si="19"/>
        <v>4.5</v>
      </c>
      <c r="E158" s="48">
        <v>1.0</v>
      </c>
      <c r="F158" s="48"/>
      <c r="G158" s="51" t="s">
        <v>134</v>
      </c>
      <c r="H158" s="49">
        <f t="shared" si="20"/>
        <v>4.5</v>
      </c>
    </row>
    <row r="159">
      <c r="A159" s="48" t="s">
        <v>144</v>
      </c>
      <c r="B159" s="49">
        <v>35.0</v>
      </c>
      <c r="C159" s="48">
        <v>1000.0</v>
      </c>
      <c r="D159" s="50">
        <f t="shared" si="19"/>
        <v>0.035</v>
      </c>
      <c r="E159" s="64">
        <v>60.0</v>
      </c>
      <c r="F159" s="64"/>
      <c r="G159" s="51" t="s">
        <v>132</v>
      </c>
      <c r="H159" s="49">
        <f t="shared" si="20"/>
        <v>2.1</v>
      </c>
    </row>
    <row r="160">
      <c r="A160" s="48" t="s">
        <v>145</v>
      </c>
      <c r="B160" s="49">
        <v>5.0</v>
      </c>
      <c r="C160" s="48">
        <v>1.0</v>
      </c>
      <c r="D160" s="50">
        <f t="shared" si="19"/>
        <v>5</v>
      </c>
      <c r="E160" s="48">
        <v>1.5</v>
      </c>
      <c r="F160" s="48"/>
      <c r="G160" s="51" t="s">
        <v>132</v>
      </c>
      <c r="H160" s="49">
        <f t="shared" si="20"/>
        <v>7.5</v>
      </c>
    </row>
    <row r="161">
      <c r="A161" s="48" t="s">
        <v>147</v>
      </c>
      <c r="B161" s="49">
        <v>32.0</v>
      </c>
      <c r="C161" s="48">
        <v>1000.0</v>
      </c>
      <c r="D161" s="50">
        <f t="shared" si="19"/>
        <v>0.032</v>
      </c>
      <c r="E161" s="64">
        <v>20.0</v>
      </c>
      <c r="F161" s="64"/>
      <c r="G161" s="51" t="s">
        <v>160</v>
      </c>
      <c r="H161" s="49">
        <f t="shared" si="20"/>
        <v>0.64</v>
      </c>
    </row>
    <row r="162">
      <c r="A162" s="48" t="s">
        <v>163</v>
      </c>
      <c r="B162" s="49">
        <v>1.5</v>
      </c>
      <c r="C162" s="48">
        <v>1.0</v>
      </c>
      <c r="D162" s="50">
        <f t="shared" si="19"/>
        <v>1.5</v>
      </c>
      <c r="E162" s="48">
        <v>3.0</v>
      </c>
      <c r="F162" s="48"/>
      <c r="G162" s="51" t="s">
        <v>129</v>
      </c>
      <c r="H162" s="49">
        <f t="shared" si="20"/>
        <v>4.5</v>
      </c>
    </row>
    <row r="163">
      <c r="A163" s="48" t="s">
        <v>30</v>
      </c>
      <c r="B163" s="49">
        <v>10.0</v>
      </c>
      <c r="C163" s="48">
        <v>500.0</v>
      </c>
      <c r="D163" s="50">
        <f t="shared" si="19"/>
        <v>0.02</v>
      </c>
      <c r="E163" s="48">
        <v>250.0</v>
      </c>
      <c r="F163" s="48"/>
      <c r="G163" s="51" t="s">
        <v>132</v>
      </c>
      <c r="H163" s="49">
        <f t="shared" si="20"/>
        <v>5</v>
      </c>
    </row>
    <row r="164">
      <c r="B164" s="65"/>
      <c r="C164" s="65"/>
      <c r="D164" s="65"/>
      <c r="E164" s="65" t="s">
        <v>150</v>
      </c>
      <c r="F164" s="65"/>
      <c r="G164" s="65"/>
      <c r="H164" s="66">
        <f>SUM(H152:H162)</f>
        <v>26.85076923</v>
      </c>
    </row>
    <row r="165">
      <c r="B165" s="36">
        <v>3.0</v>
      </c>
    </row>
    <row r="166">
      <c r="A166" s="67" t="s">
        <v>123</v>
      </c>
      <c r="B166" s="40"/>
      <c r="C166" s="40"/>
      <c r="D166" s="40"/>
      <c r="E166" s="40"/>
      <c r="F166" s="40"/>
      <c r="G166" s="40"/>
      <c r="H166" s="41"/>
    </row>
    <row r="167">
      <c r="A167" s="42"/>
      <c r="B167" s="43"/>
      <c r="C167" s="43"/>
      <c r="D167" s="43"/>
      <c r="E167" s="43"/>
      <c r="F167" s="43"/>
      <c r="G167" s="43"/>
      <c r="H167" s="44"/>
    </row>
    <row r="168">
      <c r="A168" s="103" t="s">
        <v>15</v>
      </c>
      <c r="B168" s="3"/>
      <c r="C168" s="3"/>
      <c r="D168" s="3"/>
      <c r="E168" s="3"/>
      <c r="F168" s="3"/>
      <c r="G168" s="3"/>
      <c r="H168" s="4"/>
    </row>
    <row r="169">
      <c r="A169" s="47" t="s">
        <v>124</v>
      </c>
      <c r="B169" s="46" t="s">
        <v>125</v>
      </c>
      <c r="C169" s="46" t="s">
        <v>126</v>
      </c>
      <c r="D169" s="46" t="s">
        <v>127</v>
      </c>
      <c r="E169" s="47" t="s">
        <v>128</v>
      </c>
      <c r="F169" s="47"/>
      <c r="G169" s="47"/>
      <c r="H169" s="47" t="s">
        <v>130</v>
      </c>
    </row>
    <row r="170">
      <c r="A170" s="48" t="s">
        <v>131</v>
      </c>
      <c r="B170" s="49">
        <v>8.0</v>
      </c>
      <c r="C170" s="48">
        <v>2000.0</v>
      </c>
      <c r="D170" s="50">
        <f t="shared" ref="D170:D177" si="21">B170/C170</f>
        <v>0.004</v>
      </c>
      <c r="E170" s="104">
        <v>400.0</v>
      </c>
      <c r="F170" s="104"/>
      <c r="G170" s="51" t="s">
        <v>132</v>
      </c>
      <c r="H170" s="49">
        <f t="shared" ref="H170:H177" si="22">D170*E170</f>
        <v>1.6</v>
      </c>
    </row>
    <row r="171">
      <c r="A171" s="48" t="s">
        <v>15</v>
      </c>
      <c r="B171" s="49">
        <v>25.0</v>
      </c>
      <c r="C171" s="48">
        <v>500.0</v>
      </c>
      <c r="D171" s="50">
        <f t="shared" si="21"/>
        <v>0.05</v>
      </c>
      <c r="E171" s="48">
        <v>400.0</v>
      </c>
      <c r="F171" s="48"/>
      <c r="G171" s="51" t="s">
        <v>132</v>
      </c>
      <c r="H171" s="49">
        <f t="shared" si="22"/>
        <v>20</v>
      </c>
      <c r="J171" s="58" t="s">
        <v>138</v>
      </c>
      <c r="K171" s="58" t="s">
        <v>139</v>
      </c>
      <c r="L171" s="58" t="s">
        <v>140</v>
      </c>
      <c r="M171" s="59" t="s">
        <v>141</v>
      </c>
      <c r="N171" s="59" t="s">
        <v>142</v>
      </c>
    </row>
    <row r="172">
      <c r="A172" s="48" t="s">
        <v>133</v>
      </c>
      <c r="B172" s="49">
        <v>3.0</v>
      </c>
      <c r="C172" s="48">
        <v>1.0</v>
      </c>
      <c r="D172" s="50">
        <f t="shared" si="21"/>
        <v>3</v>
      </c>
      <c r="E172" s="48">
        <v>1.0</v>
      </c>
      <c r="F172" s="48"/>
      <c r="G172" s="51" t="s">
        <v>134</v>
      </c>
      <c r="H172" s="49">
        <f t="shared" si="22"/>
        <v>3</v>
      </c>
      <c r="J172" s="60">
        <f>H178</f>
        <v>41.115</v>
      </c>
      <c r="K172" s="61">
        <v>25.0</v>
      </c>
      <c r="L172" s="49">
        <v>6.0</v>
      </c>
      <c r="M172" s="62">
        <f>K172*L172</f>
        <v>150</v>
      </c>
      <c r="N172" s="63">
        <f>M172-J172</f>
        <v>108.885</v>
      </c>
    </row>
    <row r="173">
      <c r="A173" s="52" t="s">
        <v>135</v>
      </c>
      <c r="B173" s="53">
        <v>35.0</v>
      </c>
      <c r="C173" s="52">
        <v>1000.0</v>
      </c>
      <c r="D173" s="50">
        <f t="shared" si="21"/>
        <v>0.035</v>
      </c>
      <c r="E173" s="52">
        <v>25.0</v>
      </c>
      <c r="F173" s="52"/>
      <c r="G173" s="54" t="s">
        <v>136</v>
      </c>
      <c r="H173" s="49">
        <f t="shared" si="22"/>
        <v>0.875</v>
      </c>
    </row>
    <row r="174">
      <c r="A174" s="52" t="s">
        <v>137</v>
      </c>
      <c r="B174" s="53">
        <v>120.0</v>
      </c>
      <c r="C174" s="52">
        <v>1000.0</v>
      </c>
      <c r="D174" s="57">
        <f t="shared" si="21"/>
        <v>0.12</v>
      </c>
      <c r="E174" s="52">
        <v>25.0</v>
      </c>
      <c r="F174" s="52"/>
      <c r="G174" s="54" t="s">
        <v>129</v>
      </c>
      <c r="H174" s="53">
        <f t="shared" si="22"/>
        <v>3</v>
      </c>
    </row>
    <row r="175">
      <c r="A175" s="48" t="s">
        <v>154</v>
      </c>
      <c r="B175" s="49">
        <v>4.5</v>
      </c>
      <c r="C175" s="48">
        <v>1.0</v>
      </c>
      <c r="D175" s="50">
        <f t="shared" si="21"/>
        <v>4.5</v>
      </c>
      <c r="E175" s="105">
        <v>1.0</v>
      </c>
      <c r="F175" s="105"/>
      <c r="G175" s="51" t="s">
        <v>134</v>
      </c>
      <c r="H175" s="49">
        <f t="shared" si="22"/>
        <v>4.5</v>
      </c>
    </row>
    <row r="176">
      <c r="A176" s="48" t="s">
        <v>145</v>
      </c>
      <c r="B176" s="49">
        <v>5.0</v>
      </c>
      <c r="C176" s="48">
        <v>1.0</v>
      </c>
      <c r="D176" s="50">
        <f t="shared" si="21"/>
        <v>5</v>
      </c>
      <c r="E176" s="48">
        <v>1.5</v>
      </c>
      <c r="F176" s="48"/>
      <c r="G176" s="51" t="s">
        <v>160</v>
      </c>
      <c r="H176" s="49">
        <f t="shared" si="22"/>
        <v>7.5</v>
      </c>
    </row>
    <row r="177">
      <c r="A177" s="48" t="s">
        <v>147</v>
      </c>
      <c r="B177" s="49">
        <v>32.0</v>
      </c>
      <c r="C177" s="48">
        <v>1000.0</v>
      </c>
      <c r="D177" s="50">
        <f t="shared" si="21"/>
        <v>0.032</v>
      </c>
      <c r="E177" s="64">
        <v>20.0</v>
      </c>
      <c r="F177" s="64"/>
      <c r="G177" s="51" t="s">
        <v>132</v>
      </c>
      <c r="H177" s="49">
        <f t="shared" si="22"/>
        <v>0.64</v>
      </c>
      <c r="I177" s="30"/>
    </row>
    <row r="178">
      <c r="B178" s="65"/>
      <c r="C178" s="65"/>
      <c r="D178" s="65"/>
      <c r="E178" s="65" t="s">
        <v>150</v>
      </c>
      <c r="F178" s="65"/>
      <c r="G178" s="65"/>
      <c r="H178" s="66">
        <f>SUM(H170:H177)</f>
        <v>41.115</v>
      </c>
    </row>
    <row r="179">
      <c r="B179" s="113"/>
      <c r="C179" s="113"/>
      <c r="D179" s="113"/>
      <c r="E179" s="113"/>
      <c r="F179" s="113"/>
      <c r="G179" s="113"/>
      <c r="H179" s="113"/>
    </row>
    <row r="180">
      <c r="A180" s="67" t="s">
        <v>123</v>
      </c>
      <c r="B180" s="40"/>
      <c r="C180" s="40"/>
      <c r="D180" s="40"/>
      <c r="E180" s="40"/>
      <c r="F180" s="40"/>
      <c r="G180" s="40"/>
      <c r="H180" s="41"/>
    </row>
    <row r="181">
      <c r="A181" s="42"/>
      <c r="B181" s="43"/>
      <c r="C181" s="43"/>
      <c r="D181" s="43"/>
      <c r="E181" s="43"/>
      <c r="F181" s="43"/>
      <c r="G181" s="43"/>
      <c r="H181" s="44"/>
    </row>
    <row r="182">
      <c r="A182" s="103" t="s">
        <v>177</v>
      </c>
      <c r="B182" s="3"/>
      <c r="C182" s="3"/>
      <c r="D182" s="3"/>
      <c r="E182" s="3"/>
      <c r="F182" s="3"/>
      <c r="G182" s="3"/>
      <c r="H182" s="4"/>
    </row>
    <row r="183">
      <c r="A183" s="47" t="s">
        <v>124</v>
      </c>
      <c r="B183" s="46" t="s">
        <v>125</v>
      </c>
      <c r="C183" s="46" t="s">
        <v>126</v>
      </c>
      <c r="D183" s="46" t="s">
        <v>127</v>
      </c>
      <c r="E183" s="47" t="s">
        <v>128</v>
      </c>
      <c r="F183" s="47"/>
      <c r="G183" s="47"/>
      <c r="H183" s="47" t="s">
        <v>130</v>
      </c>
    </row>
    <row r="184">
      <c r="A184" s="48" t="s">
        <v>131</v>
      </c>
      <c r="B184" s="49">
        <v>8.0</v>
      </c>
      <c r="C184" s="48">
        <v>2000.0</v>
      </c>
      <c r="D184" s="50">
        <f t="shared" ref="D184:D193" si="23">B184/C184</f>
        <v>0.004</v>
      </c>
      <c r="E184" s="64">
        <v>200.0</v>
      </c>
      <c r="F184" s="64"/>
      <c r="G184" s="51" t="s">
        <v>132</v>
      </c>
      <c r="H184" s="49">
        <f t="shared" ref="H184:H193" si="24">D184*E184</f>
        <v>0.8</v>
      </c>
    </row>
    <row r="185">
      <c r="A185" s="48" t="s">
        <v>133</v>
      </c>
      <c r="B185" s="49">
        <v>3.0</v>
      </c>
      <c r="C185" s="48">
        <v>1.0</v>
      </c>
      <c r="D185" s="50">
        <f t="shared" si="23"/>
        <v>3</v>
      </c>
      <c r="E185" s="48">
        <v>1.0</v>
      </c>
      <c r="F185" s="48"/>
      <c r="G185" s="51" t="s">
        <v>134</v>
      </c>
      <c r="H185" s="49">
        <f t="shared" si="24"/>
        <v>3</v>
      </c>
    </row>
    <row r="186">
      <c r="A186" s="52" t="s">
        <v>135</v>
      </c>
      <c r="B186" s="53">
        <v>35.0</v>
      </c>
      <c r="C186" s="52">
        <v>1000.0</v>
      </c>
      <c r="D186" s="50">
        <f t="shared" si="23"/>
        <v>0.035</v>
      </c>
      <c r="E186" s="52">
        <v>25.0</v>
      </c>
      <c r="F186" s="52"/>
      <c r="G186" s="54" t="s">
        <v>136</v>
      </c>
      <c r="H186" s="49">
        <f t="shared" si="24"/>
        <v>0.875</v>
      </c>
      <c r="J186" s="55"/>
      <c r="K186" s="55"/>
      <c r="L186" s="55"/>
      <c r="M186" s="56"/>
      <c r="N186" s="56"/>
    </row>
    <row r="187">
      <c r="A187" s="52" t="s">
        <v>137</v>
      </c>
      <c r="B187" s="53">
        <v>120.0</v>
      </c>
      <c r="C187" s="52">
        <v>1000.0</v>
      </c>
      <c r="D187" s="57">
        <f t="shared" si="23"/>
        <v>0.12</v>
      </c>
      <c r="E187" s="52">
        <v>25.0</v>
      </c>
      <c r="F187" s="52"/>
      <c r="G187" s="54" t="s">
        <v>129</v>
      </c>
      <c r="H187" s="53">
        <f t="shared" si="24"/>
        <v>3</v>
      </c>
      <c r="J187" s="58" t="s">
        <v>138</v>
      </c>
      <c r="K187" s="58" t="s">
        <v>139</v>
      </c>
      <c r="L187" s="58" t="s">
        <v>140</v>
      </c>
      <c r="M187" s="59" t="s">
        <v>141</v>
      </c>
      <c r="N187" s="59" t="s">
        <v>142</v>
      </c>
    </row>
    <row r="188">
      <c r="A188" s="48" t="s">
        <v>143</v>
      </c>
      <c r="B188" s="49">
        <v>4.5</v>
      </c>
      <c r="C188" s="48">
        <v>1.0</v>
      </c>
      <c r="D188" s="50">
        <f t="shared" si="23"/>
        <v>4.5</v>
      </c>
      <c r="E188" s="48">
        <v>1.0</v>
      </c>
      <c r="F188" s="48"/>
      <c r="G188" s="51" t="s">
        <v>134</v>
      </c>
      <c r="H188" s="49">
        <f t="shared" si="24"/>
        <v>4.5</v>
      </c>
      <c r="J188" s="60">
        <f>H194</f>
        <v>42.34357143</v>
      </c>
      <c r="K188" s="61">
        <v>20.0</v>
      </c>
      <c r="L188" s="49">
        <v>6.0</v>
      </c>
      <c r="M188" s="62">
        <f>K188*L188</f>
        <v>120</v>
      </c>
      <c r="N188" s="63">
        <f>M188-J188</f>
        <v>77.65642857</v>
      </c>
    </row>
    <row r="189">
      <c r="A189" s="48" t="s">
        <v>144</v>
      </c>
      <c r="B189" s="49">
        <v>35.0</v>
      </c>
      <c r="C189" s="48">
        <v>1000.0</v>
      </c>
      <c r="D189" s="50">
        <f t="shared" si="23"/>
        <v>0.035</v>
      </c>
      <c r="E189" s="64">
        <v>60.0</v>
      </c>
      <c r="F189" s="64"/>
      <c r="G189" s="51" t="s">
        <v>132</v>
      </c>
      <c r="H189" s="49">
        <f t="shared" si="24"/>
        <v>2.1</v>
      </c>
    </row>
    <row r="190">
      <c r="A190" s="48" t="s">
        <v>145</v>
      </c>
      <c r="B190" s="49">
        <v>5.0</v>
      </c>
      <c r="C190" s="48">
        <v>1.0</v>
      </c>
      <c r="D190" s="50">
        <f t="shared" si="23"/>
        <v>5</v>
      </c>
      <c r="E190" s="48">
        <v>1.5</v>
      </c>
      <c r="F190" s="48"/>
      <c r="G190" s="51" t="s">
        <v>160</v>
      </c>
      <c r="H190" s="49">
        <f t="shared" si="24"/>
        <v>7.5</v>
      </c>
    </row>
    <row r="191">
      <c r="A191" s="48" t="s">
        <v>147</v>
      </c>
      <c r="B191" s="49">
        <v>32.0</v>
      </c>
      <c r="C191" s="48">
        <v>1000.0</v>
      </c>
      <c r="D191" s="50">
        <f t="shared" si="23"/>
        <v>0.032</v>
      </c>
      <c r="E191" s="64">
        <v>20.0</v>
      </c>
      <c r="F191" s="64"/>
      <c r="G191" s="51" t="s">
        <v>132</v>
      </c>
      <c r="H191" s="49">
        <f t="shared" si="24"/>
        <v>0.64</v>
      </c>
    </row>
    <row r="192">
      <c r="A192" s="48" t="s">
        <v>175</v>
      </c>
      <c r="B192" s="49">
        <v>27.0</v>
      </c>
      <c r="C192" s="48">
        <v>350.0</v>
      </c>
      <c r="D192" s="50">
        <f t="shared" si="23"/>
        <v>0.07714285714</v>
      </c>
      <c r="E192" s="48">
        <v>200.0</v>
      </c>
      <c r="F192" s="48"/>
      <c r="G192" s="51" t="s">
        <v>132</v>
      </c>
      <c r="H192" s="49">
        <f t="shared" si="24"/>
        <v>15.42857143</v>
      </c>
    </row>
    <row r="193">
      <c r="A193" s="48" t="s">
        <v>163</v>
      </c>
      <c r="B193" s="49">
        <v>1.5</v>
      </c>
      <c r="C193" s="48">
        <v>1.0</v>
      </c>
      <c r="D193" s="50">
        <f t="shared" si="23"/>
        <v>1.5</v>
      </c>
      <c r="E193" s="48">
        <v>3.0</v>
      </c>
      <c r="F193" s="48"/>
      <c r="G193" s="51" t="s">
        <v>129</v>
      </c>
      <c r="H193" s="49">
        <f t="shared" si="24"/>
        <v>4.5</v>
      </c>
    </row>
    <row r="194">
      <c r="B194" s="65"/>
      <c r="C194" s="65"/>
      <c r="D194" s="65"/>
      <c r="E194" s="65" t="s">
        <v>150</v>
      </c>
      <c r="F194" s="65"/>
      <c r="G194" s="65"/>
      <c r="H194" s="66">
        <f>SUM(H184:H193)</f>
        <v>42.34357143</v>
      </c>
    </row>
    <row r="196">
      <c r="A196" s="67" t="s">
        <v>123</v>
      </c>
      <c r="B196" s="40"/>
      <c r="C196" s="40"/>
      <c r="D196" s="40"/>
      <c r="E196" s="40"/>
      <c r="F196" s="40"/>
      <c r="G196" s="40"/>
      <c r="H196" s="41"/>
    </row>
    <row r="197">
      <c r="A197" s="42"/>
      <c r="B197" s="43"/>
      <c r="C197" s="43"/>
      <c r="D197" s="43"/>
      <c r="E197" s="43"/>
      <c r="F197" s="43"/>
      <c r="G197" s="43"/>
      <c r="H197" s="44"/>
    </row>
    <row r="198">
      <c r="A198" s="103" t="s">
        <v>178</v>
      </c>
      <c r="B198" s="3"/>
      <c r="C198" s="3"/>
      <c r="D198" s="3"/>
      <c r="E198" s="3"/>
      <c r="F198" s="3"/>
      <c r="G198" s="3"/>
      <c r="H198" s="4"/>
    </row>
    <row r="199">
      <c r="A199" s="47" t="s">
        <v>124</v>
      </c>
      <c r="B199" s="46" t="s">
        <v>125</v>
      </c>
      <c r="C199" s="46" t="s">
        <v>126</v>
      </c>
      <c r="D199" s="46" t="s">
        <v>127</v>
      </c>
      <c r="E199" s="47" t="s">
        <v>128</v>
      </c>
      <c r="F199" s="47"/>
      <c r="G199" s="47"/>
      <c r="H199" s="47" t="s">
        <v>130</v>
      </c>
    </row>
    <row r="200">
      <c r="A200" s="48" t="s">
        <v>131</v>
      </c>
      <c r="B200" s="49">
        <v>8.0</v>
      </c>
      <c r="C200" s="48">
        <v>2000.0</v>
      </c>
      <c r="D200" s="50">
        <f t="shared" ref="D200:D208" si="25">B200/C200</f>
        <v>0.004</v>
      </c>
      <c r="E200" s="64">
        <v>590.0</v>
      </c>
      <c r="F200" s="64"/>
      <c r="G200" s="51" t="s">
        <v>132</v>
      </c>
      <c r="H200" s="49">
        <f t="shared" ref="H200:H208" si="26">D200*E200</f>
        <v>2.36</v>
      </c>
    </row>
    <row r="201">
      <c r="A201" s="48" t="s">
        <v>133</v>
      </c>
      <c r="B201" s="49">
        <v>3.0</v>
      </c>
      <c r="C201" s="48">
        <v>1.0</v>
      </c>
      <c r="D201" s="50">
        <f t="shared" si="25"/>
        <v>3</v>
      </c>
      <c r="E201" s="48">
        <v>1.0</v>
      </c>
      <c r="F201" s="48"/>
      <c r="G201" s="51" t="s">
        <v>134</v>
      </c>
      <c r="H201" s="49">
        <f t="shared" si="26"/>
        <v>3</v>
      </c>
    </row>
    <row r="202">
      <c r="A202" s="52" t="s">
        <v>135</v>
      </c>
      <c r="B202" s="53">
        <v>35.0</v>
      </c>
      <c r="C202" s="52">
        <v>1000.0</v>
      </c>
      <c r="D202" s="50">
        <f t="shared" si="25"/>
        <v>0.035</v>
      </c>
      <c r="E202" s="52">
        <v>20.0</v>
      </c>
      <c r="F202" s="52"/>
      <c r="G202" s="54" t="s">
        <v>136</v>
      </c>
      <c r="H202" s="49">
        <f t="shared" si="26"/>
        <v>0.7</v>
      </c>
      <c r="J202" s="55"/>
      <c r="K202" s="55"/>
      <c r="L202" s="55"/>
      <c r="M202" s="56"/>
      <c r="N202" s="56"/>
    </row>
    <row r="203">
      <c r="A203" s="52" t="s">
        <v>137</v>
      </c>
      <c r="B203" s="53">
        <v>120.0</v>
      </c>
      <c r="C203" s="52">
        <v>1000.0</v>
      </c>
      <c r="D203" s="57">
        <f t="shared" si="25"/>
        <v>0.12</v>
      </c>
      <c r="E203" s="52">
        <v>20.0</v>
      </c>
      <c r="F203" s="52"/>
      <c r="G203" s="54" t="s">
        <v>129</v>
      </c>
      <c r="H203" s="53">
        <f t="shared" si="26"/>
        <v>2.4</v>
      </c>
      <c r="J203" s="58" t="s">
        <v>138</v>
      </c>
      <c r="K203" s="58" t="s">
        <v>139</v>
      </c>
      <c r="L203" s="58" t="s">
        <v>140</v>
      </c>
      <c r="M203" s="59" t="s">
        <v>141</v>
      </c>
      <c r="N203" s="59" t="s">
        <v>142</v>
      </c>
    </row>
    <row r="204">
      <c r="A204" s="48" t="s">
        <v>143</v>
      </c>
      <c r="B204" s="49">
        <v>4.5</v>
      </c>
      <c r="C204" s="48">
        <v>1.0</v>
      </c>
      <c r="D204" s="50">
        <f t="shared" si="25"/>
        <v>4.5</v>
      </c>
      <c r="E204" s="48">
        <v>1.0</v>
      </c>
      <c r="F204" s="48"/>
      <c r="G204" s="51" t="s">
        <v>134</v>
      </c>
      <c r="H204" s="49">
        <f t="shared" si="26"/>
        <v>4.5</v>
      </c>
      <c r="J204" s="60">
        <f>H209</f>
        <v>43.52857143</v>
      </c>
      <c r="K204" s="61">
        <v>20.0</v>
      </c>
      <c r="L204" s="49">
        <v>6.0</v>
      </c>
      <c r="M204" s="62">
        <f>K204*L204</f>
        <v>120</v>
      </c>
      <c r="N204" s="63">
        <f>M204-J204</f>
        <v>76.47142857</v>
      </c>
    </row>
    <row r="205">
      <c r="A205" s="48" t="s">
        <v>144</v>
      </c>
      <c r="B205" s="49">
        <v>35.0</v>
      </c>
      <c r="C205" s="48">
        <v>1000.0</v>
      </c>
      <c r="D205" s="50">
        <f t="shared" si="25"/>
        <v>0.035</v>
      </c>
      <c r="E205" s="48">
        <v>200.0</v>
      </c>
      <c r="F205" s="48"/>
      <c r="G205" s="51" t="s">
        <v>132</v>
      </c>
      <c r="H205" s="49">
        <f t="shared" si="26"/>
        <v>7</v>
      </c>
    </row>
    <row r="206">
      <c r="A206" s="48" t="s">
        <v>145</v>
      </c>
      <c r="B206" s="49">
        <v>5.0</v>
      </c>
      <c r="C206" s="48">
        <v>1.0</v>
      </c>
      <c r="D206" s="50">
        <f t="shared" si="25"/>
        <v>5</v>
      </c>
      <c r="E206" s="48">
        <v>1.5</v>
      </c>
      <c r="F206" s="48"/>
      <c r="G206" s="51" t="s">
        <v>160</v>
      </c>
      <c r="H206" s="49">
        <f t="shared" si="26"/>
        <v>7.5</v>
      </c>
    </row>
    <row r="207">
      <c r="A207" s="48" t="s">
        <v>147</v>
      </c>
      <c r="B207" s="49">
        <v>32.0</v>
      </c>
      <c r="C207" s="48">
        <v>1000.0</v>
      </c>
      <c r="D207" s="50">
        <f t="shared" si="25"/>
        <v>0.032</v>
      </c>
      <c r="E207" s="64">
        <v>20.0</v>
      </c>
      <c r="F207" s="64"/>
      <c r="G207" s="51" t="s">
        <v>132</v>
      </c>
      <c r="H207" s="49">
        <f t="shared" si="26"/>
        <v>0.64</v>
      </c>
    </row>
    <row r="208">
      <c r="A208" s="48" t="s">
        <v>175</v>
      </c>
      <c r="B208" s="49">
        <v>27.0</v>
      </c>
      <c r="C208" s="48">
        <v>350.0</v>
      </c>
      <c r="D208" s="50">
        <f t="shared" si="25"/>
        <v>0.07714285714</v>
      </c>
      <c r="E208" s="48">
        <v>200.0</v>
      </c>
      <c r="F208" s="48"/>
      <c r="G208" s="51" t="s">
        <v>132</v>
      </c>
      <c r="H208" s="49">
        <f t="shared" si="26"/>
        <v>15.42857143</v>
      </c>
    </row>
    <row r="209">
      <c r="B209" s="65"/>
      <c r="C209" s="65"/>
      <c r="D209" s="65"/>
      <c r="E209" s="65" t="s">
        <v>150</v>
      </c>
      <c r="F209" s="65"/>
      <c r="G209" s="65"/>
      <c r="H209" s="66">
        <f>SUM(H200:H208)</f>
        <v>43.52857143</v>
      </c>
    </row>
    <row r="211">
      <c r="A211" s="114" t="s">
        <v>123</v>
      </c>
      <c r="B211" s="40"/>
      <c r="C211" s="40"/>
      <c r="D211" s="40"/>
      <c r="E211" s="40"/>
      <c r="F211" s="40"/>
      <c r="G211" s="40"/>
      <c r="H211" s="41"/>
    </row>
    <row r="212">
      <c r="A212" s="42"/>
      <c r="B212" s="43"/>
      <c r="C212" s="43"/>
      <c r="D212" s="43"/>
      <c r="E212" s="43"/>
      <c r="F212" s="43"/>
      <c r="G212" s="43"/>
      <c r="H212" s="44"/>
    </row>
    <row r="213">
      <c r="A213" s="115" t="s">
        <v>179</v>
      </c>
      <c r="B213" s="3"/>
      <c r="C213" s="3"/>
      <c r="D213" s="3"/>
      <c r="E213" s="3"/>
      <c r="F213" s="3"/>
      <c r="G213" s="3"/>
      <c r="H213" s="4"/>
    </row>
    <row r="214">
      <c r="A214" s="116" t="s">
        <v>124</v>
      </c>
      <c r="B214" s="117" t="s">
        <v>125</v>
      </c>
      <c r="C214" s="117" t="s">
        <v>126</v>
      </c>
      <c r="D214" s="117" t="s">
        <v>127</v>
      </c>
      <c r="E214" s="116" t="s">
        <v>128</v>
      </c>
      <c r="F214" s="116"/>
      <c r="G214" s="116"/>
      <c r="H214" s="116" t="s">
        <v>130</v>
      </c>
    </row>
    <row r="215">
      <c r="A215" s="118" t="s">
        <v>131</v>
      </c>
      <c r="B215" s="119">
        <v>8.0</v>
      </c>
      <c r="C215" s="118">
        <v>2000.0</v>
      </c>
      <c r="D215" s="120">
        <f t="shared" ref="D215:D224" si="27">B215/C215</f>
        <v>0.004</v>
      </c>
      <c r="E215" s="118">
        <v>590.0</v>
      </c>
      <c r="F215" s="118"/>
      <c r="G215" s="121" t="s">
        <v>132</v>
      </c>
      <c r="H215" s="119">
        <f t="shared" ref="H215:H224" si="28">D215*E215</f>
        <v>2.36</v>
      </c>
    </row>
    <row r="216">
      <c r="A216" s="118" t="s">
        <v>162</v>
      </c>
      <c r="B216" s="119">
        <v>8.0</v>
      </c>
      <c r="C216" s="118">
        <v>2000.0</v>
      </c>
      <c r="D216" s="120">
        <f t="shared" si="27"/>
        <v>0.004</v>
      </c>
      <c r="E216" s="118">
        <v>250.0</v>
      </c>
      <c r="F216" s="118"/>
      <c r="G216" s="121" t="s">
        <v>132</v>
      </c>
      <c r="H216" s="119">
        <f t="shared" si="28"/>
        <v>1</v>
      </c>
    </row>
    <row r="217">
      <c r="A217" s="118" t="s">
        <v>133</v>
      </c>
      <c r="B217" s="119">
        <v>3.0</v>
      </c>
      <c r="C217" s="118">
        <v>1.0</v>
      </c>
      <c r="D217" s="120">
        <f t="shared" si="27"/>
        <v>3</v>
      </c>
      <c r="E217" s="118">
        <v>1.0</v>
      </c>
      <c r="F217" s="118"/>
      <c r="G217" s="121" t="s">
        <v>134</v>
      </c>
      <c r="H217" s="119">
        <f t="shared" si="28"/>
        <v>3</v>
      </c>
    </row>
    <row r="218">
      <c r="A218" s="122" t="s">
        <v>135</v>
      </c>
      <c r="B218" s="123">
        <v>35.0</v>
      </c>
      <c r="C218" s="122">
        <v>1000.0</v>
      </c>
      <c r="D218" s="120">
        <f t="shared" si="27"/>
        <v>0.035</v>
      </c>
      <c r="E218" s="122">
        <v>20.0</v>
      </c>
      <c r="F218" s="122"/>
      <c r="G218" s="124" t="s">
        <v>136</v>
      </c>
      <c r="H218" s="119">
        <f t="shared" si="28"/>
        <v>0.7</v>
      </c>
      <c r="J218" s="55"/>
      <c r="K218" s="55"/>
      <c r="L218" s="55"/>
      <c r="M218" s="56"/>
      <c r="N218" s="56"/>
    </row>
    <row r="219">
      <c r="A219" s="122" t="s">
        <v>137</v>
      </c>
      <c r="B219" s="123">
        <v>120.0</v>
      </c>
      <c r="C219" s="122">
        <v>1000.0</v>
      </c>
      <c r="D219" s="125">
        <f t="shared" si="27"/>
        <v>0.12</v>
      </c>
      <c r="E219" s="122">
        <v>20.0</v>
      </c>
      <c r="F219" s="122"/>
      <c r="G219" s="124" t="s">
        <v>129</v>
      </c>
      <c r="H219" s="123">
        <f t="shared" si="28"/>
        <v>2.4</v>
      </c>
      <c r="J219" s="58" t="s">
        <v>138</v>
      </c>
      <c r="K219" s="58" t="s">
        <v>139</v>
      </c>
      <c r="L219" s="58" t="s">
        <v>140</v>
      </c>
      <c r="M219" s="59" t="s">
        <v>141</v>
      </c>
      <c r="N219" s="59" t="s">
        <v>142</v>
      </c>
    </row>
    <row r="220">
      <c r="A220" s="118" t="s">
        <v>143</v>
      </c>
      <c r="B220" s="119">
        <v>4.5</v>
      </c>
      <c r="C220" s="118">
        <v>1.0</v>
      </c>
      <c r="D220" s="120">
        <f t="shared" si="27"/>
        <v>4.5</v>
      </c>
      <c r="E220" s="118">
        <v>1.0</v>
      </c>
      <c r="F220" s="118"/>
      <c r="G220" s="121" t="s">
        <v>134</v>
      </c>
      <c r="H220" s="119">
        <f t="shared" si="28"/>
        <v>4.5</v>
      </c>
      <c r="J220" s="60">
        <f>H225</f>
        <v>50.1</v>
      </c>
      <c r="K220" s="61">
        <v>20.0</v>
      </c>
      <c r="L220" s="49">
        <v>6.0</v>
      </c>
      <c r="M220" s="62">
        <f>K220*L220</f>
        <v>120</v>
      </c>
      <c r="N220" s="63">
        <f>M220-J220</f>
        <v>69.9</v>
      </c>
    </row>
    <row r="221">
      <c r="A221" s="118" t="s">
        <v>144</v>
      </c>
      <c r="B221" s="119">
        <v>35.0</v>
      </c>
      <c r="C221" s="118">
        <v>1000.0</v>
      </c>
      <c r="D221" s="120">
        <f t="shared" si="27"/>
        <v>0.035</v>
      </c>
      <c r="E221" s="118">
        <v>200.0</v>
      </c>
      <c r="F221" s="118"/>
      <c r="G221" s="121" t="s">
        <v>132</v>
      </c>
      <c r="H221" s="119">
        <f t="shared" si="28"/>
        <v>7</v>
      </c>
    </row>
    <row r="222">
      <c r="A222" s="118" t="s">
        <v>145</v>
      </c>
      <c r="B222" s="119">
        <v>5.0</v>
      </c>
      <c r="C222" s="118">
        <v>1.0</v>
      </c>
      <c r="D222" s="120">
        <f t="shared" si="27"/>
        <v>5</v>
      </c>
      <c r="E222" s="118">
        <v>1.5</v>
      </c>
      <c r="F222" s="118"/>
      <c r="G222" s="121" t="s">
        <v>160</v>
      </c>
      <c r="H222" s="119">
        <f t="shared" si="28"/>
        <v>7.5</v>
      </c>
    </row>
    <row r="223">
      <c r="A223" s="118" t="s">
        <v>147</v>
      </c>
      <c r="B223" s="119">
        <v>32.0</v>
      </c>
      <c r="C223" s="118">
        <v>1000.0</v>
      </c>
      <c r="D223" s="120">
        <f t="shared" si="27"/>
        <v>0.032</v>
      </c>
      <c r="E223" s="118">
        <v>20.0</v>
      </c>
      <c r="F223" s="118"/>
      <c r="G223" s="121" t="s">
        <v>132</v>
      </c>
      <c r="H223" s="119">
        <f t="shared" si="28"/>
        <v>0.64</v>
      </c>
    </row>
    <row r="224">
      <c r="A224" s="118" t="s">
        <v>161</v>
      </c>
      <c r="B224" s="119">
        <v>15.0</v>
      </c>
      <c r="C224" s="118">
        <v>250.0</v>
      </c>
      <c r="D224" s="120">
        <f t="shared" si="27"/>
        <v>0.06</v>
      </c>
      <c r="E224" s="118">
        <v>350.0</v>
      </c>
      <c r="F224" s="118"/>
      <c r="G224" s="121" t="s">
        <v>132</v>
      </c>
      <c r="H224" s="119">
        <f t="shared" si="28"/>
        <v>21</v>
      </c>
    </row>
    <row r="225">
      <c r="A225" s="126"/>
      <c r="B225" s="127"/>
      <c r="C225" s="127"/>
      <c r="D225" s="127"/>
      <c r="E225" s="127" t="s">
        <v>150</v>
      </c>
      <c r="F225" s="127"/>
      <c r="G225" s="127"/>
      <c r="H225" s="128">
        <f>SUM(H215:H224)</f>
        <v>50.1</v>
      </c>
    </row>
    <row r="226">
      <c r="A226" s="129"/>
      <c r="B226" s="130"/>
      <c r="C226" s="130"/>
      <c r="D226" s="130"/>
      <c r="E226" s="130"/>
      <c r="F226" s="130"/>
      <c r="G226" s="130"/>
      <c r="H226" s="131"/>
    </row>
    <row r="227">
      <c r="A227" s="45" t="s">
        <v>180</v>
      </c>
      <c r="B227" s="3"/>
      <c r="C227" s="3"/>
      <c r="D227" s="3"/>
      <c r="E227" s="3"/>
      <c r="F227" s="3"/>
      <c r="G227" s="3"/>
      <c r="H227" s="4"/>
    </row>
    <row r="228">
      <c r="A228" s="46" t="s">
        <v>124</v>
      </c>
      <c r="B228" s="46" t="s">
        <v>125</v>
      </c>
      <c r="C228" s="46" t="s">
        <v>126</v>
      </c>
      <c r="D228" s="46" t="s">
        <v>127</v>
      </c>
      <c r="E228" s="47" t="s">
        <v>128</v>
      </c>
      <c r="F228" s="47"/>
      <c r="G228" s="47" t="s">
        <v>129</v>
      </c>
      <c r="H228" s="47" t="s">
        <v>130</v>
      </c>
    </row>
    <row r="229">
      <c r="A229" s="48" t="s">
        <v>131</v>
      </c>
      <c r="B229" s="49">
        <v>8.0</v>
      </c>
      <c r="C229" s="48">
        <v>2000.0</v>
      </c>
      <c r="D229" s="50">
        <f t="shared" ref="D229:D236" si="29">B229/C229</f>
        <v>0.004</v>
      </c>
      <c r="E229" s="48">
        <v>400.0</v>
      </c>
      <c r="F229" s="48"/>
      <c r="G229" s="51" t="s">
        <v>132</v>
      </c>
      <c r="H229" s="49">
        <f t="shared" ref="H229:H236" si="30">D229*E229</f>
        <v>1.6</v>
      </c>
    </row>
    <row r="230">
      <c r="A230" s="48" t="s">
        <v>133</v>
      </c>
      <c r="B230" s="49">
        <v>3.0</v>
      </c>
      <c r="C230" s="48">
        <v>1.0</v>
      </c>
      <c r="D230" s="50">
        <f t="shared" si="29"/>
        <v>3</v>
      </c>
      <c r="E230" s="48">
        <v>1.0</v>
      </c>
      <c r="F230" s="48"/>
      <c r="G230" s="51" t="s">
        <v>134</v>
      </c>
      <c r="H230" s="49">
        <f t="shared" si="30"/>
        <v>3</v>
      </c>
    </row>
    <row r="231">
      <c r="A231" s="52" t="s">
        <v>135</v>
      </c>
      <c r="B231" s="53">
        <v>35.0</v>
      </c>
      <c r="C231" s="52">
        <v>1000.0</v>
      </c>
      <c r="D231" s="50">
        <f t="shared" si="29"/>
        <v>0.035</v>
      </c>
      <c r="E231" s="52">
        <v>20.0</v>
      </c>
      <c r="F231" s="52"/>
      <c r="G231" s="54" t="s">
        <v>136</v>
      </c>
      <c r="H231" s="49">
        <f t="shared" si="30"/>
        <v>0.7</v>
      </c>
      <c r="J231" s="55"/>
      <c r="K231" s="55"/>
      <c r="L231" s="55"/>
      <c r="M231" s="56"/>
      <c r="N231" s="56"/>
    </row>
    <row r="232">
      <c r="A232" s="52" t="s">
        <v>137</v>
      </c>
      <c r="B232" s="53">
        <v>120.0</v>
      </c>
      <c r="C232" s="52">
        <v>1000.0</v>
      </c>
      <c r="D232" s="57">
        <f t="shared" si="29"/>
        <v>0.12</v>
      </c>
      <c r="E232" s="52">
        <v>20.0</v>
      </c>
      <c r="F232" s="52"/>
      <c r="G232" s="54" t="s">
        <v>129</v>
      </c>
      <c r="H232" s="53">
        <f t="shared" si="30"/>
        <v>2.4</v>
      </c>
      <c r="J232" s="58" t="s">
        <v>138</v>
      </c>
      <c r="K232" s="58" t="s">
        <v>139</v>
      </c>
      <c r="L232" s="58" t="s">
        <v>140</v>
      </c>
      <c r="M232" s="59" t="s">
        <v>141</v>
      </c>
      <c r="N232" s="59" t="s">
        <v>142</v>
      </c>
    </row>
    <row r="233">
      <c r="A233" s="48" t="s">
        <v>143</v>
      </c>
      <c r="B233" s="49">
        <v>4.5</v>
      </c>
      <c r="C233" s="48">
        <v>1.0</v>
      </c>
      <c r="D233" s="50">
        <f t="shared" si="29"/>
        <v>4.5</v>
      </c>
      <c r="E233" s="48">
        <v>0.0</v>
      </c>
      <c r="F233" s="48"/>
      <c r="G233" s="51" t="s">
        <v>134</v>
      </c>
      <c r="H233" s="49">
        <f t="shared" si="30"/>
        <v>0</v>
      </c>
      <c r="J233" s="60">
        <f>H237</f>
        <v>29.84</v>
      </c>
      <c r="K233" s="61">
        <v>20.0</v>
      </c>
      <c r="L233" s="49">
        <v>6.0</v>
      </c>
      <c r="M233" s="62">
        <f>K233*L233</f>
        <v>120</v>
      </c>
      <c r="N233" s="63">
        <f>M233-J233</f>
        <v>90.16</v>
      </c>
    </row>
    <row r="234">
      <c r="A234" s="48" t="s">
        <v>145</v>
      </c>
      <c r="B234" s="49">
        <v>5.0</v>
      </c>
      <c r="C234" s="48">
        <v>1.0</v>
      </c>
      <c r="D234" s="50">
        <f t="shared" si="29"/>
        <v>5</v>
      </c>
      <c r="E234" s="48">
        <v>1.5</v>
      </c>
      <c r="F234" s="48"/>
      <c r="G234" s="51" t="s">
        <v>146</v>
      </c>
      <c r="H234" s="49">
        <f t="shared" si="30"/>
        <v>7.5</v>
      </c>
    </row>
    <row r="235">
      <c r="A235" s="36" t="s">
        <v>147</v>
      </c>
      <c r="B235" s="49">
        <v>32.0</v>
      </c>
      <c r="C235" s="48">
        <v>1000.0</v>
      </c>
      <c r="D235" s="50">
        <f t="shared" si="29"/>
        <v>0.032</v>
      </c>
      <c r="E235" s="64">
        <v>20.0</v>
      </c>
      <c r="F235" s="64"/>
      <c r="G235" s="51" t="s">
        <v>132</v>
      </c>
      <c r="H235" s="49">
        <f t="shared" si="30"/>
        <v>0.64</v>
      </c>
    </row>
    <row r="236">
      <c r="A236" s="48" t="s">
        <v>148</v>
      </c>
      <c r="B236" s="49">
        <v>20.0</v>
      </c>
      <c r="C236" s="48">
        <v>1000.0</v>
      </c>
      <c r="D236" s="50">
        <f t="shared" si="29"/>
        <v>0.02</v>
      </c>
      <c r="E236" s="48">
        <v>700.0</v>
      </c>
      <c r="F236" s="48"/>
      <c r="G236" s="51" t="s">
        <v>132</v>
      </c>
      <c r="H236" s="49">
        <f t="shared" si="30"/>
        <v>14</v>
      </c>
    </row>
    <row r="237">
      <c r="B237" s="65"/>
      <c r="C237" s="65"/>
      <c r="D237" s="65"/>
      <c r="E237" s="65" t="s">
        <v>150</v>
      </c>
      <c r="F237" s="65"/>
      <c r="G237" s="65"/>
      <c r="H237" s="66">
        <f>SUM(H229:H236)</f>
        <v>29.84</v>
      </c>
    </row>
    <row r="240">
      <c r="A240" s="67" t="s">
        <v>123</v>
      </c>
      <c r="B240" s="40"/>
      <c r="C240" s="40"/>
      <c r="D240" s="40"/>
      <c r="E240" s="40"/>
      <c r="F240" s="40"/>
      <c r="G240" s="40"/>
      <c r="H240" s="41"/>
    </row>
    <row r="241">
      <c r="A241" s="42"/>
      <c r="B241" s="43"/>
      <c r="C241" s="43"/>
      <c r="D241" s="43"/>
      <c r="E241" s="43"/>
      <c r="F241" s="43"/>
      <c r="G241" s="43"/>
      <c r="H241" s="44"/>
    </row>
    <row r="242">
      <c r="A242" s="45" t="s">
        <v>27</v>
      </c>
      <c r="B242" s="3"/>
      <c r="C242" s="3"/>
      <c r="D242" s="3"/>
      <c r="E242" s="3"/>
      <c r="F242" s="3"/>
      <c r="G242" s="3"/>
      <c r="H242" s="4"/>
    </row>
    <row r="243">
      <c r="A243" s="46" t="s">
        <v>124</v>
      </c>
      <c r="B243" s="46" t="s">
        <v>125</v>
      </c>
      <c r="C243" s="46" t="s">
        <v>126</v>
      </c>
      <c r="D243" s="46" t="s">
        <v>127</v>
      </c>
      <c r="E243" s="47" t="s">
        <v>128</v>
      </c>
      <c r="F243" s="47"/>
      <c r="G243" s="47" t="s">
        <v>129</v>
      </c>
      <c r="H243" s="47" t="s">
        <v>130</v>
      </c>
    </row>
    <row r="244">
      <c r="A244" s="48" t="s">
        <v>131</v>
      </c>
      <c r="B244" s="49">
        <v>8.0</v>
      </c>
      <c r="C244" s="48">
        <v>2000.0</v>
      </c>
      <c r="D244" s="50">
        <f t="shared" ref="D244:D252" si="31">B244/C244</f>
        <v>0.004</v>
      </c>
      <c r="E244" s="48">
        <v>400.0</v>
      </c>
      <c r="F244" s="48"/>
      <c r="G244" s="51" t="s">
        <v>132</v>
      </c>
      <c r="H244" s="49">
        <f t="shared" ref="H244:H252" si="32">D244*E244</f>
        <v>1.6</v>
      </c>
    </row>
    <row r="245">
      <c r="A245" s="48" t="s">
        <v>133</v>
      </c>
      <c r="B245" s="49">
        <v>3.0</v>
      </c>
      <c r="C245" s="48">
        <v>1.0</v>
      </c>
      <c r="D245" s="50">
        <f t="shared" si="31"/>
        <v>3</v>
      </c>
      <c r="E245" s="48">
        <v>1.0</v>
      </c>
      <c r="F245" s="48"/>
      <c r="G245" s="51" t="s">
        <v>134</v>
      </c>
      <c r="H245" s="49">
        <f t="shared" si="32"/>
        <v>3</v>
      </c>
    </row>
    <row r="246">
      <c r="A246" s="52" t="s">
        <v>135</v>
      </c>
      <c r="B246" s="53">
        <v>35.0</v>
      </c>
      <c r="C246" s="52">
        <v>1000.0</v>
      </c>
      <c r="D246" s="50">
        <f t="shared" si="31"/>
        <v>0.035</v>
      </c>
      <c r="E246" s="52">
        <v>20.0</v>
      </c>
      <c r="F246" s="52"/>
      <c r="G246" s="54" t="s">
        <v>136</v>
      </c>
      <c r="H246" s="49">
        <f t="shared" si="32"/>
        <v>0.7</v>
      </c>
      <c r="J246" s="55"/>
      <c r="K246" s="55"/>
      <c r="L246" s="55"/>
      <c r="M246" s="56"/>
      <c r="N246" s="56"/>
    </row>
    <row r="247">
      <c r="A247" s="52" t="s">
        <v>137</v>
      </c>
      <c r="B247" s="53">
        <v>120.0</v>
      </c>
      <c r="C247" s="52">
        <v>1000.0</v>
      </c>
      <c r="D247" s="57">
        <f t="shared" si="31"/>
        <v>0.12</v>
      </c>
      <c r="E247" s="52">
        <v>20.0</v>
      </c>
      <c r="F247" s="52"/>
      <c r="G247" s="54" t="s">
        <v>129</v>
      </c>
      <c r="H247" s="53">
        <f t="shared" si="32"/>
        <v>2.4</v>
      </c>
      <c r="J247" s="58" t="s">
        <v>138</v>
      </c>
      <c r="K247" s="58" t="s">
        <v>139</v>
      </c>
      <c r="L247" s="58" t="s">
        <v>140</v>
      </c>
      <c r="M247" s="59" t="s">
        <v>141</v>
      </c>
      <c r="N247" s="59" t="s">
        <v>142</v>
      </c>
    </row>
    <row r="248">
      <c r="A248" s="48" t="s">
        <v>143</v>
      </c>
      <c r="B248" s="49">
        <v>4.5</v>
      </c>
      <c r="C248" s="48">
        <v>1.0</v>
      </c>
      <c r="D248" s="50">
        <f t="shared" si="31"/>
        <v>4.5</v>
      </c>
      <c r="E248" s="48">
        <v>1.0</v>
      </c>
      <c r="F248" s="48"/>
      <c r="G248" s="51" t="s">
        <v>134</v>
      </c>
      <c r="H248" s="49">
        <f t="shared" si="32"/>
        <v>4.5</v>
      </c>
      <c r="J248" s="60">
        <f>H253</f>
        <v>34.77333333</v>
      </c>
      <c r="K248" s="61">
        <v>20.0</v>
      </c>
      <c r="L248" s="49">
        <v>6.0</v>
      </c>
      <c r="M248" s="62">
        <f>K248*L248</f>
        <v>120</v>
      </c>
      <c r="N248" s="63">
        <f>M248-J248</f>
        <v>85.22666667</v>
      </c>
    </row>
    <row r="249">
      <c r="A249" s="48" t="s">
        <v>144</v>
      </c>
      <c r="B249" s="49">
        <v>35.0</v>
      </c>
      <c r="C249" s="48">
        <v>1000.0</v>
      </c>
      <c r="D249" s="50">
        <f t="shared" si="31"/>
        <v>0.035</v>
      </c>
      <c r="E249" s="64">
        <v>60.0</v>
      </c>
      <c r="F249" s="64"/>
      <c r="G249" s="51" t="s">
        <v>132</v>
      </c>
      <c r="H249" s="49">
        <f t="shared" si="32"/>
        <v>2.1</v>
      </c>
    </row>
    <row r="250">
      <c r="A250" s="48" t="s">
        <v>145</v>
      </c>
      <c r="B250" s="49">
        <v>5.0</v>
      </c>
      <c r="C250" s="48">
        <v>1.0</v>
      </c>
      <c r="D250" s="50">
        <f t="shared" si="31"/>
        <v>5</v>
      </c>
      <c r="E250" s="48">
        <v>1.5</v>
      </c>
      <c r="F250" s="48"/>
      <c r="G250" s="51" t="s">
        <v>146</v>
      </c>
      <c r="H250" s="49">
        <f t="shared" si="32"/>
        <v>7.5</v>
      </c>
    </row>
    <row r="251">
      <c r="A251" s="36" t="s">
        <v>147</v>
      </c>
      <c r="B251" s="49">
        <v>32.0</v>
      </c>
      <c r="C251" s="48">
        <v>1000.0</v>
      </c>
      <c r="D251" s="50">
        <f t="shared" si="31"/>
        <v>0.032</v>
      </c>
      <c r="E251" s="64">
        <v>20.0</v>
      </c>
      <c r="F251" s="64"/>
      <c r="G251" s="51" t="s">
        <v>132</v>
      </c>
      <c r="H251" s="49">
        <f t="shared" si="32"/>
        <v>0.64</v>
      </c>
    </row>
    <row r="252">
      <c r="A252" s="48" t="s">
        <v>27</v>
      </c>
      <c r="B252" s="49">
        <v>10.0</v>
      </c>
      <c r="C252" s="48">
        <v>30.0</v>
      </c>
      <c r="D252" s="50">
        <f t="shared" si="31"/>
        <v>0.3333333333</v>
      </c>
      <c r="E252" s="105">
        <v>37.0</v>
      </c>
      <c r="F252" s="105"/>
      <c r="G252" s="51" t="s">
        <v>136</v>
      </c>
      <c r="H252" s="49">
        <f t="shared" si="32"/>
        <v>12.33333333</v>
      </c>
    </row>
    <row r="253">
      <c r="B253" s="65"/>
      <c r="C253" s="65"/>
      <c r="E253" s="65" t="s">
        <v>150</v>
      </c>
      <c r="F253" s="65"/>
      <c r="G253" s="65"/>
      <c r="H253" s="66">
        <f>SUM(H244:H252)</f>
        <v>34.77333333</v>
      </c>
    </row>
    <row r="256">
      <c r="A256" s="132"/>
      <c r="B256" s="132"/>
      <c r="C256" s="132"/>
      <c r="D256" s="132"/>
      <c r="E256" s="132"/>
      <c r="F256" s="132"/>
      <c r="G256" s="132"/>
      <c r="H256" s="132"/>
      <c r="I256" s="22"/>
      <c r="J256" s="22"/>
      <c r="K256" s="22"/>
      <c r="L256" s="22"/>
      <c r="M256" s="22"/>
      <c r="N256" s="22"/>
    </row>
    <row r="257">
      <c r="A257" s="67" t="s">
        <v>123</v>
      </c>
      <c r="B257" s="40"/>
      <c r="C257" s="40"/>
      <c r="D257" s="40"/>
      <c r="E257" s="40"/>
      <c r="F257" s="40"/>
      <c r="G257" s="40"/>
      <c r="H257" s="41"/>
    </row>
    <row r="258">
      <c r="A258" s="42"/>
      <c r="B258" s="43"/>
      <c r="C258" s="43"/>
      <c r="D258" s="43"/>
      <c r="E258" s="43"/>
      <c r="F258" s="43"/>
      <c r="G258" s="43"/>
      <c r="H258" s="44"/>
    </row>
    <row r="259">
      <c r="A259" s="45" t="s">
        <v>10</v>
      </c>
      <c r="B259" s="3"/>
      <c r="C259" s="3"/>
      <c r="D259" s="3"/>
      <c r="E259" s="3"/>
      <c r="F259" s="3"/>
      <c r="G259" s="3"/>
      <c r="H259" s="4"/>
    </row>
    <row r="260">
      <c r="A260" s="46" t="s">
        <v>124</v>
      </c>
      <c r="B260" s="46" t="s">
        <v>125</v>
      </c>
      <c r="C260" s="46" t="s">
        <v>126</v>
      </c>
      <c r="D260" s="46" t="s">
        <v>127</v>
      </c>
      <c r="E260" s="47" t="s">
        <v>128</v>
      </c>
      <c r="F260" s="47"/>
      <c r="G260" s="47" t="s">
        <v>129</v>
      </c>
      <c r="H260" s="47" t="s">
        <v>130</v>
      </c>
    </row>
    <row r="261">
      <c r="A261" s="48" t="s">
        <v>131</v>
      </c>
      <c r="B261" s="49">
        <v>8.0</v>
      </c>
      <c r="C261" s="48">
        <v>2000.0</v>
      </c>
      <c r="D261" s="50">
        <f t="shared" ref="D261:D269" si="33">B261/C261</f>
        <v>0.004</v>
      </c>
      <c r="E261" s="48">
        <v>420.0</v>
      </c>
      <c r="F261" s="48"/>
      <c r="G261" s="51" t="s">
        <v>132</v>
      </c>
      <c r="H261" s="49">
        <f t="shared" ref="H261:H269" si="34">D261*E261</f>
        <v>1.68</v>
      </c>
    </row>
    <row r="262">
      <c r="A262" s="48" t="s">
        <v>133</v>
      </c>
      <c r="B262" s="49">
        <v>3.0</v>
      </c>
      <c r="C262" s="48">
        <v>1.0</v>
      </c>
      <c r="D262" s="50">
        <f t="shared" si="33"/>
        <v>3</v>
      </c>
      <c r="E262" s="48">
        <v>1.0</v>
      </c>
      <c r="F262" s="48"/>
      <c r="G262" s="51" t="s">
        <v>134</v>
      </c>
      <c r="H262" s="49">
        <f t="shared" si="34"/>
        <v>3</v>
      </c>
    </row>
    <row r="263">
      <c r="A263" s="52" t="s">
        <v>135</v>
      </c>
      <c r="B263" s="53">
        <v>35.0</v>
      </c>
      <c r="C263" s="52">
        <v>1000.0</v>
      </c>
      <c r="D263" s="50">
        <f t="shared" si="33"/>
        <v>0.035</v>
      </c>
      <c r="E263" s="52">
        <v>20.0</v>
      </c>
      <c r="F263" s="52"/>
      <c r="G263" s="54" t="s">
        <v>136</v>
      </c>
      <c r="H263" s="49">
        <f t="shared" si="34"/>
        <v>0.7</v>
      </c>
      <c r="J263" s="55"/>
      <c r="K263" s="55"/>
      <c r="L263" s="55"/>
      <c r="M263" s="56"/>
      <c r="N263" s="56"/>
    </row>
    <row r="264">
      <c r="A264" s="52" t="s">
        <v>137</v>
      </c>
      <c r="B264" s="53">
        <v>120.0</v>
      </c>
      <c r="C264" s="52">
        <v>1000.0</v>
      </c>
      <c r="D264" s="57">
        <f t="shared" si="33"/>
        <v>0.12</v>
      </c>
      <c r="E264" s="52">
        <v>20.0</v>
      </c>
      <c r="F264" s="52"/>
      <c r="G264" s="54" t="s">
        <v>129</v>
      </c>
      <c r="H264" s="53">
        <f t="shared" si="34"/>
        <v>2.4</v>
      </c>
      <c r="J264" s="58" t="s">
        <v>138</v>
      </c>
      <c r="K264" s="58" t="s">
        <v>139</v>
      </c>
      <c r="L264" s="58" t="s">
        <v>140</v>
      </c>
      <c r="M264" s="59" t="s">
        <v>141</v>
      </c>
      <c r="N264" s="59" t="s">
        <v>142</v>
      </c>
    </row>
    <row r="265">
      <c r="A265" s="48" t="s">
        <v>154</v>
      </c>
      <c r="B265" s="49">
        <v>4.5</v>
      </c>
      <c r="C265" s="48">
        <v>1.0</v>
      </c>
      <c r="D265" s="50">
        <f t="shared" si="33"/>
        <v>4.5</v>
      </c>
      <c r="E265" s="48">
        <v>1.0</v>
      </c>
      <c r="F265" s="48"/>
      <c r="G265" s="51" t="s">
        <v>134</v>
      </c>
      <c r="H265" s="49">
        <f t="shared" si="34"/>
        <v>4.5</v>
      </c>
      <c r="J265" s="60">
        <f>H270</f>
        <v>35.12</v>
      </c>
      <c r="K265" s="61">
        <v>25.0</v>
      </c>
      <c r="L265" s="49">
        <v>6.0</v>
      </c>
      <c r="M265" s="62">
        <f>K265*L265</f>
        <v>150</v>
      </c>
      <c r="N265" s="63">
        <f>M265-J265</f>
        <v>114.88</v>
      </c>
    </row>
    <row r="266">
      <c r="A266" s="48" t="s">
        <v>144</v>
      </c>
      <c r="B266" s="49">
        <v>35.0</v>
      </c>
      <c r="C266" s="48">
        <v>1000.0</v>
      </c>
      <c r="D266" s="50">
        <f t="shared" si="33"/>
        <v>0.035</v>
      </c>
      <c r="E266" s="64">
        <v>60.0</v>
      </c>
      <c r="F266" s="64"/>
      <c r="G266" s="51" t="s">
        <v>132</v>
      </c>
      <c r="H266" s="49">
        <f t="shared" si="34"/>
        <v>2.1</v>
      </c>
    </row>
    <row r="267">
      <c r="A267" s="48" t="s">
        <v>145</v>
      </c>
      <c r="B267" s="49">
        <v>5.0</v>
      </c>
      <c r="C267" s="48">
        <v>1.0</v>
      </c>
      <c r="D267" s="50">
        <f t="shared" si="33"/>
        <v>5</v>
      </c>
      <c r="E267" s="48">
        <v>1.5</v>
      </c>
      <c r="F267" s="48"/>
      <c r="G267" s="51" t="s">
        <v>146</v>
      </c>
      <c r="H267" s="49">
        <f t="shared" si="34"/>
        <v>7.5</v>
      </c>
    </row>
    <row r="268">
      <c r="A268" s="36" t="s">
        <v>147</v>
      </c>
      <c r="B268" s="49">
        <v>32.0</v>
      </c>
      <c r="C268" s="48">
        <v>1000.0</v>
      </c>
      <c r="D268" s="50">
        <f t="shared" si="33"/>
        <v>0.032</v>
      </c>
      <c r="E268" s="64">
        <v>20.0</v>
      </c>
      <c r="F268" s="64"/>
      <c r="G268" s="51" t="s">
        <v>132</v>
      </c>
      <c r="H268" s="49">
        <f t="shared" si="34"/>
        <v>0.64</v>
      </c>
    </row>
    <row r="269">
      <c r="A269" s="48" t="s">
        <v>148</v>
      </c>
      <c r="B269" s="49">
        <v>14.0</v>
      </c>
      <c r="C269" s="48">
        <v>1000.0</v>
      </c>
      <c r="D269" s="50">
        <f t="shared" si="33"/>
        <v>0.014</v>
      </c>
      <c r="E269" s="48">
        <v>900.0</v>
      </c>
      <c r="F269" s="48"/>
      <c r="G269" s="51" t="s">
        <v>132</v>
      </c>
      <c r="H269" s="49">
        <f t="shared" si="34"/>
        <v>12.6</v>
      </c>
    </row>
    <row r="270">
      <c r="B270" s="65"/>
      <c r="C270" s="65"/>
      <c r="E270" s="65" t="s">
        <v>150</v>
      </c>
      <c r="F270" s="65"/>
      <c r="G270" s="65"/>
      <c r="H270" s="66">
        <f>SUM(H261:H269)</f>
        <v>35.12</v>
      </c>
    </row>
    <row r="271">
      <c r="A271" s="133"/>
      <c r="B271" s="133"/>
      <c r="C271" s="133"/>
      <c r="D271" s="133"/>
      <c r="E271" s="133"/>
      <c r="F271" s="133"/>
      <c r="G271" s="133"/>
      <c r="H271" s="133"/>
      <c r="I271" s="22"/>
      <c r="J271" s="22"/>
      <c r="K271" s="22"/>
      <c r="L271" s="22"/>
      <c r="M271" s="22"/>
      <c r="N271" s="22"/>
    </row>
    <row r="272">
      <c r="A272" s="133"/>
      <c r="B272" s="133"/>
      <c r="C272" s="133"/>
      <c r="D272" s="133"/>
      <c r="E272" s="133"/>
      <c r="F272" s="133"/>
      <c r="G272" s="133"/>
      <c r="H272" s="133"/>
      <c r="I272" s="22"/>
      <c r="J272" s="22"/>
      <c r="K272" s="22"/>
      <c r="L272" s="22"/>
      <c r="M272" s="22"/>
      <c r="N272" s="22"/>
    </row>
    <row r="273">
      <c r="A273" s="67" t="s">
        <v>123</v>
      </c>
      <c r="B273" s="40"/>
      <c r="C273" s="40"/>
      <c r="D273" s="40"/>
      <c r="E273" s="40"/>
      <c r="F273" s="40"/>
      <c r="G273" s="40"/>
      <c r="H273" s="41"/>
    </row>
    <row r="274">
      <c r="A274" s="42"/>
      <c r="B274" s="43"/>
      <c r="C274" s="43"/>
      <c r="D274" s="43"/>
      <c r="E274" s="43"/>
      <c r="F274" s="43"/>
      <c r="G274" s="43"/>
      <c r="H274" s="44"/>
    </row>
    <row r="275">
      <c r="A275" s="45" t="s">
        <v>181</v>
      </c>
      <c r="B275" s="3"/>
      <c r="C275" s="3"/>
      <c r="D275" s="3"/>
      <c r="E275" s="3"/>
      <c r="F275" s="3"/>
      <c r="G275" s="3"/>
      <c r="H275" s="4"/>
    </row>
    <row r="276">
      <c r="A276" s="46" t="s">
        <v>124</v>
      </c>
      <c r="B276" s="46" t="s">
        <v>125</v>
      </c>
      <c r="C276" s="46" t="s">
        <v>126</v>
      </c>
      <c r="D276" s="46" t="s">
        <v>127</v>
      </c>
      <c r="E276" s="47" t="s">
        <v>128</v>
      </c>
      <c r="F276" s="47"/>
      <c r="G276" s="47" t="s">
        <v>129</v>
      </c>
      <c r="H276" s="47" t="s">
        <v>130</v>
      </c>
    </row>
    <row r="277">
      <c r="A277" s="48" t="s">
        <v>131</v>
      </c>
      <c r="B277" s="49">
        <v>8.0</v>
      </c>
      <c r="C277" s="48">
        <v>2000.0</v>
      </c>
      <c r="D277" s="50">
        <f t="shared" ref="D277:D282" si="35">B277/C277</f>
        <v>0.004</v>
      </c>
      <c r="E277" s="48">
        <v>200.0</v>
      </c>
      <c r="F277" s="48"/>
      <c r="G277" s="51" t="s">
        <v>132</v>
      </c>
      <c r="H277" s="49">
        <f t="shared" ref="H277:H282" si="36">D277*E277</f>
        <v>0.8</v>
      </c>
    </row>
    <row r="278">
      <c r="A278" s="48" t="s">
        <v>182</v>
      </c>
      <c r="B278" s="134">
        <v>45.0</v>
      </c>
      <c r="C278" s="48">
        <v>1000.0</v>
      </c>
      <c r="D278" s="50">
        <f t="shared" si="35"/>
        <v>0.045</v>
      </c>
      <c r="E278" s="48">
        <v>200.0</v>
      </c>
      <c r="F278" s="48"/>
      <c r="G278" s="51" t="s">
        <v>132</v>
      </c>
      <c r="H278" s="49">
        <f t="shared" si="36"/>
        <v>9</v>
      </c>
    </row>
    <row r="279">
      <c r="A279" s="48" t="s">
        <v>133</v>
      </c>
      <c r="B279" s="134">
        <v>6.0</v>
      </c>
      <c r="C279" s="48">
        <v>1.0</v>
      </c>
      <c r="D279" s="50">
        <f t="shared" si="35"/>
        <v>6</v>
      </c>
      <c r="E279" s="48">
        <v>1.0</v>
      </c>
      <c r="F279" s="48"/>
      <c r="G279" s="51" t="s">
        <v>134</v>
      </c>
      <c r="H279" s="49">
        <f t="shared" si="36"/>
        <v>6</v>
      </c>
    </row>
    <row r="280">
      <c r="A280" s="52" t="s">
        <v>135</v>
      </c>
      <c r="B280" s="53">
        <v>35.0</v>
      </c>
      <c r="C280" s="52">
        <v>1000.0</v>
      </c>
      <c r="D280" s="50">
        <f t="shared" si="35"/>
        <v>0.035</v>
      </c>
      <c r="E280" s="52">
        <v>20.0</v>
      </c>
      <c r="F280" s="52"/>
      <c r="G280" s="54" t="s">
        <v>136</v>
      </c>
      <c r="H280" s="49">
        <f t="shared" si="36"/>
        <v>0.7</v>
      </c>
      <c r="J280" s="55"/>
      <c r="K280" s="55"/>
      <c r="L280" s="55"/>
      <c r="M280" s="56"/>
      <c r="N280" s="56"/>
    </row>
    <row r="281">
      <c r="A281" s="52" t="s">
        <v>137</v>
      </c>
      <c r="B281" s="53">
        <v>125.0</v>
      </c>
      <c r="C281" s="52">
        <v>1000.0</v>
      </c>
      <c r="D281" s="57">
        <f t="shared" si="35"/>
        <v>0.125</v>
      </c>
      <c r="E281" s="52">
        <v>20.0</v>
      </c>
      <c r="F281" s="52"/>
      <c r="G281" s="54" t="s">
        <v>129</v>
      </c>
      <c r="H281" s="53">
        <f t="shared" si="36"/>
        <v>2.5</v>
      </c>
      <c r="J281" s="58" t="s">
        <v>138</v>
      </c>
      <c r="K281" s="58" t="s">
        <v>139</v>
      </c>
      <c r="L281" s="58" t="s">
        <v>140</v>
      </c>
      <c r="M281" s="59" t="s">
        <v>141</v>
      </c>
      <c r="N281" s="59" t="s">
        <v>142</v>
      </c>
    </row>
    <row r="282">
      <c r="A282" s="48" t="s">
        <v>183</v>
      </c>
      <c r="B282" s="134">
        <v>8.59</v>
      </c>
      <c r="C282" s="48">
        <v>1.0</v>
      </c>
      <c r="D282" s="50">
        <f t="shared" si="35"/>
        <v>8.59</v>
      </c>
      <c r="E282" s="48">
        <v>1.0</v>
      </c>
      <c r="F282" s="48"/>
      <c r="G282" s="51" t="s">
        <v>134</v>
      </c>
      <c r="H282" s="49">
        <f t="shared" si="36"/>
        <v>8.59</v>
      </c>
      <c r="J282" s="60">
        <f>H287</f>
        <v>41.32</v>
      </c>
      <c r="K282" s="61">
        <v>18.0</v>
      </c>
      <c r="L282" s="49">
        <v>7.0</v>
      </c>
      <c r="M282" s="62">
        <f>K282*L282</f>
        <v>126</v>
      </c>
      <c r="N282" s="63">
        <f>M282-J282</f>
        <v>84.68</v>
      </c>
    </row>
    <row r="283">
      <c r="A283" s="74" t="s">
        <v>158</v>
      </c>
      <c r="B283" s="75">
        <v>3.0</v>
      </c>
      <c r="C283" s="76">
        <v>1.0</v>
      </c>
      <c r="D283" s="77">
        <v>3.0</v>
      </c>
      <c r="E283" s="76">
        <v>1.0</v>
      </c>
      <c r="F283" s="76"/>
      <c r="G283" s="79" t="s">
        <v>159</v>
      </c>
      <c r="H283" s="75">
        <v>3.0</v>
      </c>
      <c r="L283" s="30"/>
    </row>
    <row r="284">
      <c r="A284" s="48" t="s">
        <v>144</v>
      </c>
      <c r="B284" s="49">
        <v>35.0</v>
      </c>
      <c r="C284" s="48">
        <v>1000.0</v>
      </c>
      <c r="D284" s="50">
        <f t="shared" ref="D284:D286" si="37">B284/C284</f>
        <v>0.035</v>
      </c>
      <c r="E284" s="64">
        <v>60.0</v>
      </c>
      <c r="F284" s="64"/>
      <c r="G284" s="51" t="s">
        <v>132</v>
      </c>
      <c r="H284" s="49">
        <f t="shared" ref="H284:H286" si="38">D284*E284</f>
        <v>2.1</v>
      </c>
    </row>
    <row r="285">
      <c r="A285" s="48" t="s">
        <v>145</v>
      </c>
      <c r="B285" s="134">
        <v>7.99</v>
      </c>
      <c r="C285" s="48">
        <v>1.0</v>
      </c>
      <c r="D285" s="50">
        <f t="shared" si="37"/>
        <v>7.99</v>
      </c>
      <c r="E285" s="48">
        <v>1.0</v>
      </c>
      <c r="F285" s="48"/>
      <c r="G285" s="51" t="s">
        <v>146</v>
      </c>
      <c r="H285" s="49">
        <f t="shared" si="38"/>
        <v>7.99</v>
      </c>
    </row>
    <row r="286">
      <c r="A286" s="36" t="s">
        <v>147</v>
      </c>
      <c r="B286" s="49">
        <v>32.0</v>
      </c>
      <c r="C286" s="48">
        <v>1000.0</v>
      </c>
      <c r="D286" s="50">
        <f t="shared" si="37"/>
        <v>0.032</v>
      </c>
      <c r="E286" s="64">
        <v>20.0</v>
      </c>
      <c r="F286" s="64"/>
      <c r="G286" s="51" t="s">
        <v>132</v>
      </c>
      <c r="H286" s="49">
        <f t="shared" si="38"/>
        <v>0.64</v>
      </c>
    </row>
    <row r="287">
      <c r="B287" s="65"/>
      <c r="C287" s="65"/>
      <c r="E287" s="65" t="s">
        <v>150</v>
      </c>
      <c r="F287" s="65"/>
      <c r="G287" s="65"/>
      <c r="H287" s="66">
        <f>SUM(H277:H286)</f>
        <v>41.32</v>
      </c>
    </row>
    <row r="288">
      <c r="A288" s="133"/>
      <c r="B288" s="133"/>
      <c r="C288" s="133"/>
      <c r="D288" s="133"/>
      <c r="E288" s="133"/>
      <c r="F288" s="133"/>
      <c r="G288" s="133"/>
      <c r="H288" s="133"/>
      <c r="I288" s="22"/>
      <c r="J288" s="22"/>
      <c r="K288" s="22"/>
      <c r="L288" s="22"/>
      <c r="M288" s="22"/>
      <c r="N288" s="22"/>
    </row>
    <row r="289">
      <c r="A289" s="133"/>
      <c r="B289" s="133"/>
      <c r="C289" s="133"/>
      <c r="D289" s="133"/>
      <c r="E289" s="133"/>
      <c r="F289" s="133"/>
      <c r="G289" s="133"/>
      <c r="H289" s="133"/>
      <c r="I289" s="22"/>
      <c r="J289" s="22"/>
      <c r="K289" s="22"/>
      <c r="L289" s="22"/>
      <c r="M289" s="22"/>
      <c r="N289" s="22"/>
    </row>
    <row r="290">
      <c r="A290" s="67" t="s">
        <v>123</v>
      </c>
      <c r="B290" s="40"/>
      <c r="C290" s="40"/>
      <c r="D290" s="40"/>
      <c r="E290" s="40"/>
      <c r="F290" s="40"/>
      <c r="G290" s="40"/>
      <c r="H290" s="41"/>
    </row>
    <row r="291">
      <c r="A291" s="42"/>
      <c r="B291" s="43"/>
      <c r="C291" s="43"/>
      <c r="D291" s="43"/>
      <c r="E291" s="43"/>
      <c r="F291" s="43"/>
      <c r="G291" s="43"/>
      <c r="H291" s="44"/>
    </row>
    <row r="292">
      <c r="A292" s="45" t="s">
        <v>184</v>
      </c>
      <c r="B292" s="3"/>
      <c r="C292" s="3"/>
      <c r="D292" s="3"/>
      <c r="E292" s="3"/>
      <c r="F292" s="3"/>
      <c r="G292" s="3"/>
      <c r="H292" s="4"/>
    </row>
    <row r="293">
      <c r="A293" s="46" t="s">
        <v>124</v>
      </c>
      <c r="B293" s="46" t="s">
        <v>125</v>
      </c>
      <c r="C293" s="46" t="s">
        <v>126</v>
      </c>
      <c r="D293" s="46" t="s">
        <v>127</v>
      </c>
      <c r="E293" s="47" t="s">
        <v>128</v>
      </c>
      <c r="F293" s="47"/>
      <c r="G293" s="47" t="s">
        <v>129</v>
      </c>
      <c r="H293" s="47" t="s">
        <v>130</v>
      </c>
    </row>
    <row r="294">
      <c r="A294" s="48" t="s">
        <v>131</v>
      </c>
      <c r="B294" s="49">
        <v>8.0</v>
      </c>
      <c r="C294" s="48">
        <v>2000.0</v>
      </c>
      <c r="D294" s="50">
        <f t="shared" ref="D294:D302" si="39">B294/C294</f>
        <v>0.004</v>
      </c>
      <c r="E294" s="48">
        <v>300.0</v>
      </c>
      <c r="F294" s="48"/>
      <c r="G294" s="51" t="s">
        <v>132</v>
      </c>
      <c r="H294" s="49">
        <f t="shared" ref="H294:H302" si="40">D294*E294</f>
        <v>1.2</v>
      </c>
    </row>
    <row r="295">
      <c r="A295" s="48" t="s">
        <v>133</v>
      </c>
      <c r="B295" s="134">
        <v>3.5</v>
      </c>
      <c r="C295" s="48">
        <v>1.0</v>
      </c>
      <c r="D295" s="50">
        <f t="shared" si="39"/>
        <v>3.5</v>
      </c>
      <c r="E295" s="48">
        <v>1.0</v>
      </c>
      <c r="F295" s="48"/>
      <c r="G295" s="51" t="s">
        <v>134</v>
      </c>
      <c r="H295" s="49">
        <f t="shared" si="40"/>
        <v>3.5</v>
      </c>
    </row>
    <row r="296">
      <c r="A296" s="52" t="s">
        <v>135</v>
      </c>
      <c r="B296" s="53">
        <v>35.0</v>
      </c>
      <c r="C296" s="52">
        <v>1000.0</v>
      </c>
      <c r="D296" s="50">
        <f t="shared" si="39"/>
        <v>0.035</v>
      </c>
      <c r="E296" s="52">
        <v>20.0</v>
      </c>
      <c r="F296" s="52"/>
      <c r="G296" s="54" t="s">
        <v>136</v>
      </c>
      <c r="H296" s="49">
        <f t="shared" si="40"/>
        <v>0.7</v>
      </c>
      <c r="J296" s="55"/>
      <c r="K296" s="55"/>
      <c r="L296" s="55"/>
      <c r="M296" s="56"/>
      <c r="N296" s="56"/>
    </row>
    <row r="297">
      <c r="A297" s="52" t="s">
        <v>137</v>
      </c>
      <c r="B297" s="53">
        <v>125.0</v>
      </c>
      <c r="C297" s="52">
        <v>1000.0</v>
      </c>
      <c r="D297" s="57">
        <f t="shared" si="39"/>
        <v>0.125</v>
      </c>
      <c r="E297" s="52">
        <v>20.0</v>
      </c>
      <c r="F297" s="52"/>
      <c r="G297" s="54" t="s">
        <v>129</v>
      </c>
      <c r="H297" s="53">
        <f t="shared" si="40"/>
        <v>2.5</v>
      </c>
      <c r="J297" s="58" t="s">
        <v>138</v>
      </c>
      <c r="K297" s="58" t="s">
        <v>139</v>
      </c>
      <c r="L297" s="58" t="s">
        <v>140</v>
      </c>
      <c r="M297" s="59" t="s">
        <v>141</v>
      </c>
      <c r="N297" s="59" t="s">
        <v>142</v>
      </c>
    </row>
    <row r="298">
      <c r="A298" s="48" t="s">
        <v>183</v>
      </c>
      <c r="B298" s="49">
        <v>4.5</v>
      </c>
      <c r="C298" s="48">
        <v>1.0</v>
      </c>
      <c r="D298" s="50">
        <f t="shared" si="39"/>
        <v>4.5</v>
      </c>
      <c r="E298" s="48">
        <v>1.0</v>
      </c>
      <c r="F298" s="48"/>
      <c r="G298" s="51" t="s">
        <v>134</v>
      </c>
      <c r="H298" s="49">
        <f t="shared" si="40"/>
        <v>4.5</v>
      </c>
      <c r="J298" s="60">
        <f>H303</f>
        <v>23.827</v>
      </c>
      <c r="K298" s="61">
        <v>18.0</v>
      </c>
      <c r="L298" s="49">
        <v>6.0</v>
      </c>
      <c r="M298" s="62">
        <f>K298*L298</f>
        <v>108</v>
      </c>
      <c r="N298" s="63">
        <f>M298-J298</f>
        <v>84.173</v>
      </c>
    </row>
    <row r="299">
      <c r="A299" s="48" t="s">
        <v>144</v>
      </c>
      <c r="B299" s="49">
        <v>35.0</v>
      </c>
      <c r="C299" s="48">
        <v>1000.0</v>
      </c>
      <c r="D299" s="50">
        <f t="shared" si="39"/>
        <v>0.035</v>
      </c>
      <c r="E299" s="64">
        <v>45.0</v>
      </c>
      <c r="F299" s="64"/>
      <c r="G299" s="51" t="s">
        <v>132</v>
      </c>
      <c r="H299" s="49">
        <f t="shared" si="40"/>
        <v>1.575</v>
      </c>
    </row>
    <row r="300">
      <c r="A300" s="48" t="s">
        <v>145</v>
      </c>
      <c r="B300" s="49">
        <v>5.0</v>
      </c>
      <c r="C300" s="48">
        <v>1.0</v>
      </c>
      <c r="D300" s="50">
        <f t="shared" si="39"/>
        <v>5</v>
      </c>
      <c r="E300" s="48">
        <v>1.0</v>
      </c>
      <c r="F300" s="48"/>
      <c r="G300" s="51" t="s">
        <v>146</v>
      </c>
      <c r="H300" s="49">
        <f t="shared" si="40"/>
        <v>5</v>
      </c>
    </row>
    <row r="301">
      <c r="A301" s="36" t="s">
        <v>147</v>
      </c>
      <c r="B301" s="49">
        <v>32.0</v>
      </c>
      <c r="C301" s="48">
        <v>1000.0</v>
      </c>
      <c r="D301" s="50">
        <f t="shared" si="39"/>
        <v>0.032</v>
      </c>
      <c r="E301" s="64">
        <v>11.0</v>
      </c>
      <c r="F301" s="64"/>
      <c r="G301" s="51" t="s">
        <v>132</v>
      </c>
      <c r="H301" s="49">
        <f t="shared" si="40"/>
        <v>0.352</v>
      </c>
    </row>
    <row r="302">
      <c r="A302" s="48" t="s">
        <v>163</v>
      </c>
      <c r="B302" s="49">
        <v>1.5</v>
      </c>
      <c r="C302" s="48">
        <v>1.0</v>
      </c>
      <c r="D302" s="50">
        <f t="shared" si="39"/>
        <v>1.5</v>
      </c>
      <c r="E302" s="48">
        <v>3.0</v>
      </c>
      <c r="F302" s="48"/>
      <c r="G302" s="51" t="s">
        <v>185</v>
      </c>
      <c r="H302" s="49">
        <f t="shared" si="40"/>
        <v>4.5</v>
      </c>
    </row>
    <row r="303">
      <c r="B303" s="65"/>
      <c r="C303" s="65"/>
      <c r="E303" s="65" t="s">
        <v>150</v>
      </c>
      <c r="F303" s="65"/>
      <c r="G303" s="65"/>
      <c r="H303" s="66">
        <f>SUM(H294:H302)</f>
        <v>23.827</v>
      </c>
    </row>
    <row r="304">
      <c r="A304" s="133"/>
      <c r="B304" s="133"/>
      <c r="C304" s="133"/>
      <c r="D304" s="133"/>
      <c r="E304" s="133"/>
      <c r="F304" s="133"/>
      <c r="G304" s="133"/>
      <c r="H304" s="133"/>
      <c r="I304" s="22"/>
      <c r="J304" s="22"/>
      <c r="K304" s="22"/>
      <c r="L304" s="22"/>
      <c r="M304" s="22"/>
      <c r="N304" s="22"/>
    </row>
    <row r="305">
      <c r="A305" s="133"/>
      <c r="B305" s="133"/>
      <c r="C305" s="133"/>
      <c r="D305" s="133"/>
      <c r="E305" s="133"/>
      <c r="F305" s="133"/>
      <c r="G305" s="133"/>
      <c r="H305" s="133"/>
      <c r="I305" s="22"/>
      <c r="J305" s="22"/>
      <c r="K305" s="22"/>
      <c r="L305" s="22"/>
      <c r="M305" s="22"/>
      <c r="N305" s="22"/>
    </row>
    <row r="306">
      <c r="A306" s="67" t="s">
        <v>123</v>
      </c>
      <c r="B306" s="40"/>
      <c r="C306" s="40"/>
      <c r="D306" s="40"/>
      <c r="E306" s="40"/>
      <c r="F306" s="40"/>
      <c r="G306" s="40"/>
      <c r="H306" s="41"/>
    </row>
    <row r="307">
      <c r="A307" s="42"/>
      <c r="B307" s="43"/>
      <c r="C307" s="43"/>
      <c r="D307" s="43"/>
      <c r="E307" s="43"/>
      <c r="F307" s="43"/>
      <c r="G307" s="43"/>
      <c r="H307" s="44"/>
    </row>
    <row r="308">
      <c r="A308" s="45" t="s">
        <v>11</v>
      </c>
      <c r="B308" s="3"/>
      <c r="C308" s="3"/>
      <c r="D308" s="3"/>
      <c r="E308" s="3"/>
      <c r="F308" s="3"/>
      <c r="G308" s="3"/>
      <c r="H308" s="4"/>
    </row>
    <row r="309">
      <c r="A309" s="46" t="s">
        <v>124</v>
      </c>
      <c r="B309" s="46" t="s">
        <v>125</v>
      </c>
      <c r="C309" s="46" t="s">
        <v>126</v>
      </c>
      <c r="D309" s="46" t="s">
        <v>127</v>
      </c>
      <c r="E309" s="47" t="s">
        <v>128</v>
      </c>
      <c r="F309" s="47"/>
      <c r="G309" s="47" t="s">
        <v>129</v>
      </c>
      <c r="H309" s="47" t="s">
        <v>130</v>
      </c>
    </row>
    <row r="310">
      <c r="A310" s="48" t="s">
        <v>131</v>
      </c>
      <c r="B310" s="49">
        <v>8.0</v>
      </c>
      <c r="C310" s="48">
        <v>2000.0</v>
      </c>
      <c r="D310" s="50">
        <f t="shared" ref="D310:D320" si="41">B310/C310</f>
        <v>0.004</v>
      </c>
      <c r="E310" s="48">
        <v>200.0</v>
      </c>
      <c r="F310" s="48"/>
      <c r="G310" s="51" t="s">
        <v>132</v>
      </c>
      <c r="H310" s="49">
        <f t="shared" ref="H310:H320" si="42">D310*E310</f>
        <v>0.8</v>
      </c>
    </row>
    <row r="311">
      <c r="A311" s="48" t="s">
        <v>186</v>
      </c>
      <c r="B311" s="134">
        <v>8.0</v>
      </c>
      <c r="C311" s="48">
        <v>2000.0</v>
      </c>
      <c r="D311" s="50">
        <f t="shared" si="41"/>
        <v>0.004</v>
      </c>
      <c r="E311" s="48">
        <v>200.0</v>
      </c>
      <c r="F311" s="48"/>
      <c r="G311" s="51" t="s">
        <v>132</v>
      </c>
      <c r="H311" s="49">
        <f t="shared" si="42"/>
        <v>0.8</v>
      </c>
    </row>
    <row r="312">
      <c r="A312" s="48" t="s">
        <v>11</v>
      </c>
      <c r="B312" s="134">
        <v>12.0</v>
      </c>
      <c r="C312" s="48">
        <v>1.0</v>
      </c>
      <c r="D312" s="50">
        <f t="shared" si="41"/>
        <v>12</v>
      </c>
      <c r="E312" s="48">
        <v>1.0</v>
      </c>
      <c r="F312" s="48"/>
      <c r="G312" s="51" t="s">
        <v>136</v>
      </c>
      <c r="H312" s="49">
        <f t="shared" si="42"/>
        <v>12</v>
      </c>
    </row>
    <row r="313">
      <c r="A313" s="48" t="s">
        <v>133</v>
      </c>
      <c r="B313" s="49">
        <v>3.5</v>
      </c>
      <c r="C313" s="48">
        <v>1.0</v>
      </c>
      <c r="D313" s="50">
        <f t="shared" si="41"/>
        <v>3.5</v>
      </c>
      <c r="E313" s="48">
        <v>1.0</v>
      </c>
      <c r="F313" s="48"/>
      <c r="G313" s="51" t="s">
        <v>134</v>
      </c>
      <c r="H313" s="49">
        <f t="shared" si="42"/>
        <v>3.5</v>
      </c>
    </row>
    <row r="314">
      <c r="A314" s="52" t="s">
        <v>135</v>
      </c>
      <c r="B314" s="53">
        <v>35.0</v>
      </c>
      <c r="C314" s="52">
        <v>1000.0</v>
      </c>
      <c r="D314" s="50">
        <f t="shared" si="41"/>
        <v>0.035</v>
      </c>
      <c r="E314" s="52">
        <v>20.0</v>
      </c>
      <c r="F314" s="52"/>
      <c r="G314" s="54" t="s">
        <v>136</v>
      </c>
      <c r="H314" s="49">
        <f t="shared" si="42"/>
        <v>0.7</v>
      </c>
      <c r="J314" s="55"/>
      <c r="K314" s="55"/>
      <c r="L314" s="55"/>
      <c r="M314" s="56"/>
      <c r="N314" s="56"/>
    </row>
    <row r="315">
      <c r="A315" s="52" t="s">
        <v>137</v>
      </c>
      <c r="B315" s="53">
        <v>125.0</v>
      </c>
      <c r="C315" s="52">
        <v>1000.0</v>
      </c>
      <c r="D315" s="57">
        <f t="shared" si="41"/>
        <v>0.125</v>
      </c>
      <c r="E315" s="52">
        <v>20.0</v>
      </c>
      <c r="F315" s="52"/>
      <c r="G315" s="54" t="s">
        <v>129</v>
      </c>
      <c r="H315" s="53">
        <f t="shared" si="42"/>
        <v>2.5</v>
      </c>
      <c r="J315" s="58" t="s">
        <v>138</v>
      </c>
      <c r="K315" s="58" t="s">
        <v>139</v>
      </c>
      <c r="L315" s="58" t="s">
        <v>140</v>
      </c>
      <c r="M315" s="59" t="s">
        <v>141</v>
      </c>
      <c r="N315" s="59" t="s">
        <v>142</v>
      </c>
    </row>
    <row r="316">
      <c r="A316" s="48" t="s">
        <v>183</v>
      </c>
      <c r="B316" s="49">
        <v>4.5</v>
      </c>
      <c r="C316" s="48">
        <v>1.0</v>
      </c>
      <c r="D316" s="50">
        <f t="shared" si="41"/>
        <v>4.5</v>
      </c>
      <c r="E316" s="48">
        <v>1.0</v>
      </c>
      <c r="F316" s="48"/>
      <c r="G316" s="51" t="s">
        <v>134</v>
      </c>
      <c r="H316" s="49">
        <f t="shared" si="42"/>
        <v>4.5</v>
      </c>
      <c r="J316" s="60">
        <f>H321</f>
        <v>36.227</v>
      </c>
      <c r="K316" s="61">
        <v>18.0</v>
      </c>
      <c r="L316" s="49">
        <v>6.0</v>
      </c>
      <c r="M316" s="62">
        <f>K316*L316</f>
        <v>108</v>
      </c>
      <c r="N316" s="63">
        <f>M316-J316</f>
        <v>71.773</v>
      </c>
    </row>
    <row r="317">
      <c r="A317" s="48" t="s">
        <v>144</v>
      </c>
      <c r="B317" s="49">
        <v>35.0</v>
      </c>
      <c r="C317" s="48">
        <v>1000.0</v>
      </c>
      <c r="D317" s="50">
        <f t="shared" si="41"/>
        <v>0.035</v>
      </c>
      <c r="E317" s="48">
        <v>45.0</v>
      </c>
      <c r="F317" s="64"/>
      <c r="G317" s="51" t="s">
        <v>132</v>
      </c>
      <c r="H317" s="49">
        <f t="shared" si="42"/>
        <v>1.575</v>
      </c>
    </row>
    <row r="318">
      <c r="A318" s="48" t="s">
        <v>145</v>
      </c>
      <c r="B318" s="49">
        <v>5.0</v>
      </c>
      <c r="C318" s="48">
        <v>1.0</v>
      </c>
      <c r="D318" s="50">
        <f t="shared" si="41"/>
        <v>5</v>
      </c>
      <c r="E318" s="48">
        <v>1.0</v>
      </c>
      <c r="F318" s="48"/>
      <c r="G318" s="51" t="s">
        <v>146</v>
      </c>
      <c r="H318" s="49">
        <f t="shared" si="42"/>
        <v>5</v>
      </c>
    </row>
    <row r="319">
      <c r="A319" s="36" t="s">
        <v>147</v>
      </c>
      <c r="B319" s="49">
        <v>32.0</v>
      </c>
      <c r="C319" s="48">
        <v>1000.0</v>
      </c>
      <c r="D319" s="50">
        <f t="shared" si="41"/>
        <v>0.032</v>
      </c>
      <c r="E319" s="48">
        <v>11.0</v>
      </c>
      <c r="F319" s="64"/>
      <c r="G319" s="51" t="s">
        <v>132</v>
      </c>
      <c r="H319" s="49">
        <f t="shared" si="42"/>
        <v>0.352</v>
      </c>
    </row>
    <row r="320">
      <c r="A320" s="48" t="s">
        <v>163</v>
      </c>
      <c r="B320" s="134">
        <v>1.5</v>
      </c>
      <c r="C320" s="48">
        <v>18.0</v>
      </c>
      <c r="D320" s="50">
        <f t="shared" si="41"/>
        <v>0.08333333333</v>
      </c>
      <c r="E320" s="48">
        <v>54.0</v>
      </c>
      <c r="F320" s="48"/>
      <c r="G320" s="135" t="s">
        <v>132</v>
      </c>
      <c r="H320" s="49">
        <f t="shared" si="42"/>
        <v>4.5</v>
      </c>
    </row>
    <row r="321">
      <c r="B321" s="65"/>
      <c r="C321" s="65"/>
      <c r="E321" s="65" t="s">
        <v>150</v>
      </c>
      <c r="F321" s="65"/>
      <c r="G321" s="65"/>
      <c r="H321" s="66">
        <f>SUM(H310:H320)</f>
        <v>36.227</v>
      </c>
    </row>
    <row r="322">
      <c r="A322" s="133"/>
      <c r="B322" s="133"/>
      <c r="C322" s="133"/>
      <c r="D322" s="133"/>
      <c r="E322" s="133"/>
      <c r="F322" s="133"/>
      <c r="G322" s="133"/>
      <c r="H322" s="133"/>
      <c r="I322" s="22"/>
      <c r="J322" s="22"/>
      <c r="K322" s="22"/>
      <c r="L322" s="22"/>
      <c r="M322" s="22"/>
      <c r="N322" s="22"/>
    </row>
    <row r="323">
      <c r="A323" s="67" t="s">
        <v>123</v>
      </c>
      <c r="B323" s="40"/>
      <c r="C323" s="40"/>
      <c r="D323" s="40"/>
      <c r="E323" s="40"/>
      <c r="F323" s="40"/>
      <c r="G323" s="40"/>
      <c r="H323" s="41"/>
    </row>
    <row r="324">
      <c r="A324" s="42"/>
      <c r="B324" s="43"/>
      <c r="C324" s="43"/>
      <c r="D324" s="43"/>
      <c r="E324" s="43"/>
      <c r="F324" s="43"/>
      <c r="G324" s="43"/>
      <c r="H324" s="44"/>
    </row>
    <row r="325">
      <c r="A325" s="45" t="s">
        <v>187</v>
      </c>
      <c r="B325" s="3"/>
      <c r="C325" s="3"/>
      <c r="D325" s="3"/>
      <c r="E325" s="3"/>
      <c r="F325" s="3"/>
      <c r="G325" s="3"/>
      <c r="H325" s="4"/>
    </row>
    <row r="326">
      <c r="A326" s="46" t="s">
        <v>124</v>
      </c>
      <c r="B326" s="46" t="s">
        <v>125</v>
      </c>
      <c r="C326" s="46" t="s">
        <v>126</v>
      </c>
      <c r="D326" s="46" t="s">
        <v>127</v>
      </c>
      <c r="E326" s="47" t="s">
        <v>128</v>
      </c>
      <c r="F326" s="47"/>
      <c r="G326" s="47" t="s">
        <v>129</v>
      </c>
      <c r="H326" s="47" t="s">
        <v>130</v>
      </c>
    </row>
    <row r="327">
      <c r="A327" s="48" t="s">
        <v>131</v>
      </c>
      <c r="B327" s="49">
        <v>8.0</v>
      </c>
      <c r="C327" s="48">
        <v>2000.0</v>
      </c>
      <c r="D327" s="50">
        <f t="shared" ref="D327:D336" si="43">B327/C327</f>
        <v>0.004</v>
      </c>
      <c r="E327" s="48">
        <v>300.0</v>
      </c>
      <c r="F327" s="48"/>
      <c r="G327" s="51" t="s">
        <v>132</v>
      </c>
      <c r="H327" s="49">
        <f t="shared" ref="H327:H336" si="44">D327*E327</f>
        <v>1.2</v>
      </c>
    </row>
    <row r="328">
      <c r="A328" s="48" t="s">
        <v>133</v>
      </c>
      <c r="B328" s="49">
        <v>3.5</v>
      </c>
      <c r="C328" s="48">
        <v>1.0</v>
      </c>
      <c r="D328" s="50">
        <f t="shared" si="43"/>
        <v>3.5</v>
      </c>
      <c r="E328" s="48">
        <v>1.0</v>
      </c>
      <c r="F328" s="48"/>
      <c r="G328" s="51" t="s">
        <v>134</v>
      </c>
      <c r="H328" s="49">
        <f t="shared" si="44"/>
        <v>3.5</v>
      </c>
    </row>
    <row r="329">
      <c r="A329" s="52" t="s">
        <v>135</v>
      </c>
      <c r="B329" s="53">
        <v>35.0</v>
      </c>
      <c r="C329" s="52">
        <v>1000.0</v>
      </c>
      <c r="D329" s="50">
        <f t="shared" si="43"/>
        <v>0.035</v>
      </c>
      <c r="E329" s="52">
        <v>18.0</v>
      </c>
      <c r="F329" s="52"/>
      <c r="G329" s="54" t="s">
        <v>136</v>
      </c>
      <c r="H329" s="49">
        <f t="shared" si="44"/>
        <v>0.63</v>
      </c>
      <c r="J329" s="55"/>
      <c r="K329" s="55"/>
      <c r="L329" s="55"/>
      <c r="M329" s="56"/>
      <c r="N329" s="56"/>
    </row>
    <row r="330">
      <c r="A330" s="52" t="s">
        <v>137</v>
      </c>
      <c r="B330" s="53">
        <v>125.0</v>
      </c>
      <c r="C330" s="52">
        <v>1000.0</v>
      </c>
      <c r="D330" s="57">
        <f t="shared" si="43"/>
        <v>0.125</v>
      </c>
      <c r="E330" s="52">
        <v>18.0</v>
      </c>
      <c r="F330" s="52"/>
      <c r="G330" s="54" t="s">
        <v>129</v>
      </c>
      <c r="H330" s="53">
        <f t="shared" si="44"/>
        <v>2.25</v>
      </c>
      <c r="J330" s="58" t="s">
        <v>138</v>
      </c>
      <c r="K330" s="58" t="s">
        <v>139</v>
      </c>
      <c r="L330" s="58" t="s">
        <v>140</v>
      </c>
      <c r="M330" s="59" t="s">
        <v>141</v>
      </c>
      <c r="N330" s="59" t="s">
        <v>142</v>
      </c>
    </row>
    <row r="331">
      <c r="A331" s="48" t="s">
        <v>183</v>
      </c>
      <c r="B331" s="49">
        <v>4.5</v>
      </c>
      <c r="C331" s="48">
        <v>1.0</v>
      </c>
      <c r="D331" s="50">
        <f t="shared" si="43"/>
        <v>4.5</v>
      </c>
      <c r="E331" s="48"/>
      <c r="F331" s="48"/>
      <c r="G331" s="51" t="s">
        <v>134</v>
      </c>
      <c r="H331" s="49">
        <f t="shared" si="44"/>
        <v>0</v>
      </c>
      <c r="J331" s="60">
        <f>H337</f>
        <v>28.007</v>
      </c>
      <c r="K331" s="61">
        <v>18.0</v>
      </c>
      <c r="L331" s="49">
        <v>6.0</v>
      </c>
      <c r="M331" s="62">
        <f>K331*L331</f>
        <v>108</v>
      </c>
      <c r="N331" s="63">
        <f>M331-J331</f>
        <v>79.993</v>
      </c>
    </row>
    <row r="332">
      <c r="A332" s="48" t="s">
        <v>188</v>
      </c>
      <c r="B332" s="49">
        <v>3.5</v>
      </c>
      <c r="C332" s="48">
        <v>1.0</v>
      </c>
      <c r="D332" s="50">
        <f t="shared" si="43"/>
        <v>3.5</v>
      </c>
      <c r="E332" s="48">
        <v>1.0</v>
      </c>
      <c r="F332" s="48"/>
      <c r="G332" s="51" t="s">
        <v>189</v>
      </c>
      <c r="H332" s="49">
        <f t="shared" si="44"/>
        <v>3.5</v>
      </c>
    </row>
    <row r="333">
      <c r="A333" s="48" t="s">
        <v>144</v>
      </c>
      <c r="B333" s="49">
        <v>35.0</v>
      </c>
      <c r="C333" s="48">
        <v>1000.0</v>
      </c>
      <c r="D333" s="50">
        <f t="shared" si="43"/>
        <v>0.035</v>
      </c>
      <c r="E333" s="64">
        <v>45.0</v>
      </c>
      <c r="F333" s="64"/>
      <c r="G333" s="51" t="s">
        <v>132</v>
      </c>
      <c r="H333" s="49">
        <f t="shared" si="44"/>
        <v>1.575</v>
      </c>
    </row>
    <row r="334">
      <c r="A334" s="48" t="s">
        <v>145</v>
      </c>
      <c r="B334" s="49">
        <v>5.0</v>
      </c>
      <c r="C334" s="48">
        <v>1.0</v>
      </c>
      <c r="D334" s="50">
        <f t="shared" si="43"/>
        <v>5</v>
      </c>
      <c r="E334" s="48">
        <v>1.0</v>
      </c>
      <c r="F334" s="48"/>
      <c r="G334" s="51" t="s">
        <v>146</v>
      </c>
      <c r="H334" s="49">
        <f t="shared" si="44"/>
        <v>5</v>
      </c>
    </row>
    <row r="335">
      <c r="A335" s="36" t="s">
        <v>147</v>
      </c>
      <c r="B335" s="49">
        <v>32.0</v>
      </c>
      <c r="C335" s="48">
        <v>1000.0</v>
      </c>
      <c r="D335" s="50">
        <f t="shared" si="43"/>
        <v>0.032</v>
      </c>
      <c r="E335" s="64">
        <v>11.0</v>
      </c>
      <c r="F335" s="64"/>
      <c r="G335" s="51" t="s">
        <v>132</v>
      </c>
      <c r="H335" s="49">
        <f t="shared" si="44"/>
        <v>0.352</v>
      </c>
    </row>
    <row r="336">
      <c r="A336" s="48" t="s">
        <v>187</v>
      </c>
      <c r="B336" s="49">
        <v>5.0</v>
      </c>
      <c r="C336" s="48">
        <v>1.0</v>
      </c>
      <c r="D336" s="50">
        <f t="shared" si="43"/>
        <v>5</v>
      </c>
      <c r="E336" s="48">
        <v>2.0</v>
      </c>
      <c r="F336" s="48"/>
      <c r="G336" s="51" t="s">
        <v>136</v>
      </c>
      <c r="H336" s="49">
        <f t="shared" si="44"/>
        <v>10</v>
      </c>
    </row>
    <row r="337">
      <c r="B337" s="65"/>
      <c r="C337" s="65"/>
      <c r="E337" s="65" t="s">
        <v>150</v>
      </c>
      <c r="F337" s="65"/>
      <c r="G337" s="65"/>
      <c r="H337" s="66">
        <f>SUM(H327:H336)</f>
        <v>28.007</v>
      </c>
    </row>
    <row r="338">
      <c r="A338" s="112"/>
      <c r="B338" s="112"/>
      <c r="C338" s="112"/>
      <c r="D338" s="112"/>
      <c r="E338" s="112"/>
      <c r="F338" s="112"/>
      <c r="G338" s="112"/>
      <c r="H338" s="112"/>
    </row>
    <row r="340">
      <c r="A340" s="67" t="s">
        <v>123</v>
      </c>
      <c r="B340" s="40"/>
      <c r="C340" s="40"/>
      <c r="D340" s="40"/>
      <c r="E340" s="40"/>
      <c r="F340" s="40"/>
      <c r="G340" s="40"/>
      <c r="H340" s="41"/>
    </row>
    <row r="341">
      <c r="A341" s="42"/>
      <c r="B341" s="43"/>
      <c r="C341" s="43"/>
      <c r="D341" s="43"/>
      <c r="E341" s="43"/>
      <c r="F341" s="43"/>
      <c r="G341" s="43"/>
      <c r="H341" s="44"/>
    </row>
    <row r="342">
      <c r="A342" s="45" t="s">
        <v>29</v>
      </c>
      <c r="B342" s="3"/>
      <c r="C342" s="3"/>
      <c r="D342" s="3"/>
      <c r="E342" s="3"/>
      <c r="F342" s="3"/>
      <c r="G342" s="3"/>
      <c r="H342" s="4"/>
    </row>
    <row r="343">
      <c r="A343" s="46" t="s">
        <v>124</v>
      </c>
      <c r="B343" s="46" t="s">
        <v>125</v>
      </c>
      <c r="C343" s="46" t="s">
        <v>126</v>
      </c>
      <c r="D343" s="46" t="s">
        <v>127</v>
      </c>
      <c r="E343" s="47" t="s">
        <v>128</v>
      </c>
      <c r="F343" s="47"/>
      <c r="G343" s="47" t="s">
        <v>129</v>
      </c>
      <c r="H343" s="47" t="s">
        <v>130</v>
      </c>
    </row>
    <row r="344">
      <c r="A344" s="118" t="s">
        <v>131</v>
      </c>
      <c r="B344" s="119">
        <v>8.0</v>
      </c>
      <c r="C344" s="118">
        <v>2000.0</v>
      </c>
      <c r="D344" s="120">
        <f t="shared" ref="D344:D355" si="45">B344/C344</f>
        <v>0.004</v>
      </c>
      <c r="E344" s="118">
        <v>300.0</v>
      </c>
      <c r="F344" s="118"/>
      <c r="G344" s="121" t="s">
        <v>132</v>
      </c>
      <c r="H344" s="119">
        <f t="shared" ref="H344:H355" si="46">D344*E344</f>
        <v>1.2</v>
      </c>
    </row>
    <row r="345">
      <c r="A345" s="118" t="s">
        <v>190</v>
      </c>
      <c r="B345" s="119">
        <v>8.0</v>
      </c>
      <c r="C345" s="118">
        <v>2000.0</v>
      </c>
      <c r="D345" s="120">
        <f t="shared" si="45"/>
        <v>0.004</v>
      </c>
      <c r="E345" s="118">
        <v>250.0</v>
      </c>
      <c r="F345" s="118"/>
      <c r="G345" s="121" t="s">
        <v>132</v>
      </c>
      <c r="H345" s="119">
        <f t="shared" si="46"/>
        <v>1</v>
      </c>
      <c r="I345" s="136"/>
      <c r="J345" s="136"/>
      <c r="K345" s="136"/>
      <c r="L345" s="136"/>
      <c r="M345" s="136"/>
      <c r="N345" s="136"/>
    </row>
    <row r="346">
      <c r="A346" s="118" t="s">
        <v>133</v>
      </c>
      <c r="B346" s="119">
        <v>3.5</v>
      </c>
      <c r="C346" s="118">
        <v>1.0</v>
      </c>
      <c r="D346" s="120">
        <f t="shared" si="45"/>
        <v>3.5</v>
      </c>
      <c r="E346" s="118">
        <v>3.0</v>
      </c>
      <c r="F346" s="118"/>
      <c r="G346" s="121" t="s">
        <v>134</v>
      </c>
      <c r="H346" s="119">
        <f t="shared" si="46"/>
        <v>10.5</v>
      </c>
      <c r="I346" s="136"/>
      <c r="J346" s="136"/>
      <c r="K346" s="136"/>
      <c r="L346" s="136"/>
      <c r="M346" s="136"/>
      <c r="N346" s="136"/>
    </row>
    <row r="347">
      <c r="A347" s="122" t="s">
        <v>135</v>
      </c>
      <c r="B347" s="123">
        <v>35.0</v>
      </c>
      <c r="C347" s="122">
        <v>1000.0</v>
      </c>
      <c r="D347" s="120">
        <f t="shared" si="45"/>
        <v>0.035</v>
      </c>
      <c r="E347" s="122">
        <v>20.0</v>
      </c>
      <c r="F347" s="122"/>
      <c r="G347" s="124" t="s">
        <v>136</v>
      </c>
      <c r="H347" s="119">
        <f t="shared" si="46"/>
        <v>0.7</v>
      </c>
      <c r="I347" s="136"/>
      <c r="J347" s="137"/>
      <c r="K347" s="137"/>
      <c r="L347" s="137"/>
      <c r="M347" s="138"/>
      <c r="N347" s="138"/>
    </row>
    <row r="348">
      <c r="A348" s="122" t="s">
        <v>191</v>
      </c>
      <c r="B348" s="123">
        <v>12.0</v>
      </c>
      <c r="C348" s="122">
        <v>30.0</v>
      </c>
      <c r="D348" s="120">
        <f t="shared" si="45"/>
        <v>0.4</v>
      </c>
      <c r="E348" s="122">
        <v>1.0</v>
      </c>
      <c r="F348" s="122"/>
      <c r="G348" s="124" t="s">
        <v>192</v>
      </c>
      <c r="H348" s="119">
        <f t="shared" si="46"/>
        <v>0.4</v>
      </c>
      <c r="I348" s="136"/>
      <c r="J348" s="137"/>
      <c r="K348" s="137"/>
      <c r="L348" s="137"/>
      <c r="M348" s="138"/>
      <c r="N348" s="138"/>
    </row>
    <row r="349">
      <c r="A349" s="122" t="s">
        <v>137</v>
      </c>
      <c r="B349" s="123">
        <v>125.0</v>
      </c>
      <c r="C349" s="122">
        <v>1000.0</v>
      </c>
      <c r="D349" s="125">
        <f t="shared" si="45"/>
        <v>0.125</v>
      </c>
      <c r="E349" s="122">
        <v>20.0</v>
      </c>
      <c r="F349" s="122"/>
      <c r="G349" s="124" t="s">
        <v>129</v>
      </c>
      <c r="H349" s="123">
        <f t="shared" si="46"/>
        <v>2.5</v>
      </c>
      <c r="J349" s="58" t="s">
        <v>138</v>
      </c>
      <c r="K349" s="58" t="s">
        <v>139</v>
      </c>
      <c r="L349" s="58" t="s">
        <v>140</v>
      </c>
      <c r="M349" s="59" t="s">
        <v>141</v>
      </c>
      <c r="N349" s="59" t="s">
        <v>142</v>
      </c>
    </row>
    <row r="350">
      <c r="A350" s="118" t="s">
        <v>183</v>
      </c>
      <c r="B350" s="119">
        <v>4.5</v>
      </c>
      <c r="C350" s="118">
        <v>1.0</v>
      </c>
      <c r="D350" s="120">
        <f t="shared" si="45"/>
        <v>4.5</v>
      </c>
      <c r="E350" s="118">
        <v>2.0</v>
      </c>
      <c r="F350" s="118"/>
      <c r="G350" s="121" t="s">
        <v>134</v>
      </c>
      <c r="H350" s="119">
        <f t="shared" si="46"/>
        <v>9</v>
      </c>
      <c r="I350" s="136"/>
      <c r="J350" s="139">
        <f>H356</f>
        <v>44.19</v>
      </c>
      <c r="K350" s="140">
        <v>20.0</v>
      </c>
      <c r="L350" s="134">
        <v>6.0</v>
      </c>
      <c r="M350" s="63">
        <f>K350*L350</f>
        <v>120</v>
      </c>
      <c r="N350" s="63">
        <f>M350-J350</f>
        <v>75.81</v>
      </c>
    </row>
    <row r="351">
      <c r="A351" s="118" t="s">
        <v>144</v>
      </c>
      <c r="B351" s="119">
        <v>35.0</v>
      </c>
      <c r="C351" s="118">
        <v>1000.0</v>
      </c>
      <c r="D351" s="120">
        <f t="shared" si="45"/>
        <v>0.035</v>
      </c>
      <c r="E351" s="118">
        <v>150.0</v>
      </c>
      <c r="F351" s="118"/>
      <c r="G351" s="121" t="s">
        <v>132</v>
      </c>
      <c r="H351" s="119">
        <f t="shared" si="46"/>
        <v>5.25</v>
      </c>
      <c r="I351" s="136"/>
      <c r="J351" s="136"/>
      <c r="K351" s="136"/>
      <c r="L351" s="136"/>
      <c r="M351" s="136"/>
      <c r="N351" s="136"/>
    </row>
    <row r="352">
      <c r="A352" s="118" t="s">
        <v>145</v>
      </c>
      <c r="B352" s="119">
        <v>5.0</v>
      </c>
      <c r="C352" s="118">
        <v>1.0</v>
      </c>
      <c r="D352" s="120">
        <f t="shared" si="45"/>
        <v>5</v>
      </c>
      <c r="E352" s="118">
        <v>2.0</v>
      </c>
      <c r="F352" s="118"/>
      <c r="G352" s="121" t="s">
        <v>146</v>
      </c>
      <c r="H352" s="119">
        <f t="shared" si="46"/>
        <v>10</v>
      </c>
      <c r="I352" s="136"/>
    </row>
    <row r="353">
      <c r="A353" s="141" t="s">
        <v>147</v>
      </c>
      <c r="B353" s="119">
        <v>32.0</v>
      </c>
      <c r="C353" s="118">
        <v>1000.0</v>
      </c>
      <c r="D353" s="120">
        <f t="shared" si="45"/>
        <v>0.032</v>
      </c>
      <c r="E353" s="118">
        <v>20.0</v>
      </c>
      <c r="F353" s="118"/>
      <c r="G353" s="121" t="s">
        <v>132</v>
      </c>
      <c r="H353" s="119">
        <f t="shared" si="46"/>
        <v>0.64</v>
      </c>
    </row>
    <row r="354">
      <c r="A354" s="118" t="s">
        <v>193</v>
      </c>
      <c r="B354" s="119">
        <v>18.0</v>
      </c>
      <c r="C354" s="118">
        <v>36.0</v>
      </c>
      <c r="D354" s="120">
        <f t="shared" si="45"/>
        <v>0.5</v>
      </c>
      <c r="E354" s="118">
        <v>6.0</v>
      </c>
      <c r="F354" s="118"/>
      <c r="G354" s="121" t="s">
        <v>136</v>
      </c>
      <c r="H354" s="119">
        <f t="shared" si="46"/>
        <v>3</v>
      </c>
    </row>
    <row r="355">
      <c r="A355" s="36" t="s">
        <v>194</v>
      </c>
      <c r="B355" s="119">
        <v>4.0</v>
      </c>
      <c r="C355" s="48">
        <v>1000.0</v>
      </c>
      <c r="D355" s="50">
        <f t="shared" si="45"/>
        <v>0.004</v>
      </c>
      <c r="E355" s="48">
        <v>1.0</v>
      </c>
      <c r="F355" s="48"/>
      <c r="G355" s="51" t="s">
        <v>152</v>
      </c>
      <c r="H355" s="49">
        <f t="shared" si="46"/>
        <v>0.004</v>
      </c>
    </row>
    <row r="356">
      <c r="B356" s="65"/>
      <c r="C356" s="65"/>
      <c r="E356" s="65" t="s">
        <v>150</v>
      </c>
      <c r="F356" s="65"/>
      <c r="G356" s="65"/>
      <c r="H356" s="66">
        <f>SUM(H344:H354)</f>
        <v>44.19</v>
      </c>
    </row>
    <row r="357">
      <c r="A357" s="112"/>
      <c r="B357" s="112"/>
      <c r="C357" s="112"/>
      <c r="D357" s="112"/>
      <c r="E357" s="112"/>
      <c r="F357" s="112"/>
      <c r="G357" s="112"/>
      <c r="H357" s="112"/>
    </row>
    <row r="360">
      <c r="A360" s="67" t="s">
        <v>123</v>
      </c>
      <c r="B360" s="40"/>
      <c r="C360" s="40"/>
      <c r="D360" s="40"/>
      <c r="E360" s="40"/>
      <c r="F360" s="40"/>
      <c r="G360" s="40"/>
      <c r="H360" s="41"/>
    </row>
    <row r="361">
      <c r="A361" s="42"/>
      <c r="B361" s="43"/>
      <c r="C361" s="43"/>
      <c r="D361" s="43"/>
      <c r="E361" s="43"/>
      <c r="F361" s="43"/>
      <c r="G361" s="43"/>
      <c r="H361" s="44"/>
    </row>
    <row r="362">
      <c r="A362" s="45" t="s">
        <v>195</v>
      </c>
      <c r="B362" s="3"/>
      <c r="C362" s="3"/>
      <c r="D362" s="3"/>
      <c r="E362" s="3"/>
      <c r="F362" s="3"/>
      <c r="G362" s="3"/>
      <c r="H362" s="4"/>
    </row>
    <row r="363">
      <c r="A363" s="46" t="s">
        <v>124</v>
      </c>
      <c r="B363" s="46" t="s">
        <v>125</v>
      </c>
      <c r="C363" s="46" t="s">
        <v>126</v>
      </c>
      <c r="D363" s="46" t="s">
        <v>127</v>
      </c>
      <c r="E363" s="47" t="s">
        <v>128</v>
      </c>
      <c r="F363" s="47"/>
      <c r="G363" s="47" t="s">
        <v>129</v>
      </c>
      <c r="H363" s="47" t="s">
        <v>130</v>
      </c>
    </row>
    <row r="364">
      <c r="A364" s="142" t="s">
        <v>13</v>
      </c>
      <c r="B364" s="134">
        <v>13.99</v>
      </c>
      <c r="C364" s="111">
        <v>500.0</v>
      </c>
      <c r="D364" s="143">
        <f t="shared" ref="D364:D369" si="47">B364/C364</f>
        <v>0.02798</v>
      </c>
      <c r="E364" s="111">
        <v>100.0</v>
      </c>
      <c r="F364" s="111"/>
      <c r="G364" s="144" t="s">
        <v>132</v>
      </c>
      <c r="H364" s="134">
        <f t="shared" ref="H364:H369" si="48">D364*E364</f>
        <v>2.798</v>
      </c>
    </row>
    <row r="365">
      <c r="A365" s="142" t="s">
        <v>196</v>
      </c>
      <c r="B365" s="134">
        <v>13.99</v>
      </c>
      <c r="C365" s="111">
        <v>500.0</v>
      </c>
      <c r="D365" s="143">
        <f t="shared" si="47"/>
        <v>0.02798</v>
      </c>
      <c r="E365" s="111">
        <v>100.0</v>
      </c>
      <c r="F365" s="111"/>
      <c r="G365" s="144" t="s">
        <v>132</v>
      </c>
      <c r="H365" s="134">
        <f t="shared" si="48"/>
        <v>2.798</v>
      </c>
      <c r="I365" s="136"/>
      <c r="J365" s="136"/>
      <c r="K365" s="136"/>
      <c r="L365" s="136"/>
      <c r="M365" s="136"/>
      <c r="N365" s="136"/>
      <c r="O365" s="136"/>
      <c r="P365" s="136"/>
      <c r="Q365" s="136"/>
      <c r="R365" s="136"/>
      <c r="S365" s="136"/>
      <c r="T365" s="136"/>
      <c r="U365" s="136"/>
      <c r="V365" s="136"/>
      <c r="W365" s="136"/>
      <c r="X365" s="136"/>
      <c r="Y365" s="136"/>
      <c r="Z365" s="136"/>
      <c r="AA365" s="136"/>
      <c r="AB365" s="136"/>
      <c r="AC365" s="136"/>
      <c r="AD365" s="136"/>
      <c r="AE365" s="136"/>
    </row>
    <row r="366">
      <c r="A366" s="145" t="s">
        <v>169</v>
      </c>
      <c r="B366" s="146">
        <v>35.0</v>
      </c>
      <c r="C366" s="145">
        <v>1000.0</v>
      </c>
      <c r="D366" s="147">
        <f t="shared" si="47"/>
        <v>0.035</v>
      </c>
      <c r="E366" s="145">
        <v>80.0</v>
      </c>
      <c r="F366" s="145"/>
      <c r="G366" s="148" t="s">
        <v>132</v>
      </c>
      <c r="H366" s="146">
        <f t="shared" si="48"/>
        <v>2.8</v>
      </c>
      <c r="I366" s="136"/>
      <c r="J366" s="136"/>
      <c r="K366" s="136"/>
      <c r="L366" s="136"/>
      <c r="M366" s="136"/>
      <c r="N366" s="136"/>
      <c r="O366" s="136"/>
      <c r="P366" s="136"/>
      <c r="Q366" s="136"/>
      <c r="R366" s="136"/>
      <c r="S366" s="136"/>
      <c r="T366" s="136"/>
      <c r="U366" s="136"/>
      <c r="V366" s="136"/>
      <c r="W366" s="136"/>
      <c r="X366" s="136"/>
      <c r="Y366" s="136"/>
      <c r="Z366" s="136"/>
      <c r="AA366" s="136"/>
      <c r="AB366" s="136"/>
      <c r="AC366" s="136"/>
      <c r="AD366" s="136"/>
      <c r="AE366" s="136"/>
    </row>
    <row r="367">
      <c r="A367" s="149" t="s">
        <v>197</v>
      </c>
      <c r="B367" s="134">
        <v>48.0</v>
      </c>
      <c r="C367" s="145">
        <v>1000.0</v>
      </c>
      <c r="D367" s="147">
        <f t="shared" si="47"/>
        <v>0.048</v>
      </c>
      <c r="E367" s="145">
        <v>300.0</v>
      </c>
      <c r="F367" s="145"/>
      <c r="G367" s="148" t="s">
        <v>132</v>
      </c>
      <c r="H367" s="146">
        <f t="shared" si="48"/>
        <v>14.4</v>
      </c>
      <c r="I367" s="136"/>
      <c r="J367" s="136"/>
      <c r="K367" s="136"/>
      <c r="L367" s="136"/>
      <c r="M367" s="136"/>
      <c r="N367" s="136"/>
      <c r="O367" s="136"/>
      <c r="P367" s="136"/>
      <c r="Q367" s="136"/>
      <c r="R367" s="136"/>
      <c r="S367" s="136"/>
      <c r="T367" s="136"/>
      <c r="U367" s="136"/>
      <c r="V367" s="136"/>
      <c r="W367" s="136"/>
      <c r="X367" s="136"/>
      <c r="Y367" s="136"/>
      <c r="Z367" s="136"/>
      <c r="AA367" s="136"/>
      <c r="AB367" s="136"/>
      <c r="AC367" s="136"/>
      <c r="AD367" s="136"/>
      <c r="AE367" s="136"/>
    </row>
    <row r="368">
      <c r="A368" s="111" t="s">
        <v>133</v>
      </c>
      <c r="B368" s="134">
        <v>3.5</v>
      </c>
      <c r="C368" s="111">
        <v>1.0</v>
      </c>
      <c r="D368" s="143">
        <f t="shared" si="47"/>
        <v>3.5</v>
      </c>
      <c r="E368" s="111">
        <v>1.0</v>
      </c>
      <c r="F368" s="111"/>
      <c r="G368" s="144" t="s">
        <v>134</v>
      </c>
      <c r="H368" s="134">
        <f t="shared" si="48"/>
        <v>3.5</v>
      </c>
      <c r="I368" s="136"/>
      <c r="J368" s="136"/>
      <c r="K368" s="136"/>
      <c r="L368" s="136"/>
      <c r="M368" s="136"/>
      <c r="N368" s="136"/>
      <c r="O368" s="136"/>
      <c r="P368" s="136"/>
      <c r="Q368" s="136"/>
      <c r="R368" s="136"/>
      <c r="S368" s="136"/>
      <c r="T368" s="136"/>
      <c r="U368" s="136"/>
      <c r="V368" s="136"/>
      <c r="W368" s="136"/>
      <c r="X368" s="136"/>
      <c r="Y368" s="136"/>
      <c r="Z368" s="136"/>
      <c r="AA368" s="136"/>
      <c r="AB368" s="136"/>
      <c r="AC368" s="136"/>
      <c r="AD368" s="136"/>
      <c r="AE368" s="136"/>
    </row>
    <row r="369">
      <c r="A369" s="145" t="s">
        <v>135</v>
      </c>
      <c r="B369" s="146">
        <v>35.0</v>
      </c>
      <c r="C369" s="145">
        <v>1000.0</v>
      </c>
      <c r="D369" s="143">
        <f t="shared" si="47"/>
        <v>0.035</v>
      </c>
      <c r="E369" s="145">
        <v>20.0</v>
      </c>
      <c r="F369" s="145"/>
      <c r="G369" s="148" t="s">
        <v>136</v>
      </c>
      <c r="H369" s="134">
        <f t="shared" si="48"/>
        <v>0.7</v>
      </c>
      <c r="I369" s="136"/>
      <c r="J369" s="137"/>
      <c r="K369" s="137"/>
      <c r="L369" s="137"/>
      <c r="M369" s="138"/>
      <c r="N369" s="138"/>
      <c r="O369" s="136"/>
      <c r="P369" s="136"/>
      <c r="Q369" s="136"/>
      <c r="R369" s="136"/>
      <c r="S369" s="136"/>
      <c r="T369" s="136"/>
      <c r="U369" s="136"/>
      <c r="V369" s="136"/>
      <c r="W369" s="136"/>
      <c r="X369" s="136"/>
      <c r="Y369" s="136"/>
      <c r="Z369" s="136"/>
      <c r="AA369" s="136"/>
      <c r="AB369" s="136"/>
      <c r="AC369" s="136"/>
      <c r="AD369" s="136"/>
      <c r="AE369" s="136"/>
    </row>
    <row r="370">
      <c r="A370" s="122"/>
      <c r="B370" s="123"/>
      <c r="C370" s="122"/>
      <c r="D370" s="120"/>
      <c r="E370" s="122"/>
      <c r="F370" s="122"/>
      <c r="G370" s="124"/>
      <c r="H370" s="119"/>
      <c r="I370" s="136"/>
      <c r="J370" s="137"/>
      <c r="K370" s="137"/>
      <c r="L370" s="137"/>
      <c r="M370" s="138"/>
      <c r="N370" s="138"/>
      <c r="O370" s="136"/>
      <c r="P370" s="136"/>
      <c r="Q370" s="136"/>
      <c r="R370" s="136"/>
      <c r="S370" s="136"/>
      <c r="T370" s="136"/>
      <c r="U370" s="136"/>
      <c r="V370" s="136"/>
      <c r="W370" s="136"/>
      <c r="X370" s="136"/>
      <c r="Y370" s="136"/>
      <c r="Z370" s="136"/>
      <c r="AA370" s="136"/>
      <c r="AB370" s="136"/>
      <c r="AC370" s="136"/>
      <c r="AD370" s="136"/>
      <c r="AE370" s="136"/>
    </row>
    <row r="371">
      <c r="A371" s="145" t="s">
        <v>137</v>
      </c>
      <c r="B371" s="146">
        <v>125.0</v>
      </c>
      <c r="C371" s="145">
        <v>1000.0</v>
      </c>
      <c r="D371" s="147">
        <f t="shared" ref="D371:D376" si="49">B371/C371</f>
        <v>0.125</v>
      </c>
      <c r="E371" s="145">
        <v>20.0</v>
      </c>
      <c r="F371" s="145"/>
      <c r="G371" s="148" t="s">
        <v>129</v>
      </c>
      <c r="H371" s="146">
        <f t="shared" ref="H371:H376" si="50">D371*E371</f>
        <v>2.5</v>
      </c>
      <c r="J371" s="58" t="s">
        <v>138</v>
      </c>
      <c r="K371" s="58" t="s">
        <v>139</v>
      </c>
      <c r="L371" s="58" t="s">
        <v>140</v>
      </c>
      <c r="M371" s="59" t="s">
        <v>141</v>
      </c>
      <c r="N371" s="59" t="s">
        <v>142</v>
      </c>
    </row>
    <row r="372">
      <c r="A372" s="111" t="s">
        <v>183</v>
      </c>
      <c r="B372" s="134">
        <v>4.5</v>
      </c>
      <c r="C372" s="111">
        <v>1.0</v>
      </c>
      <c r="D372" s="143">
        <f t="shared" si="49"/>
        <v>4.5</v>
      </c>
      <c r="E372" s="111">
        <v>1.0</v>
      </c>
      <c r="F372" s="111"/>
      <c r="G372" s="144" t="s">
        <v>134</v>
      </c>
      <c r="H372" s="134">
        <f t="shared" si="50"/>
        <v>4.5</v>
      </c>
      <c r="I372" s="136"/>
      <c r="J372" s="150">
        <f>H378</f>
        <v>56.826</v>
      </c>
      <c r="K372" s="151">
        <v>20.0</v>
      </c>
      <c r="L372" s="119">
        <v>7.0</v>
      </c>
      <c r="M372" s="152">
        <f>K372*L372</f>
        <v>140</v>
      </c>
      <c r="N372" s="152">
        <f>M372-J372</f>
        <v>83.174</v>
      </c>
      <c r="O372" s="136"/>
      <c r="P372" s="136"/>
      <c r="Q372" s="136"/>
      <c r="R372" s="136"/>
      <c r="S372" s="136"/>
      <c r="T372" s="136"/>
      <c r="U372" s="136"/>
      <c r="V372" s="136"/>
      <c r="W372" s="136"/>
      <c r="X372" s="136"/>
      <c r="Y372" s="136"/>
      <c r="Z372" s="136"/>
      <c r="AA372" s="136"/>
      <c r="AB372" s="136"/>
      <c r="AC372" s="136"/>
      <c r="AD372" s="136"/>
      <c r="AE372" s="136"/>
    </row>
    <row r="373">
      <c r="A373" s="153" t="s">
        <v>144</v>
      </c>
      <c r="B373" s="154">
        <v>35.0</v>
      </c>
      <c r="C373" s="153">
        <v>1000.0</v>
      </c>
      <c r="D373" s="155">
        <f t="shared" si="49"/>
        <v>0.035</v>
      </c>
      <c r="E373" s="153">
        <v>150.0</v>
      </c>
      <c r="F373" s="153"/>
      <c r="G373" s="156" t="s">
        <v>132</v>
      </c>
      <c r="H373" s="154">
        <f t="shared" si="50"/>
        <v>5.25</v>
      </c>
      <c r="I373" s="136"/>
      <c r="J373" s="136"/>
      <c r="K373" s="136"/>
      <c r="L373" s="136"/>
      <c r="M373" s="136"/>
      <c r="N373" s="136"/>
      <c r="O373" s="136"/>
      <c r="P373" s="136"/>
      <c r="Q373" s="136"/>
      <c r="R373" s="136"/>
      <c r="S373" s="136"/>
      <c r="T373" s="136"/>
      <c r="U373" s="136"/>
      <c r="V373" s="136"/>
      <c r="W373" s="136"/>
      <c r="X373" s="136"/>
      <c r="Y373" s="136"/>
      <c r="Z373" s="136"/>
      <c r="AA373" s="136"/>
      <c r="AB373" s="136"/>
      <c r="AC373" s="136"/>
      <c r="AD373" s="136"/>
      <c r="AE373" s="136"/>
    </row>
    <row r="374">
      <c r="A374" s="111" t="s">
        <v>145</v>
      </c>
      <c r="B374" s="134">
        <v>5.0</v>
      </c>
      <c r="C374" s="111">
        <v>1.0</v>
      </c>
      <c r="D374" s="143">
        <f t="shared" si="49"/>
        <v>5</v>
      </c>
      <c r="E374" s="111">
        <v>1.5</v>
      </c>
      <c r="F374" s="111"/>
      <c r="G374" s="144" t="s">
        <v>146</v>
      </c>
      <c r="H374" s="134">
        <f t="shared" si="50"/>
        <v>7.5</v>
      </c>
      <c r="I374" s="136"/>
    </row>
    <row r="375">
      <c r="A375" s="142" t="s">
        <v>147</v>
      </c>
      <c r="B375" s="134">
        <v>32.0</v>
      </c>
      <c r="C375" s="111">
        <v>1000.0</v>
      </c>
      <c r="D375" s="143">
        <f t="shared" si="49"/>
        <v>0.032</v>
      </c>
      <c r="E375" s="111">
        <v>15.0</v>
      </c>
      <c r="F375" s="111"/>
      <c r="G375" s="144" t="s">
        <v>132</v>
      </c>
      <c r="H375" s="134">
        <f t="shared" si="50"/>
        <v>0.48</v>
      </c>
    </row>
    <row r="376">
      <c r="A376" s="111" t="s">
        <v>198</v>
      </c>
      <c r="B376" s="134">
        <v>60.0</v>
      </c>
      <c r="C376" s="111">
        <v>1000.0</v>
      </c>
      <c r="D376" s="143">
        <f t="shared" si="49"/>
        <v>0.06</v>
      </c>
      <c r="E376" s="111">
        <v>160.0</v>
      </c>
      <c r="F376" s="111"/>
      <c r="G376" s="144" t="s">
        <v>152</v>
      </c>
      <c r="H376" s="134">
        <f t="shared" si="50"/>
        <v>9.6</v>
      </c>
      <c r="I376" s="136"/>
      <c r="J376" s="136"/>
      <c r="K376" s="136"/>
      <c r="L376" s="136"/>
      <c r="M376" s="136"/>
      <c r="N376" s="136"/>
      <c r="O376" s="136"/>
      <c r="P376" s="136"/>
      <c r="Q376" s="136"/>
      <c r="R376" s="136"/>
      <c r="S376" s="136"/>
      <c r="T376" s="136"/>
      <c r="U376" s="136"/>
      <c r="V376" s="136"/>
      <c r="W376" s="136"/>
      <c r="X376" s="136"/>
      <c r="Y376" s="136"/>
      <c r="Z376" s="136"/>
      <c r="AA376" s="136"/>
      <c r="AB376" s="136"/>
      <c r="AC376" s="136"/>
      <c r="AD376" s="136"/>
      <c r="AE376" s="136"/>
    </row>
    <row r="377">
      <c r="A377" s="141"/>
      <c r="B377" s="119"/>
      <c r="C377" s="118"/>
      <c r="D377" s="120"/>
      <c r="E377" s="118"/>
      <c r="F377" s="118"/>
      <c r="G377" s="121"/>
      <c r="H377" s="119"/>
    </row>
    <row r="378">
      <c r="B378" s="65"/>
      <c r="C378" s="65"/>
      <c r="E378" s="65" t="s">
        <v>150</v>
      </c>
      <c r="F378" s="65"/>
      <c r="G378" s="65"/>
      <c r="H378" s="66">
        <f>SUM(H364:H377)</f>
        <v>56.826</v>
      </c>
    </row>
    <row r="379">
      <c r="A379" s="112"/>
      <c r="B379" s="112"/>
      <c r="C379" s="112"/>
      <c r="D379" s="112"/>
      <c r="E379" s="112"/>
      <c r="F379" s="112"/>
      <c r="G379" s="112"/>
      <c r="H379" s="112"/>
    </row>
    <row r="380">
      <c r="K380" s="30"/>
    </row>
    <row r="381">
      <c r="A381" s="157" t="s">
        <v>199</v>
      </c>
      <c r="B381" s="3"/>
      <c r="C381" s="3"/>
      <c r="D381" s="3"/>
      <c r="E381" s="3"/>
      <c r="F381" s="3"/>
      <c r="G381" s="3"/>
      <c r="H381" s="4"/>
      <c r="I381" s="22"/>
    </row>
    <row r="382">
      <c r="A382" s="11" t="s">
        <v>131</v>
      </c>
      <c r="B382" s="14">
        <v>8.0</v>
      </c>
      <c r="C382" s="17">
        <v>2000.0</v>
      </c>
      <c r="D382" s="158">
        <f t="shared" ref="D382:D389" si="51">B382/C382</f>
        <v>0.004</v>
      </c>
      <c r="E382" s="17">
        <v>500.0</v>
      </c>
      <c r="F382" s="17"/>
      <c r="G382" s="159" t="s">
        <v>132</v>
      </c>
      <c r="H382" s="14">
        <f t="shared" ref="H382:H389" si="52">D382*E382</f>
        <v>2</v>
      </c>
      <c r="I382" s="22"/>
    </row>
    <row r="383">
      <c r="A383" s="160" t="s">
        <v>200</v>
      </c>
      <c r="B383" s="161">
        <v>5.0</v>
      </c>
      <c r="C383" s="162">
        <v>1000.0</v>
      </c>
      <c r="D383" s="163">
        <f t="shared" si="51"/>
        <v>0.005</v>
      </c>
      <c r="E383" s="162">
        <v>1500.0</v>
      </c>
      <c r="F383" s="162"/>
      <c r="G383" s="164" t="s">
        <v>132</v>
      </c>
      <c r="H383" s="161">
        <f t="shared" si="52"/>
        <v>7.5</v>
      </c>
      <c r="I383" s="22"/>
      <c r="J383" s="22"/>
      <c r="K383" s="22"/>
      <c r="L383" s="22"/>
      <c r="M383" s="22"/>
      <c r="N383" s="22"/>
    </row>
    <row r="384">
      <c r="A384" s="160" t="s">
        <v>201</v>
      </c>
      <c r="B384" s="161">
        <v>10.0</v>
      </c>
      <c r="C384" s="162">
        <v>250.0</v>
      </c>
      <c r="D384" s="163">
        <f t="shared" si="51"/>
        <v>0.04</v>
      </c>
      <c r="E384" s="162">
        <v>40.0</v>
      </c>
      <c r="F384" s="162"/>
      <c r="G384" s="164" t="s">
        <v>202</v>
      </c>
      <c r="H384" s="161">
        <f t="shared" si="52"/>
        <v>1.6</v>
      </c>
      <c r="I384" s="22"/>
      <c r="J384" s="22"/>
      <c r="K384" s="22"/>
      <c r="L384" s="22"/>
      <c r="M384" s="22"/>
      <c r="N384" s="22"/>
    </row>
    <row r="385">
      <c r="A385" s="11" t="s">
        <v>203</v>
      </c>
      <c r="B385" s="14">
        <v>5.0</v>
      </c>
      <c r="C385" s="17">
        <v>1000.0</v>
      </c>
      <c r="D385" s="158">
        <f t="shared" si="51"/>
        <v>0.005</v>
      </c>
      <c r="E385" s="17">
        <v>300.0</v>
      </c>
      <c r="F385" s="17"/>
      <c r="G385" s="159" t="s">
        <v>204</v>
      </c>
      <c r="H385" s="14">
        <f t="shared" si="52"/>
        <v>1.5</v>
      </c>
      <c r="I385" s="22"/>
      <c r="J385" s="165"/>
      <c r="K385" s="22"/>
      <c r="L385" s="22"/>
      <c r="M385" s="22"/>
      <c r="N385" s="22"/>
    </row>
    <row r="386">
      <c r="A386" s="11" t="s">
        <v>205</v>
      </c>
      <c r="B386" s="14">
        <v>12.0</v>
      </c>
      <c r="C386" s="17">
        <v>1000.0</v>
      </c>
      <c r="D386" s="158">
        <f t="shared" si="51"/>
        <v>0.012</v>
      </c>
      <c r="E386" s="17">
        <v>250.0</v>
      </c>
      <c r="F386" s="17"/>
      <c r="G386" s="159" t="s">
        <v>132</v>
      </c>
      <c r="H386" s="14">
        <f t="shared" si="52"/>
        <v>3</v>
      </c>
      <c r="I386" s="22"/>
      <c r="J386" s="166" t="s">
        <v>138</v>
      </c>
      <c r="K386" s="166" t="s">
        <v>206</v>
      </c>
      <c r="L386" s="166" t="s">
        <v>140</v>
      </c>
      <c r="M386" s="167" t="s">
        <v>141</v>
      </c>
      <c r="N386" s="167" t="s">
        <v>142</v>
      </c>
    </row>
    <row r="387">
      <c r="A387" s="11" t="s">
        <v>207</v>
      </c>
      <c r="B387" s="14">
        <v>20.0</v>
      </c>
      <c r="C387" s="17">
        <v>300.0</v>
      </c>
      <c r="D387" s="158">
        <f t="shared" si="51"/>
        <v>0.06666666667</v>
      </c>
      <c r="E387" s="17">
        <v>150.0</v>
      </c>
      <c r="F387" s="17"/>
      <c r="G387" s="159" t="s">
        <v>132</v>
      </c>
      <c r="H387" s="14">
        <f t="shared" si="52"/>
        <v>10</v>
      </c>
      <c r="I387" s="22"/>
      <c r="J387" s="14">
        <f>H390</f>
        <v>29.22666667</v>
      </c>
      <c r="K387" s="17">
        <v>10.0</v>
      </c>
      <c r="L387" s="14">
        <v>8.0</v>
      </c>
      <c r="M387" s="14">
        <f>K387*L387</f>
        <v>80</v>
      </c>
      <c r="N387" s="168">
        <f>M387-J387</f>
        <v>50.77333333</v>
      </c>
    </row>
    <row r="388">
      <c r="A388" s="11" t="s">
        <v>208</v>
      </c>
      <c r="B388" s="14">
        <v>10.0</v>
      </c>
      <c r="C388" s="17">
        <v>7.5</v>
      </c>
      <c r="D388" s="158">
        <f t="shared" si="51"/>
        <v>1.333333333</v>
      </c>
      <c r="E388" s="17">
        <v>0.92</v>
      </c>
      <c r="F388" s="17"/>
      <c r="G388" s="159" t="s">
        <v>209</v>
      </c>
      <c r="H388" s="14">
        <f t="shared" si="52"/>
        <v>1.226666667</v>
      </c>
      <c r="I388" s="22"/>
      <c r="J388" s="22"/>
      <c r="K388" s="22"/>
      <c r="L388" s="22"/>
      <c r="M388" s="22"/>
      <c r="N388" s="22"/>
    </row>
    <row r="389">
      <c r="A389" s="11" t="s">
        <v>193</v>
      </c>
      <c r="B389" s="14">
        <v>18.0</v>
      </c>
      <c r="C389" s="17">
        <v>30.0</v>
      </c>
      <c r="D389" s="169">
        <f t="shared" si="51"/>
        <v>0.6</v>
      </c>
      <c r="E389" s="17">
        <v>4.0</v>
      </c>
      <c r="F389" s="17"/>
      <c r="G389" s="159" t="s">
        <v>129</v>
      </c>
      <c r="H389" s="14">
        <f t="shared" si="52"/>
        <v>2.4</v>
      </c>
      <c r="I389" s="22"/>
      <c r="J389" s="22"/>
      <c r="K389" s="22"/>
      <c r="L389" s="22"/>
      <c r="M389" s="22"/>
      <c r="N389" s="22"/>
    </row>
    <row r="390">
      <c r="A390" s="22"/>
      <c r="B390" s="170"/>
      <c r="C390" s="170"/>
      <c r="D390" s="170"/>
      <c r="E390" s="171" t="s">
        <v>150</v>
      </c>
      <c r="F390" s="171"/>
      <c r="G390" s="170"/>
      <c r="H390" s="102">
        <f>SUM(H382:H389)</f>
        <v>29.22666667</v>
      </c>
      <c r="I390" s="22"/>
      <c r="J390" s="22"/>
      <c r="K390" s="22"/>
      <c r="L390" s="22"/>
      <c r="M390" s="22"/>
      <c r="N390" s="22"/>
    </row>
  </sheetData>
  <mergeCells count="46">
    <mergeCell ref="A1:H2"/>
    <mergeCell ref="A3:H3"/>
    <mergeCell ref="A15:H16"/>
    <mergeCell ref="A17:H17"/>
    <mergeCell ref="A31:H32"/>
    <mergeCell ref="A33:H33"/>
    <mergeCell ref="A48:H49"/>
    <mergeCell ref="A50:H50"/>
    <mergeCell ref="A65:H66"/>
    <mergeCell ref="A67:H67"/>
    <mergeCell ref="A79:H80"/>
    <mergeCell ref="A81:H81"/>
    <mergeCell ref="A97:H98"/>
    <mergeCell ref="A99:H99"/>
    <mergeCell ref="A115:H116"/>
    <mergeCell ref="A117:H117"/>
    <mergeCell ref="A132:H133"/>
    <mergeCell ref="A134:H134"/>
    <mergeCell ref="A148:H149"/>
    <mergeCell ref="A150:H150"/>
    <mergeCell ref="A166:H167"/>
    <mergeCell ref="A168:H168"/>
    <mergeCell ref="A180:H181"/>
    <mergeCell ref="A182:H182"/>
    <mergeCell ref="A196:H197"/>
    <mergeCell ref="A198:H198"/>
    <mergeCell ref="A211:H212"/>
    <mergeCell ref="A213:H213"/>
    <mergeCell ref="A227:H227"/>
    <mergeCell ref="A240:H241"/>
    <mergeCell ref="A242:H242"/>
    <mergeCell ref="A257:H258"/>
    <mergeCell ref="A259:H259"/>
    <mergeCell ref="A273:H274"/>
    <mergeCell ref="A275:H275"/>
    <mergeCell ref="A342:H342"/>
    <mergeCell ref="A360:H361"/>
    <mergeCell ref="A362:H362"/>
    <mergeCell ref="A381:H381"/>
    <mergeCell ref="A290:H291"/>
    <mergeCell ref="A292:H292"/>
    <mergeCell ref="A306:H307"/>
    <mergeCell ref="A308:H308"/>
    <mergeCell ref="A323:H324"/>
    <mergeCell ref="A325:H325"/>
    <mergeCell ref="A340:H341"/>
  </mergeCells>
  <drawing r:id="rId1"/>
</worksheet>
</file>